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sharkey\Desktop\"/>
    </mc:Choice>
  </mc:AlternateContent>
  <xr:revisionPtr revIDLastSave="0" documentId="8_{688C455D-8D14-48C5-8D30-A7831F932615}" xr6:coauthVersionLast="47" xr6:coauthVersionMax="47" xr10:uidLastSave="{00000000-0000-0000-0000-000000000000}"/>
  <bookViews>
    <workbookView xWindow="3375" yWindow="2205" windowWidth="21600" windowHeight="11295" xr2:uid="{FD566472-EFB1-49E1-A09D-B9EDF9EA940E}"/>
  </bookViews>
  <sheets>
    <sheet name="Brand Permissions" sheetId="1" r:id="rId1"/>
  </sheets>
  <externalReferences>
    <externalReference r:id="rId2"/>
  </externalReferences>
  <definedNames>
    <definedName name="_xlnm._FilterDatabase" localSheetId="0" hidden="1">'Brand Permissions'!$A$4:$N$299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309" i="1" l="1" a="1"/>
  <c r="T309" i="1" s="1"/>
  <c r="S309" i="1"/>
  <c r="R309" i="1"/>
  <c r="Q309" i="1"/>
  <c r="P309" i="1"/>
  <c r="O309" i="1"/>
  <c r="N309" i="1" a="1"/>
  <c r="N309" i="1" s="1"/>
  <c r="M309" i="1"/>
  <c r="L309" i="1"/>
  <c r="K309" i="1"/>
  <c r="J309" i="1"/>
  <c r="I309" i="1"/>
  <c r="H309" i="1"/>
  <c r="G309" i="1"/>
  <c r="F309" i="1"/>
  <c r="E309" i="1"/>
  <c r="D309" i="1"/>
  <c r="C309" i="1"/>
  <c r="B309" i="1"/>
  <c r="T308" i="1" a="1"/>
  <c r="T308" i="1" s="1"/>
  <c r="S308" i="1"/>
  <c r="R308" i="1"/>
  <c r="Q308" i="1"/>
  <c r="P308" i="1"/>
  <c r="O308" i="1"/>
  <c r="N308" i="1" a="1"/>
  <c r="N308" i="1" s="1"/>
  <c r="M308" i="1"/>
  <c r="L308" i="1"/>
  <c r="K308" i="1"/>
  <c r="J308" i="1"/>
  <c r="I308" i="1"/>
  <c r="H308" i="1"/>
  <c r="G308" i="1"/>
  <c r="F308" i="1"/>
  <c r="E308" i="1"/>
  <c r="D308" i="1"/>
  <c r="C308" i="1"/>
  <c r="B308" i="1"/>
  <c r="T307" i="1" a="1"/>
  <c r="T307" i="1" s="1"/>
  <c r="S307" i="1"/>
  <c r="R307" i="1"/>
  <c r="Q307" i="1"/>
  <c r="P307" i="1"/>
  <c r="O307" i="1"/>
  <c r="N307" i="1" a="1"/>
  <c r="N307" i="1" s="1"/>
  <c r="M307" i="1"/>
  <c r="L307" i="1"/>
  <c r="K307" i="1"/>
  <c r="J307" i="1"/>
  <c r="I307" i="1"/>
  <c r="H307" i="1"/>
  <c r="G307" i="1"/>
  <c r="F307" i="1"/>
  <c r="E307" i="1"/>
  <c r="D307" i="1"/>
  <c r="C307" i="1"/>
  <c r="B307" i="1"/>
  <c r="T306" i="1" a="1"/>
  <c r="T306" i="1" s="1"/>
  <c r="S306" i="1"/>
  <c r="R306" i="1"/>
  <c r="Q306" i="1"/>
  <c r="P306" i="1"/>
  <c r="O306" i="1"/>
  <c r="N306" i="1" a="1"/>
  <c r="N306" i="1" s="1"/>
  <c r="M306" i="1"/>
  <c r="L306" i="1"/>
  <c r="K306" i="1"/>
  <c r="J306" i="1"/>
  <c r="I306" i="1"/>
  <c r="H306" i="1"/>
  <c r="G306" i="1"/>
  <c r="F306" i="1"/>
  <c r="E306" i="1"/>
  <c r="D306" i="1"/>
  <c r="C306" i="1"/>
  <c r="B306" i="1"/>
  <c r="T305" i="1" a="1"/>
  <c r="T305" i="1" s="1"/>
  <c r="S305" i="1"/>
  <c r="R305" i="1"/>
  <c r="Q305" i="1"/>
  <c r="P305" i="1"/>
  <c r="O305" i="1"/>
  <c r="N305" i="1" a="1"/>
  <c r="N305" i="1" s="1"/>
  <c r="M305" i="1"/>
  <c r="L305" i="1"/>
  <c r="K305" i="1"/>
  <c r="J305" i="1"/>
  <c r="I305" i="1"/>
  <c r="H305" i="1"/>
  <c r="G305" i="1"/>
  <c r="F305" i="1"/>
  <c r="E305" i="1"/>
  <c r="D305" i="1"/>
  <c r="C305" i="1"/>
  <c r="B305" i="1"/>
  <c r="T304" i="1" a="1"/>
  <c r="T304" i="1" s="1"/>
  <c r="S304" i="1"/>
  <c r="R304" i="1"/>
  <c r="Q304" i="1"/>
  <c r="P304" i="1"/>
  <c r="O304" i="1"/>
  <c r="N304" i="1" a="1"/>
  <c r="N304" i="1" s="1"/>
  <c r="M304" i="1"/>
  <c r="L304" i="1"/>
  <c r="K304" i="1"/>
  <c r="J304" i="1"/>
  <c r="I304" i="1"/>
  <c r="H304" i="1"/>
  <c r="G304" i="1"/>
  <c r="F304" i="1"/>
  <c r="E304" i="1"/>
  <c r="D304" i="1"/>
  <c r="C304" i="1"/>
  <c r="B304" i="1"/>
  <c r="T303" i="1" a="1"/>
  <c r="T303" i="1" s="1"/>
  <c r="S303" i="1"/>
  <c r="R303" i="1"/>
  <c r="Q303" i="1"/>
  <c r="P303" i="1"/>
  <c r="O303" i="1"/>
  <c r="N303" i="1" a="1"/>
  <c r="N303" i="1" s="1"/>
  <c r="M303" i="1"/>
  <c r="L303" i="1"/>
  <c r="K303" i="1"/>
  <c r="J303" i="1"/>
  <c r="I303" i="1"/>
  <c r="H303" i="1"/>
  <c r="G303" i="1"/>
  <c r="F303" i="1"/>
  <c r="E303" i="1"/>
  <c r="D303" i="1"/>
  <c r="C303" i="1"/>
  <c r="B303" i="1"/>
  <c r="T302" i="1" a="1"/>
  <c r="T302" i="1" s="1"/>
  <c r="S302" i="1"/>
  <c r="R302" i="1"/>
  <c r="Q302" i="1"/>
  <c r="P302" i="1"/>
  <c r="O302" i="1"/>
  <c r="N302" i="1" a="1"/>
  <c r="N302" i="1" s="1"/>
  <c r="M302" i="1"/>
  <c r="L302" i="1"/>
  <c r="K302" i="1"/>
  <c r="J302" i="1"/>
  <c r="I302" i="1"/>
  <c r="H302" i="1"/>
  <c r="G302" i="1"/>
  <c r="F302" i="1"/>
  <c r="E302" i="1"/>
  <c r="D302" i="1"/>
  <c r="C302" i="1"/>
  <c r="B302" i="1"/>
  <c r="T301" i="1" a="1"/>
  <c r="T301" i="1" s="1"/>
  <c r="S301" i="1"/>
  <c r="R301" i="1"/>
  <c r="Q301" i="1"/>
  <c r="P301" i="1"/>
  <c r="O301" i="1"/>
  <c r="N301" i="1" a="1"/>
  <c r="N301" i="1" s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5" i="1" a="1"/>
  <c r="L3" i="1" l="1"/>
  <c r="C3" i="1"/>
  <c r="D3" i="1"/>
  <c r="E3" i="1"/>
  <c r="F3" i="1"/>
  <c r="G3" i="1"/>
  <c r="H3" i="1"/>
  <c r="I3" i="1"/>
  <c r="J3" i="1"/>
  <c r="K3" i="1"/>
  <c r="P17" i="1"/>
  <c r="P72" i="1"/>
  <c r="B73" i="1"/>
  <c r="E73" i="1" s="1"/>
  <c r="P18" i="1"/>
  <c r="S82" i="1"/>
  <c r="B8" i="1"/>
  <c r="B22" i="1"/>
  <c r="B300" i="1"/>
  <c r="P9" i="1"/>
  <c r="R10" i="1"/>
  <c r="P23" i="1"/>
  <c r="P300" i="1"/>
  <c r="S10" i="1"/>
  <c r="B12" i="1"/>
  <c r="P13" i="1"/>
  <c r="B37" i="1"/>
  <c r="D37" i="1" s="1"/>
  <c r="E300" i="1"/>
  <c r="B41" i="1"/>
  <c r="B16" i="1"/>
  <c r="J16" i="1" s="1"/>
  <c r="P6" i="1"/>
  <c r="B9" i="1"/>
  <c r="C9" i="1" s="1"/>
  <c r="P10" i="1"/>
  <c r="K12" i="1"/>
  <c r="B13" i="1"/>
  <c r="C13" i="1" s="1"/>
  <c r="P14" i="1"/>
  <c r="B17" i="1"/>
  <c r="P33" i="1"/>
  <c r="P79" i="1"/>
  <c r="Q10" i="1"/>
  <c r="T10" i="1" s="1" a="1"/>
  <c r="T10" i="1" s="1"/>
  <c r="L12" i="1"/>
  <c r="P29" i="1"/>
  <c r="B44" i="1"/>
  <c r="K44" i="1" s="1"/>
  <c r="P45" i="1"/>
  <c r="P58" i="1"/>
  <c r="C12" i="1"/>
  <c r="P26" i="1"/>
  <c r="B33" i="1"/>
  <c r="B48" i="1"/>
  <c r="D12" i="1"/>
  <c r="G22" i="1"/>
  <c r="P25" i="1"/>
  <c r="B29" i="1"/>
  <c r="Q74" i="1"/>
  <c r="P109" i="1"/>
  <c r="B7" i="1"/>
  <c r="L7" i="1" s="1"/>
  <c r="P8" i="1"/>
  <c r="B11" i="1"/>
  <c r="E12" i="1"/>
  <c r="P12" i="1"/>
  <c r="B15" i="1"/>
  <c r="P16" i="1"/>
  <c r="B18" i="1"/>
  <c r="P19" i="1"/>
  <c r="B24" i="1"/>
  <c r="D33" i="1"/>
  <c r="P38" i="1"/>
  <c r="F12" i="1"/>
  <c r="B25" i="1"/>
  <c r="G25" i="1" s="1"/>
  <c r="P34" i="1"/>
  <c r="B40" i="1"/>
  <c r="B87" i="1"/>
  <c r="D11" i="1"/>
  <c r="G12" i="1"/>
  <c r="P30" i="1"/>
  <c r="B36" i="1"/>
  <c r="P50" i="1"/>
  <c r="B69" i="1"/>
  <c r="B90" i="1"/>
  <c r="B6" i="1"/>
  <c r="F6" i="1" s="1"/>
  <c r="P7" i="1"/>
  <c r="B10" i="1"/>
  <c r="C10" i="1" s="1"/>
  <c r="P11" i="1"/>
  <c r="H12" i="1"/>
  <c r="B14" i="1"/>
  <c r="F14" i="1" s="1"/>
  <c r="P15" i="1"/>
  <c r="B28" i="1"/>
  <c r="B32" i="1"/>
  <c r="L32" i="1" s="1"/>
  <c r="P41" i="1"/>
  <c r="P48" i="1"/>
  <c r="C69" i="1"/>
  <c r="B299" i="1"/>
  <c r="K298" i="1"/>
  <c r="P296" i="1"/>
  <c r="B295" i="1"/>
  <c r="P292" i="1"/>
  <c r="B291" i="1"/>
  <c r="P288" i="1"/>
  <c r="B287" i="1"/>
  <c r="P284" i="1"/>
  <c r="B283" i="1"/>
  <c r="D283" i="1" s="1"/>
  <c r="P280" i="1"/>
  <c r="B279" i="1"/>
  <c r="P276" i="1"/>
  <c r="B275" i="1"/>
  <c r="P272" i="1"/>
  <c r="B271" i="1"/>
  <c r="P268" i="1"/>
  <c r="B267" i="1"/>
  <c r="C267" i="1" s="1"/>
  <c r="P264" i="1"/>
  <c r="B263" i="1"/>
  <c r="D263" i="1" s="1"/>
  <c r="P260" i="1"/>
  <c r="B259" i="1"/>
  <c r="K259" i="1" s="1"/>
  <c r="P256" i="1"/>
  <c r="B255" i="1"/>
  <c r="S253" i="1"/>
  <c r="D280" i="1"/>
  <c r="Q253" i="1"/>
  <c r="P297" i="1"/>
  <c r="B296" i="1"/>
  <c r="P293" i="1"/>
  <c r="B292" i="1"/>
  <c r="D292" i="1" s="1"/>
  <c r="P289" i="1"/>
  <c r="B288" i="1"/>
  <c r="F288" i="1" s="1"/>
  <c r="H286" i="1"/>
  <c r="P285" i="1"/>
  <c r="B284" i="1"/>
  <c r="K283" i="1"/>
  <c r="P281" i="1"/>
  <c r="B280" i="1"/>
  <c r="F280" i="1" s="1"/>
  <c r="P277" i="1"/>
  <c r="B276" i="1"/>
  <c r="D276" i="1" s="1"/>
  <c r="P273" i="1"/>
  <c r="B272" i="1"/>
  <c r="L272" i="1" s="1"/>
  <c r="S270" i="1"/>
  <c r="P269" i="1"/>
  <c r="B268" i="1"/>
  <c r="P265" i="1"/>
  <c r="B264" i="1"/>
  <c r="P261" i="1"/>
  <c r="B260" i="1"/>
  <c r="P257" i="1"/>
  <c r="R270" i="1"/>
  <c r="J263" i="1"/>
  <c r="Q270" i="1"/>
  <c r="I267" i="1"/>
  <c r="Q254" i="1"/>
  <c r="F299" i="1"/>
  <c r="P299" i="1"/>
  <c r="B298" i="1"/>
  <c r="P295" i="1"/>
  <c r="B294" i="1"/>
  <c r="C294" i="1" s="1"/>
  <c r="P291" i="1"/>
  <c r="B290" i="1"/>
  <c r="L290" i="1" s="1"/>
  <c r="P287" i="1"/>
  <c r="B286" i="1"/>
  <c r="K286" i="1" s="1"/>
  <c r="P283" i="1"/>
  <c r="B282" i="1"/>
  <c r="C282" i="1" s="1"/>
  <c r="P279" i="1"/>
  <c r="B278" i="1"/>
  <c r="E278" i="1" s="1"/>
  <c r="P275" i="1"/>
  <c r="B274" i="1"/>
  <c r="P271" i="1"/>
  <c r="B270" i="1"/>
  <c r="H270" i="1" s="1"/>
  <c r="P267" i="1"/>
  <c r="B266" i="1"/>
  <c r="P263" i="1"/>
  <c r="B262" i="1"/>
  <c r="P259" i="1"/>
  <c r="B258" i="1"/>
  <c r="B297" i="1"/>
  <c r="J297" i="1" s="1"/>
  <c r="D290" i="1"/>
  <c r="B253" i="1"/>
  <c r="P250" i="1"/>
  <c r="P298" i="1"/>
  <c r="P294" i="1"/>
  <c r="B293" i="1"/>
  <c r="E293" i="1" s="1"/>
  <c r="P282" i="1"/>
  <c r="B281" i="1"/>
  <c r="P270" i="1"/>
  <c r="B269" i="1"/>
  <c r="H269" i="1" s="1"/>
  <c r="P258" i="1"/>
  <c r="G267" i="1"/>
  <c r="J289" i="1"/>
  <c r="B257" i="1"/>
  <c r="G257" i="1" s="1"/>
  <c r="R254" i="1"/>
  <c r="P252" i="1"/>
  <c r="B251" i="1"/>
  <c r="I251" i="1" s="1"/>
  <c r="P248" i="1"/>
  <c r="B247" i="1"/>
  <c r="P244" i="1"/>
  <c r="B243" i="1"/>
  <c r="H243" i="1" s="1"/>
  <c r="P240" i="1"/>
  <c r="B239" i="1"/>
  <c r="P236" i="1"/>
  <c r="B235" i="1"/>
  <c r="L235" i="1" s="1"/>
  <c r="P232" i="1"/>
  <c r="B231" i="1"/>
  <c r="P228" i="1"/>
  <c r="B227" i="1"/>
  <c r="K227" i="1" s="1"/>
  <c r="P224" i="1"/>
  <c r="D298" i="1"/>
  <c r="E294" i="1"/>
  <c r="P290" i="1"/>
  <c r="B289" i="1"/>
  <c r="H289" i="1" s="1"/>
  <c r="P278" i="1"/>
  <c r="B277" i="1"/>
  <c r="I277" i="1" s="1"/>
  <c r="P266" i="1"/>
  <c r="B265" i="1"/>
  <c r="D265" i="1" s="1"/>
  <c r="P254" i="1"/>
  <c r="B254" i="1"/>
  <c r="J292" i="1"/>
  <c r="P255" i="1"/>
  <c r="F241" i="1"/>
  <c r="E290" i="1"/>
  <c r="P286" i="1"/>
  <c r="B273" i="1"/>
  <c r="F273" i="1" s="1"/>
  <c r="P262" i="1"/>
  <c r="R253" i="1"/>
  <c r="S252" i="1"/>
  <c r="B244" i="1"/>
  <c r="G244" i="1" s="1"/>
  <c r="P241" i="1"/>
  <c r="B241" i="1"/>
  <c r="H241" i="1" s="1"/>
  <c r="P238" i="1"/>
  <c r="B238" i="1"/>
  <c r="L238" i="1" s="1"/>
  <c r="P235" i="1"/>
  <c r="B228" i="1"/>
  <c r="P225" i="1"/>
  <c r="B225" i="1"/>
  <c r="B221" i="1"/>
  <c r="I221" i="1" s="1"/>
  <c r="P218" i="1"/>
  <c r="B217" i="1"/>
  <c r="K217" i="1" s="1"/>
  <c r="P214" i="1"/>
  <c r="B213" i="1"/>
  <c r="J213" i="1" s="1"/>
  <c r="P210" i="1"/>
  <c r="B209" i="1"/>
  <c r="K209" i="1" s="1"/>
  <c r="P206" i="1"/>
  <c r="I276" i="1"/>
  <c r="D255" i="1"/>
  <c r="P253" i="1"/>
  <c r="R252" i="1"/>
  <c r="G276" i="1"/>
  <c r="S254" i="1"/>
  <c r="Q252" i="1"/>
  <c r="C231" i="1"/>
  <c r="P247" i="1"/>
  <c r="S246" i="1"/>
  <c r="B240" i="1"/>
  <c r="L240" i="1" s="1"/>
  <c r="P237" i="1"/>
  <c r="B237" i="1"/>
  <c r="P234" i="1"/>
  <c r="B234" i="1"/>
  <c r="G234" i="1" s="1"/>
  <c r="P231" i="1"/>
  <c r="B224" i="1"/>
  <c r="I224" i="1" s="1"/>
  <c r="P222" i="1"/>
  <c r="P219" i="1"/>
  <c r="B218" i="1"/>
  <c r="G218" i="1" s="1"/>
  <c r="P215" i="1"/>
  <c r="B214" i="1"/>
  <c r="K213" i="1"/>
  <c r="P211" i="1"/>
  <c r="B210" i="1"/>
  <c r="J210" i="1" s="1"/>
  <c r="P207" i="1"/>
  <c r="L261" i="1"/>
  <c r="B256" i="1"/>
  <c r="D256" i="1" s="1"/>
  <c r="P251" i="1"/>
  <c r="B250" i="1"/>
  <c r="R246" i="1"/>
  <c r="D275" i="1"/>
  <c r="Q246" i="1"/>
  <c r="B285" i="1"/>
  <c r="I285" i="1" s="1"/>
  <c r="P274" i="1"/>
  <c r="B261" i="1"/>
  <c r="J261" i="1" s="1"/>
  <c r="B249" i="1"/>
  <c r="D249" i="1" s="1"/>
  <c r="P246" i="1"/>
  <c r="B246" i="1"/>
  <c r="J246" i="1" s="1"/>
  <c r="P243" i="1"/>
  <c r="B236" i="1"/>
  <c r="P233" i="1"/>
  <c r="B233" i="1"/>
  <c r="P230" i="1"/>
  <c r="B230" i="1"/>
  <c r="L230" i="1" s="1"/>
  <c r="P227" i="1"/>
  <c r="P220" i="1"/>
  <c r="B219" i="1"/>
  <c r="D219" i="1" s="1"/>
  <c r="S217" i="1"/>
  <c r="P216" i="1"/>
  <c r="P249" i="1"/>
  <c r="G238" i="1"/>
  <c r="H221" i="1"/>
  <c r="R217" i="1"/>
  <c r="G213" i="1"/>
  <c r="K255" i="1"/>
  <c r="Q217" i="1"/>
  <c r="F213" i="1"/>
  <c r="L257" i="1"/>
  <c r="J255" i="1"/>
  <c r="B248" i="1"/>
  <c r="F248" i="1" s="1"/>
  <c r="P245" i="1"/>
  <c r="B245" i="1"/>
  <c r="J245" i="1" s="1"/>
  <c r="P242" i="1"/>
  <c r="B242" i="1"/>
  <c r="D242" i="1" s="1"/>
  <c r="P239" i="1"/>
  <c r="B232" i="1"/>
  <c r="P229" i="1"/>
  <c r="B229" i="1"/>
  <c r="D229" i="1" s="1"/>
  <c r="P226" i="1"/>
  <c r="B226" i="1"/>
  <c r="F287" i="1"/>
  <c r="I280" i="1"/>
  <c r="D257" i="1"/>
  <c r="D254" i="1"/>
  <c r="D287" i="1"/>
  <c r="B216" i="1"/>
  <c r="P213" i="1"/>
  <c r="P208" i="1"/>
  <c r="B203" i="1"/>
  <c r="G203" i="1" s="1"/>
  <c r="P200" i="1"/>
  <c r="B199" i="1"/>
  <c r="D199" i="1" s="1"/>
  <c r="P196" i="1"/>
  <c r="B195" i="1"/>
  <c r="K195" i="1" s="1"/>
  <c r="P192" i="1"/>
  <c r="B191" i="1"/>
  <c r="K190" i="1"/>
  <c r="P188" i="1"/>
  <c r="B187" i="1"/>
  <c r="J187" i="1" s="1"/>
  <c r="P184" i="1"/>
  <c r="B183" i="1"/>
  <c r="P180" i="1"/>
  <c r="B179" i="1"/>
  <c r="P176" i="1"/>
  <c r="B175" i="1"/>
  <c r="P172" i="1"/>
  <c r="E172" i="1"/>
  <c r="B171" i="1"/>
  <c r="G171" i="1" s="1"/>
  <c r="H250" i="1"/>
  <c r="C241" i="1"/>
  <c r="J227" i="1"/>
  <c r="B222" i="1"/>
  <c r="D222" i="1" s="1"/>
  <c r="L213" i="1"/>
  <c r="G231" i="1"/>
  <c r="P221" i="1"/>
  <c r="H213" i="1"/>
  <c r="F190" i="1"/>
  <c r="F218" i="1"/>
  <c r="E213" i="1"/>
  <c r="P205" i="1"/>
  <c r="P202" i="1"/>
  <c r="B201" i="1"/>
  <c r="P198" i="1"/>
  <c r="B197" i="1"/>
  <c r="E197" i="1" s="1"/>
  <c r="P194" i="1"/>
  <c r="B193" i="1"/>
  <c r="H193" i="1" s="1"/>
  <c r="P190" i="1"/>
  <c r="E190" i="1"/>
  <c r="B189" i="1"/>
  <c r="D189" i="1" s="1"/>
  <c r="P186" i="1"/>
  <c r="B185" i="1"/>
  <c r="E185" i="1" s="1"/>
  <c r="P182" i="1"/>
  <c r="B181" i="1"/>
  <c r="D181" i="1" s="1"/>
  <c r="H179" i="1"/>
  <c r="P178" i="1"/>
  <c r="B177" i="1"/>
  <c r="C218" i="1"/>
  <c r="D213" i="1"/>
  <c r="B212" i="1"/>
  <c r="D209" i="1"/>
  <c r="B205" i="1"/>
  <c r="B215" i="1"/>
  <c r="F215" i="1" s="1"/>
  <c r="B211" i="1"/>
  <c r="I211" i="1" s="1"/>
  <c r="P197" i="1"/>
  <c r="B196" i="1"/>
  <c r="E196" i="1" s="1"/>
  <c r="P191" i="1"/>
  <c r="B190" i="1"/>
  <c r="I190" i="1" s="1"/>
  <c r="P185" i="1"/>
  <c r="B184" i="1"/>
  <c r="B180" i="1"/>
  <c r="I180" i="1" s="1"/>
  <c r="P177" i="1"/>
  <c r="P170" i="1"/>
  <c r="B223" i="1"/>
  <c r="H223" i="1" s="1"/>
  <c r="B204" i="1"/>
  <c r="H204" i="1" s="1"/>
  <c r="B202" i="1"/>
  <c r="L202" i="1" s="1"/>
  <c r="F179" i="1"/>
  <c r="B172" i="1"/>
  <c r="D172" i="1" s="1"/>
  <c r="B170" i="1"/>
  <c r="P168" i="1"/>
  <c r="B167" i="1"/>
  <c r="P164" i="1"/>
  <c r="B163" i="1"/>
  <c r="P160" i="1"/>
  <c r="B159" i="1"/>
  <c r="I159" i="1" s="1"/>
  <c r="P156" i="1"/>
  <c r="B155" i="1"/>
  <c r="H155" i="1" s="1"/>
  <c r="P152" i="1"/>
  <c r="B252" i="1"/>
  <c r="L252" i="1" s="1"/>
  <c r="B206" i="1"/>
  <c r="F206" i="1" s="1"/>
  <c r="B176" i="1"/>
  <c r="D176" i="1" s="1"/>
  <c r="I175" i="1"/>
  <c r="B174" i="1"/>
  <c r="P217" i="1"/>
  <c r="P203" i="1"/>
  <c r="B200" i="1"/>
  <c r="L200" i="1" s="1"/>
  <c r="P195" i="1"/>
  <c r="B194" i="1"/>
  <c r="P189" i="1"/>
  <c r="B188" i="1"/>
  <c r="K185" i="1"/>
  <c r="P183" i="1"/>
  <c r="L177" i="1"/>
  <c r="B168" i="1"/>
  <c r="D168" i="1" s="1"/>
  <c r="P165" i="1"/>
  <c r="B164" i="1"/>
  <c r="P161" i="1"/>
  <c r="B160" i="1"/>
  <c r="H160" i="1" s="1"/>
  <c r="P157" i="1"/>
  <c r="P204" i="1"/>
  <c r="P201" i="1"/>
  <c r="B182" i="1"/>
  <c r="L182" i="1" s="1"/>
  <c r="P179" i="1"/>
  <c r="L172" i="1"/>
  <c r="P169" i="1"/>
  <c r="I217" i="1"/>
  <c r="B207" i="1"/>
  <c r="D207" i="1" s="1"/>
  <c r="L190" i="1"/>
  <c r="J190" i="1"/>
  <c r="P173" i="1"/>
  <c r="C173" i="1"/>
  <c r="P171" i="1"/>
  <c r="B169" i="1"/>
  <c r="S167" i="1"/>
  <c r="P166" i="1"/>
  <c r="B165" i="1"/>
  <c r="E165" i="1" s="1"/>
  <c r="P162" i="1"/>
  <c r="B161" i="1"/>
  <c r="F161" i="1" s="1"/>
  <c r="P158" i="1"/>
  <c r="I213" i="1"/>
  <c r="P209" i="1"/>
  <c r="H202" i="1"/>
  <c r="P223" i="1"/>
  <c r="J219" i="1"/>
  <c r="C213" i="1"/>
  <c r="I200" i="1"/>
  <c r="D196" i="1"/>
  <c r="C190" i="1"/>
  <c r="C177" i="1"/>
  <c r="P181" i="1"/>
  <c r="E167" i="1"/>
  <c r="B157" i="1"/>
  <c r="I157" i="1" s="1"/>
  <c r="P139" i="1"/>
  <c r="P134" i="1"/>
  <c r="P129" i="1"/>
  <c r="B128" i="1"/>
  <c r="K128" i="1" s="1"/>
  <c r="P125" i="1"/>
  <c r="B124" i="1"/>
  <c r="P212" i="1"/>
  <c r="P175" i="1"/>
  <c r="H164" i="1"/>
  <c r="B162" i="1"/>
  <c r="K162" i="1" s="1"/>
  <c r="P159" i="1"/>
  <c r="S154" i="1"/>
  <c r="B149" i="1"/>
  <c r="I149" i="1" s="1"/>
  <c r="B144" i="1"/>
  <c r="L144" i="1" s="1"/>
  <c r="B198" i="1"/>
  <c r="P187" i="1"/>
  <c r="B178" i="1"/>
  <c r="G178" i="1" s="1"/>
  <c r="R154" i="1"/>
  <c r="P147" i="1"/>
  <c r="P142" i="1"/>
  <c r="P137" i="1"/>
  <c r="B134" i="1"/>
  <c r="K134" i="1" s="1"/>
  <c r="P132" i="1"/>
  <c r="G187" i="1"/>
  <c r="B173" i="1"/>
  <c r="E173" i="1" s="1"/>
  <c r="P154" i="1"/>
  <c r="P150" i="1"/>
  <c r="D150" i="1"/>
  <c r="P145" i="1"/>
  <c r="P193" i="1"/>
  <c r="H190" i="1"/>
  <c r="H180" i="1"/>
  <c r="R167" i="1"/>
  <c r="B156" i="1"/>
  <c r="D156" i="1" s="1"/>
  <c r="B154" i="1"/>
  <c r="D154" i="1" s="1"/>
  <c r="P135" i="1"/>
  <c r="P130" i="1"/>
  <c r="B220" i="1"/>
  <c r="G190" i="1"/>
  <c r="J183" i="1"/>
  <c r="Q167" i="1"/>
  <c r="B150" i="1"/>
  <c r="E150" i="1" s="1"/>
  <c r="P148" i="1"/>
  <c r="B145" i="1"/>
  <c r="L145" i="1" s="1"/>
  <c r="J144" i="1"/>
  <c r="C209" i="1"/>
  <c r="P174" i="1"/>
  <c r="P167" i="1"/>
  <c r="P163" i="1"/>
  <c r="K161" i="1"/>
  <c r="P143" i="1"/>
  <c r="P138" i="1"/>
  <c r="P133" i="1"/>
  <c r="B130" i="1"/>
  <c r="K130" i="1" s="1"/>
  <c r="K203" i="1"/>
  <c r="P199" i="1"/>
  <c r="B186" i="1"/>
  <c r="H186" i="1" s="1"/>
  <c r="I172" i="1"/>
  <c r="B158" i="1"/>
  <c r="H158" i="1" s="1"/>
  <c r="S155" i="1"/>
  <c r="B148" i="1"/>
  <c r="L148" i="1" s="1"/>
  <c r="H144" i="1"/>
  <c r="B143" i="1"/>
  <c r="F143" i="1" s="1"/>
  <c r="B208" i="1"/>
  <c r="K208" i="1" s="1"/>
  <c r="G196" i="1"/>
  <c r="R155" i="1"/>
  <c r="P153" i="1"/>
  <c r="P151" i="1"/>
  <c r="P146" i="1"/>
  <c r="G144" i="1"/>
  <c r="P141" i="1"/>
  <c r="B138" i="1"/>
  <c r="I138" i="1" s="1"/>
  <c r="P136" i="1"/>
  <c r="B133" i="1"/>
  <c r="K133" i="1" s="1"/>
  <c r="P128" i="1"/>
  <c r="B127" i="1"/>
  <c r="P124" i="1"/>
  <c r="B123" i="1"/>
  <c r="P120" i="1"/>
  <c r="G172" i="1"/>
  <c r="B142" i="1"/>
  <c r="J142" i="1" s="1"/>
  <c r="C128" i="1"/>
  <c r="P122" i="1"/>
  <c r="B122" i="1"/>
  <c r="J122" i="1" s="1"/>
  <c r="P118" i="1"/>
  <c r="P113" i="1"/>
  <c r="P110" i="1"/>
  <c r="B109" i="1"/>
  <c r="P106" i="1"/>
  <c r="B105" i="1"/>
  <c r="K105" i="1" s="1"/>
  <c r="P102" i="1"/>
  <c r="B101" i="1"/>
  <c r="P98" i="1"/>
  <c r="B97" i="1"/>
  <c r="P94" i="1"/>
  <c r="B93" i="1"/>
  <c r="C93" i="1" s="1"/>
  <c r="P90" i="1"/>
  <c r="E90" i="1"/>
  <c r="B89" i="1"/>
  <c r="C89" i="1" s="1"/>
  <c r="P86" i="1"/>
  <c r="B85" i="1"/>
  <c r="C85" i="1" s="1"/>
  <c r="P82" i="1"/>
  <c r="B81" i="1"/>
  <c r="I81" i="1" s="1"/>
  <c r="B78" i="1"/>
  <c r="F78" i="1" s="1"/>
  <c r="P75" i="1"/>
  <c r="B74" i="1"/>
  <c r="I74" i="1" s="1"/>
  <c r="S72" i="1"/>
  <c r="P71" i="1"/>
  <c r="B70" i="1"/>
  <c r="F70" i="1" s="1"/>
  <c r="P67" i="1"/>
  <c r="B66" i="1"/>
  <c r="P63" i="1"/>
  <c r="B62" i="1"/>
  <c r="P59" i="1"/>
  <c r="B58" i="1"/>
  <c r="E58" i="1" s="1"/>
  <c r="P55" i="1"/>
  <c r="B54" i="1"/>
  <c r="C54" i="1" s="1"/>
  <c r="P51" i="1"/>
  <c r="B50" i="1"/>
  <c r="P47" i="1"/>
  <c r="B151" i="1"/>
  <c r="B139" i="1"/>
  <c r="K139" i="1" s="1"/>
  <c r="L123" i="1"/>
  <c r="D90" i="1"/>
  <c r="B146" i="1"/>
  <c r="D146" i="1" s="1"/>
  <c r="L143" i="1"/>
  <c r="B129" i="1"/>
  <c r="K129" i="1" s="1"/>
  <c r="P126" i="1"/>
  <c r="B118" i="1"/>
  <c r="P116" i="1"/>
  <c r="B113" i="1"/>
  <c r="C90" i="1"/>
  <c r="J163" i="1"/>
  <c r="Q155" i="1"/>
  <c r="B153" i="1"/>
  <c r="B140" i="1"/>
  <c r="K140" i="1" s="1"/>
  <c r="B135" i="1"/>
  <c r="F135" i="1" s="1"/>
  <c r="P127" i="1"/>
  <c r="P121" i="1"/>
  <c r="S117" i="1"/>
  <c r="B116" i="1"/>
  <c r="K116" i="1" s="1"/>
  <c r="G163" i="1"/>
  <c r="P155" i="1"/>
  <c r="I150" i="1"/>
  <c r="B121" i="1"/>
  <c r="C121" i="1" s="1"/>
  <c r="P119" i="1"/>
  <c r="R117" i="1"/>
  <c r="P114" i="1"/>
  <c r="L90" i="1"/>
  <c r="B136" i="1"/>
  <c r="B131" i="1"/>
  <c r="I131" i="1" s="1"/>
  <c r="C124" i="1"/>
  <c r="B119" i="1"/>
  <c r="J119" i="1" s="1"/>
  <c r="Q117" i="1"/>
  <c r="B111" i="1"/>
  <c r="P108" i="1"/>
  <c r="B107" i="1"/>
  <c r="F107" i="1" s="1"/>
  <c r="P104" i="1"/>
  <c r="B103" i="1"/>
  <c r="E103" i="1" s="1"/>
  <c r="P100" i="1"/>
  <c r="B99" i="1"/>
  <c r="J99" i="1" s="1"/>
  <c r="P96" i="1"/>
  <c r="B95" i="1"/>
  <c r="P92" i="1"/>
  <c r="B91" i="1"/>
  <c r="I91" i="1" s="1"/>
  <c r="K90" i="1"/>
  <c r="B141" i="1"/>
  <c r="J141" i="1" s="1"/>
  <c r="J138" i="1"/>
  <c r="P117" i="1"/>
  <c r="B114" i="1"/>
  <c r="P112" i="1"/>
  <c r="J90" i="1"/>
  <c r="R81" i="1"/>
  <c r="R74" i="1"/>
  <c r="C225" i="1"/>
  <c r="B166" i="1"/>
  <c r="E144" i="1"/>
  <c r="E138" i="1"/>
  <c r="J134" i="1"/>
  <c r="H128" i="1"/>
  <c r="B126" i="1"/>
  <c r="J126" i="1" s="1"/>
  <c r="Q123" i="1"/>
  <c r="K121" i="1"/>
  <c r="P115" i="1"/>
  <c r="R110" i="1"/>
  <c r="P131" i="1"/>
  <c r="P123" i="1"/>
  <c r="B120" i="1"/>
  <c r="I120" i="1" s="1"/>
  <c r="B115" i="1"/>
  <c r="C115" i="1" s="1"/>
  <c r="Q110" i="1"/>
  <c r="Q98" i="1"/>
  <c r="B192" i="1"/>
  <c r="B147" i="1"/>
  <c r="E147" i="1" s="1"/>
  <c r="E107" i="1"/>
  <c r="P103" i="1"/>
  <c r="B102" i="1"/>
  <c r="P93" i="1"/>
  <c r="P87" i="1"/>
  <c r="B86" i="1"/>
  <c r="Q81" i="1"/>
  <c r="B75" i="1"/>
  <c r="B67" i="1"/>
  <c r="Q65" i="1"/>
  <c r="S86" i="1"/>
  <c r="P81" i="1"/>
  <c r="B80" i="1"/>
  <c r="P77" i="1"/>
  <c r="B77" i="1"/>
  <c r="J77" i="1" s="1"/>
  <c r="H74" i="1"/>
  <c r="L69" i="1"/>
  <c r="P65" i="1"/>
  <c r="P60" i="1"/>
  <c r="B57" i="1"/>
  <c r="F57" i="1" s="1"/>
  <c r="B52" i="1"/>
  <c r="G52" i="1" s="1"/>
  <c r="P144" i="1"/>
  <c r="S123" i="1"/>
  <c r="P101" i="1"/>
  <c r="B100" i="1"/>
  <c r="R86" i="1"/>
  <c r="R72" i="1"/>
  <c r="Q154" i="1"/>
  <c r="G138" i="1"/>
  <c r="G133" i="1"/>
  <c r="R123" i="1"/>
  <c r="S110" i="1"/>
  <c r="B92" i="1"/>
  <c r="K92" i="1" s="1"/>
  <c r="Q86" i="1"/>
  <c r="P80" i="1"/>
  <c r="B79" i="1"/>
  <c r="J79" i="1" s="1"/>
  <c r="S74" i="1"/>
  <c r="Q72" i="1"/>
  <c r="P70" i="1"/>
  <c r="P68" i="1"/>
  <c r="B65" i="1"/>
  <c r="J65" i="1" s="1"/>
  <c r="L62" i="1"/>
  <c r="B60" i="1"/>
  <c r="B55" i="1"/>
  <c r="F55" i="1" s="1"/>
  <c r="F167" i="1"/>
  <c r="F101" i="1"/>
  <c r="E93" i="1"/>
  <c r="I90" i="1"/>
  <c r="P85" i="1"/>
  <c r="B84" i="1"/>
  <c r="K75" i="1"/>
  <c r="P74" i="1"/>
  <c r="B72" i="1"/>
  <c r="F72" i="1" s="1"/>
  <c r="G69" i="1"/>
  <c r="B68" i="1"/>
  <c r="G68" i="1" s="1"/>
  <c r="B63" i="1"/>
  <c r="G63" i="1" s="1"/>
  <c r="B152" i="1"/>
  <c r="J152" i="1" s="1"/>
  <c r="B137" i="1"/>
  <c r="E137" i="1" s="1"/>
  <c r="B132" i="1"/>
  <c r="E132" i="1" s="1"/>
  <c r="B108" i="1"/>
  <c r="E108" i="1" s="1"/>
  <c r="P97" i="1"/>
  <c r="B96" i="1"/>
  <c r="H96" i="1" s="1"/>
  <c r="P91" i="1"/>
  <c r="H90" i="1"/>
  <c r="P76" i="1"/>
  <c r="H73" i="1"/>
  <c r="F69" i="1"/>
  <c r="P66" i="1"/>
  <c r="P61" i="1"/>
  <c r="P56" i="1"/>
  <c r="B53" i="1"/>
  <c r="B110" i="1"/>
  <c r="H110" i="1" s="1"/>
  <c r="D101" i="1"/>
  <c r="G90" i="1"/>
  <c r="D89" i="1"/>
  <c r="P84" i="1"/>
  <c r="B83" i="1"/>
  <c r="E83" i="1" s="1"/>
  <c r="H81" i="1"/>
  <c r="B76" i="1"/>
  <c r="E76" i="1" s="1"/>
  <c r="G73" i="1"/>
  <c r="E69" i="1"/>
  <c r="P149" i="1"/>
  <c r="P107" i="1"/>
  <c r="B106" i="1"/>
  <c r="F106" i="1" s="1"/>
  <c r="P95" i="1"/>
  <c r="F90" i="1"/>
  <c r="P83" i="1"/>
  <c r="B82" i="1"/>
  <c r="K82" i="1" s="1"/>
  <c r="F81" i="1"/>
  <c r="P111" i="1"/>
  <c r="K107" i="1"/>
  <c r="P105" i="1"/>
  <c r="B104" i="1"/>
  <c r="H104" i="1" s="1"/>
  <c r="H102" i="1"/>
  <c r="S98" i="1"/>
  <c r="B94" i="1"/>
  <c r="I85" i="1"/>
  <c r="R82" i="1"/>
  <c r="B71" i="1"/>
  <c r="C71" i="1" s="1"/>
  <c r="B117" i="1"/>
  <c r="C117" i="1" s="1"/>
  <c r="L107" i="1"/>
  <c r="L68" i="1"/>
  <c r="P62" i="1"/>
  <c r="B61" i="1"/>
  <c r="C61" i="1" s="1"/>
  <c r="J32" i="1"/>
  <c r="P88" i="1"/>
  <c r="H85" i="1"/>
  <c r="S81" i="1"/>
  <c r="B64" i="1"/>
  <c r="L64" i="1" s="1"/>
  <c r="K62" i="1"/>
  <c r="P53" i="1"/>
  <c r="K48" i="1"/>
  <c r="L41" i="1"/>
  <c r="I32" i="1"/>
  <c r="L29" i="1"/>
  <c r="L25" i="1"/>
  <c r="I24" i="1"/>
  <c r="C18" i="1"/>
  <c r="L17" i="1"/>
  <c r="P99" i="1"/>
  <c r="K81" i="1"/>
  <c r="G62" i="1"/>
  <c r="P52" i="1"/>
  <c r="J50" i="1"/>
  <c r="P49" i="1"/>
  <c r="B46" i="1"/>
  <c r="E46" i="1" s="1"/>
  <c r="P43" i="1"/>
  <c r="B42" i="1"/>
  <c r="K41" i="1"/>
  <c r="P39" i="1"/>
  <c r="B38" i="1"/>
  <c r="C38" i="1" s="1"/>
  <c r="H36" i="1"/>
  <c r="P35" i="1"/>
  <c r="B34" i="1"/>
  <c r="J34" i="1" s="1"/>
  <c r="P31" i="1"/>
  <c r="B30" i="1"/>
  <c r="J30" i="1" s="1"/>
  <c r="K29" i="1"/>
  <c r="H28" i="1"/>
  <c r="P27" i="1"/>
  <c r="B26" i="1"/>
  <c r="K25" i="1"/>
  <c r="B88" i="1"/>
  <c r="G88" i="1" s="1"/>
  <c r="E81" i="1"/>
  <c r="P78" i="1"/>
  <c r="P69" i="1"/>
  <c r="B51" i="1"/>
  <c r="E51" i="1" s="1"/>
  <c r="B49" i="1"/>
  <c r="F49" i="1" s="1"/>
  <c r="I48" i="1"/>
  <c r="G44" i="1"/>
  <c r="G40" i="1"/>
  <c r="G32" i="1"/>
  <c r="J29" i="1"/>
  <c r="J25" i="1"/>
  <c r="B125" i="1"/>
  <c r="R98" i="1"/>
  <c r="C81" i="1"/>
  <c r="P73" i="1"/>
  <c r="E62" i="1"/>
  <c r="P57" i="1"/>
  <c r="B56" i="1"/>
  <c r="F56" i="1" s="1"/>
  <c r="P54" i="1"/>
  <c r="L53" i="1"/>
  <c r="H50" i="1"/>
  <c r="F36" i="1"/>
  <c r="F32" i="1"/>
  <c r="I29" i="1"/>
  <c r="F28" i="1"/>
  <c r="B98" i="1"/>
  <c r="I98" i="1" s="1"/>
  <c r="I71" i="1"/>
  <c r="K63" i="1"/>
  <c r="B59" i="1"/>
  <c r="H59" i="1" s="1"/>
  <c r="F48" i="1"/>
  <c r="B47" i="1"/>
  <c r="P44" i="1"/>
  <c r="E44" i="1"/>
  <c r="B43" i="1"/>
  <c r="L43" i="1" s="1"/>
  <c r="P40" i="1"/>
  <c r="B39" i="1"/>
  <c r="F39" i="1" s="1"/>
  <c r="P36" i="1"/>
  <c r="B35" i="1"/>
  <c r="E35" i="1" s="1"/>
  <c r="H33" i="1"/>
  <c r="P32" i="1"/>
  <c r="E32" i="1"/>
  <c r="B31" i="1"/>
  <c r="F31" i="1" s="1"/>
  <c r="H29" i="1"/>
  <c r="P28" i="1"/>
  <c r="B27" i="1"/>
  <c r="E27" i="1" s="1"/>
  <c r="H25" i="1"/>
  <c r="P24" i="1"/>
  <c r="B23" i="1"/>
  <c r="K23" i="1" s="1"/>
  <c r="P20" i="1"/>
  <c r="B19" i="1"/>
  <c r="K18" i="1"/>
  <c r="P140" i="1"/>
  <c r="B112" i="1"/>
  <c r="F112" i="1" s="1"/>
  <c r="H69" i="1"/>
  <c r="P64" i="1"/>
  <c r="I53" i="1"/>
  <c r="K52" i="1"/>
  <c r="D40" i="1"/>
  <c r="G37" i="1"/>
  <c r="D36" i="1"/>
  <c r="D32" i="1"/>
  <c r="P89" i="1"/>
  <c r="Q82" i="1"/>
  <c r="S65" i="1"/>
  <c r="H108" i="1"/>
  <c r="K101" i="1"/>
  <c r="R65" i="1"/>
  <c r="P46" i="1"/>
  <c r="B45" i="1"/>
  <c r="L45" i="1" s="1"/>
  <c r="P42" i="1"/>
  <c r="I8" i="1"/>
  <c r="I12" i="1"/>
  <c r="I16" i="1"/>
  <c r="H18" i="1"/>
  <c r="B20" i="1"/>
  <c r="J20" i="1" s="1"/>
  <c r="P21" i="1"/>
  <c r="E25" i="1"/>
  <c r="C27" i="1"/>
  <c r="C28" i="1"/>
  <c r="C32" i="1"/>
  <c r="D69" i="1"/>
  <c r="A5" i="1"/>
  <c r="J8" i="1"/>
  <c r="J12" i="1"/>
  <c r="B21" i="1"/>
  <c r="P22" i="1"/>
  <c r="F25" i="1"/>
  <c r="K32" i="1"/>
  <c r="L36" i="1"/>
  <c r="P37" i="1"/>
  <c r="H89" i="1" l="1"/>
  <c r="F47" i="1"/>
  <c r="E47" i="1"/>
  <c r="H113" i="1"/>
  <c r="K113" i="1"/>
  <c r="F214" i="1"/>
  <c r="L214" i="1"/>
  <c r="F264" i="1"/>
  <c r="J264" i="1"/>
  <c r="H255" i="1"/>
  <c r="F255" i="1"/>
  <c r="L255" i="1"/>
  <c r="C86" i="1"/>
  <c r="G86" i="1"/>
  <c r="F86" i="1"/>
  <c r="G174" i="1"/>
  <c r="C174" i="1"/>
  <c r="L167" i="1"/>
  <c r="G167" i="1"/>
  <c r="D167" i="1"/>
  <c r="F184" i="1"/>
  <c r="H184" i="1"/>
  <c r="I248" i="1"/>
  <c r="I253" i="1"/>
  <c r="L253" i="1"/>
  <c r="J253" i="1"/>
  <c r="G77" i="1"/>
  <c r="L77" i="1"/>
  <c r="J102" i="1"/>
  <c r="G102" i="1"/>
  <c r="C36" i="1"/>
  <c r="G36" i="1"/>
  <c r="J36" i="1"/>
  <c r="E36" i="1"/>
  <c r="K36" i="1"/>
  <c r="I36" i="1"/>
  <c r="H24" i="1"/>
  <c r="K24" i="1"/>
  <c r="J24" i="1"/>
  <c r="E24" i="1"/>
  <c r="G24" i="1"/>
  <c r="H22" i="1"/>
  <c r="L22" i="1"/>
  <c r="I22" i="1"/>
  <c r="K22" i="1"/>
  <c r="H123" i="1"/>
  <c r="F123" i="1"/>
  <c r="J123" i="1"/>
  <c r="L124" i="1"/>
  <c r="D124" i="1"/>
  <c r="J124" i="1"/>
  <c r="L258" i="1"/>
  <c r="G258" i="1"/>
  <c r="E28" i="1"/>
  <c r="J28" i="1"/>
  <c r="G28" i="1"/>
  <c r="C29" i="1"/>
  <c r="G29" i="1"/>
  <c r="E29" i="1"/>
  <c r="D29" i="1"/>
  <c r="K95" i="1"/>
  <c r="J95" i="1"/>
  <c r="J170" i="1"/>
  <c r="F170" i="1"/>
  <c r="J288" i="1"/>
  <c r="C288" i="1"/>
  <c r="K288" i="1"/>
  <c r="G288" i="1"/>
  <c r="L288" i="1"/>
  <c r="K100" i="1"/>
  <c r="L100" i="1"/>
  <c r="J62" i="1"/>
  <c r="D62" i="1"/>
  <c r="H62" i="1"/>
  <c r="F62" i="1"/>
  <c r="F191" i="1"/>
  <c r="G191" i="1"/>
  <c r="D191" i="1"/>
  <c r="I288" i="1"/>
  <c r="L18" i="1"/>
  <c r="I18" i="1"/>
  <c r="D18" i="1"/>
  <c r="H127" i="1"/>
  <c r="C127" i="1"/>
  <c r="C171" i="1"/>
  <c r="K262" i="1"/>
  <c r="E262" i="1"/>
  <c r="J37" i="1"/>
  <c r="E37" i="1"/>
  <c r="L37" i="1"/>
  <c r="I37" i="1"/>
  <c r="J66" i="1"/>
  <c r="H66" i="1"/>
  <c r="I87" i="1"/>
  <c r="G87" i="1"/>
  <c r="E87" i="1"/>
  <c r="D87" i="1"/>
  <c r="L42" i="1"/>
  <c r="C42" i="1"/>
  <c r="J42" i="1"/>
  <c r="I89" i="1"/>
  <c r="E205" i="1"/>
  <c r="F205" i="1"/>
  <c r="K205" i="1"/>
  <c r="K175" i="1"/>
  <c r="E175" i="1"/>
  <c r="G237" i="1"/>
  <c r="L237" i="1"/>
  <c r="H40" i="1"/>
  <c r="J40" i="1"/>
  <c r="E40" i="1"/>
  <c r="I40" i="1"/>
  <c r="F40" i="1"/>
  <c r="L40" i="1"/>
  <c r="C151" i="1"/>
  <c r="E151" i="1"/>
  <c r="J171" i="1"/>
  <c r="L275" i="1"/>
  <c r="E275" i="1"/>
  <c r="F275" i="1"/>
  <c r="F37" i="1"/>
  <c r="H60" i="1"/>
  <c r="L60" i="1"/>
  <c r="G142" i="1"/>
  <c r="E111" i="1"/>
  <c r="C111" i="1"/>
  <c r="J212" i="1"/>
  <c r="G212" i="1"/>
  <c r="I212" i="1"/>
  <c r="I63" i="1"/>
  <c r="C14" i="1"/>
  <c r="H138" i="1"/>
  <c r="K135" i="1"/>
  <c r="E149" i="1"/>
  <c r="E121" i="1"/>
  <c r="E187" i="1"/>
  <c r="L276" i="1"/>
  <c r="H257" i="1"/>
  <c r="H27" i="1"/>
  <c r="L13" i="1"/>
  <c r="D44" i="1"/>
  <c r="K34" i="1"/>
  <c r="L52" i="1"/>
  <c r="H32" i="1"/>
  <c r="C73" i="1"/>
  <c r="F119" i="1"/>
  <c r="J128" i="1"/>
  <c r="D144" i="1"/>
  <c r="D155" i="1"/>
  <c r="D185" i="1"/>
  <c r="K187" i="1"/>
  <c r="J273" i="1"/>
  <c r="T217" i="1" a="1"/>
  <c r="T217" i="1" s="1"/>
  <c r="E267" i="1"/>
  <c r="F286" i="1"/>
  <c r="T82" i="1" a="1"/>
  <c r="T82" i="1" s="1"/>
  <c r="F44" i="1"/>
  <c r="D81" i="1"/>
  <c r="J81" i="1"/>
  <c r="D121" i="1"/>
  <c r="J173" i="1"/>
  <c r="D206" i="1"/>
  <c r="G221" i="1"/>
  <c r="C221" i="1"/>
  <c r="L221" i="1"/>
  <c r="T81" i="1" a="1"/>
  <c r="T81" i="1" s="1"/>
  <c r="R95" i="1"/>
  <c r="S79" i="1"/>
  <c r="R83" i="1"/>
  <c r="O14" i="1"/>
  <c r="O105" i="1"/>
  <c r="D97" i="1"/>
  <c r="L97" i="1"/>
  <c r="J254" i="1"/>
  <c r="G254" i="1"/>
  <c r="E281" i="1"/>
  <c r="L281" i="1"/>
  <c r="C279" i="1"/>
  <c r="G279" i="1"/>
  <c r="C299" i="1"/>
  <c r="D299" i="1"/>
  <c r="L299" i="1"/>
  <c r="G9" i="1"/>
  <c r="E39" i="1"/>
  <c r="T154" i="1" a="1"/>
  <c r="T154" i="1" s="1"/>
  <c r="E134" i="1"/>
  <c r="G134" i="1"/>
  <c r="J203" i="1"/>
  <c r="C150" i="1"/>
  <c r="F203" i="1"/>
  <c r="K210" i="1"/>
  <c r="K176" i="1"/>
  <c r="L176" i="1"/>
  <c r="I176" i="1"/>
  <c r="J176" i="1"/>
  <c r="G255" i="1"/>
  <c r="K243" i="1"/>
  <c r="H254" i="1"/>
  <c r="I225" i="1"/>
  <c r="D225" i="1"/>
  <c r="E255" i="1"/>
  <c r="L282" i="1"/>
  <c r="D282" i="1"/>
  <c r="T254" i="1" a="1"/>
  <c r="T254" i="1" s="1"/>
  <c r="K279" i="1"/>
  <c r="E10" i="1"/>
  <c r="D10" i="1"/>
  <c r="I9" i="1"/>
  <c r="I11" i="1"/>
  <c r="F11" i="1"/>
  <c r="G11" i="1"/>
  <c r="C37" i="1"/>
  <c r="K37" i="1"/>
  <c r="H37" i="1"/>
  <c r="D26" i="1"/>
  <c r="F26" i="1"/>
  <c r="I118" i="1"/>
  <c r="E118" i="1"/>
  <c r="L58" i="1"/>
  <c r="K58" i="1"/>
  <c r="G78" i="1"/>
  <c r="K78" i="1"/>
  <c r="D231" i="1"/>
  <c r="H231" i="1"/>
  <c r="C260" i="1"/>
  <c r="I260" i="1"/>
  <c r="E280" i="1"/>
  <c r="H280" i="1"/>
  <c r="K299" i="1"/>
  <c r="H281" i="1"/>
  <c r="K9" i="1"/>
  <c r="J9" i="1"/>
  <c r="H9" i="1"/>
  <c r="D48" i="1"/>
  <c r="L48" i="1"/>
  <c r="J48" i="1"/>
  <c r="E48" i="1"/>
  <c r="L73" i="1"/>
  <c r="I73" i="1"/>
  <c r="J73" i="1"/>
  <c r="I58" i="1"/>
  <c r="I60" i="1"/>
  <c r="F58" i="1"/>
  <c r="F134" i="1"/>
  <c r="C134" i="1"/>
  <c r="I227" i="1"/>
  <c r="F175" i="1"/>
  <c r="G175" i="1"/>
  <c r="J175" i="1"/>
  <c r="K214" i="1"/>
  <c r="H214" i="1"/>
  <c r="K240" i="1"/>
  <c r="J240" i="1"/>
  <c r="H227" i="1"/>
  <c r="D7" i="1"/>
  <c r="C33" i="1"/>
  <c r="K33" i="1"/>
  <c r="N33" i="1" s="1" a="1"/>
  <c r="N33" i="1" s="1"/>
  <c r="J33" i="1"/>
  <c r="I33" i="1"/>
  <c r="C114" i="1"/>
  <c r="L114" i="1"/>
  <c r="J105" i="1"/>
  <c r="F105" i="1"/>
  <c r="D105" i="1"/>
  <c r="H134" i="1"/>
  <c r="L130" i="1"/>
  <c r="G130" i="1"/>
  <c r="L194" i="1"/>
  <c r="D194" i="1"/>
  <c r="L248" i="1"/>
  <c r="J248" i="1"/>
  <c r="J281" i="1"/>
  <c r="D279" i="1"/>
  <c r="K263" i="1"/>
  <c r="E263" i="1"/>
  <c r="H87" i="1"/>
  <c r="J87" i="1"/>
  <c r="Q51" i="1"/>
  <c r="R153" i="1"/>
  <c r="J70" i="1"/>
  <c r="K66" i="1"/>
  <c r="D58" i="1"/>
  <c r="E130" i="1"/>
  <c r="C58" i="1"/>
  <c r="K93" i="1"/>
  <c r="F139" i="1"/>
  <c r="J150" i="1"/>
  <c r="G85" i="1"/>
  <c r="F85" i="1"/>
  <c r="K85" i="1"/>
  <c r="C175" i="1"/>
  <c r="D175" i="1"/>
  <c r="E203" i="1"/>
  <c r="L170" i="1"/>
  <c r="F177" i="1"/>
  <c r="G177" i="1"/>
  <c r="E177" i="1"/>
  <c r="D179" i="1"/>
  <c r="E179" i="1"/>
  <c r="I179" i="1"/>
  <c r="J179" i="1"/>
  <c r="E254" i="1"/>
  <c r="L263" i="1"/>
  <c r="C287" i="1"/>
  <c r="E287" i="1"/>
  <c r="H287" i="1"/>
  <c r="L74" i="1"/>
  <c r="G20" i="1"/>
  <c r="D140" i="1"/>
  <c r="E126" i="1"/>
  <c r="L91" i="1"/>
  <c r="K87" i="1"/>
  <c r="G98" i="1"/>
  <c r="J78" i="1"/>
  <c r="K67" i="1"/>
  <c r="F67" i="1"/>
  <c r="G67" i="1"/>
  <c r="J127" i="1"/>
  <c r="L127" i="1"/>
  <c r="K156" i="1"/>
  <c r="G256" i="1"/>
  <c r="K238" i="1"/>
  <c r="C238" i="1"/>
  <c r="F269" i="1"/>
  <c r="K69" i="1"/>
  <c r="J69" i="1"/>
  <c r="I69" i="1"/>
  <c r="F9" i="1"/>
  <c r="S127" i="1"/>
  <c r="S47" i="1"/>
  <c r="D14" i="1"/>
  <c r="L9" i="1"/>
  <c r="G33" i="1"/>
  <c r="F73" i="1"/>
  <c r="G48" i="1"/>
  <c r="C87" i="1"/>
  <c r="H148" i="1"/>
  <c r="D85" i="1"/>
  <c r="E75" i="1"/>
  <c r="L75" i="1"/>
  <c r="H75" i="1"/>
  <c r="D149" i="1"/>
  <c r="F130" i="1"/>
  <c r="G123" i="1"/>
  <c r="E123" i="1"/>
  <c r="C217" i="1"/>
  <c r="I201" i="1"/>
  <c r="J201" i="1"/>
  <c r="D258" i="1"/>
  <c r="F279" i="1"/>
  <c r="C244" i="1"/>
  <c r="I299" i="1"/>
  <c r="C291" i="1"/>
  <c r="J291" i="1"/>
  <c r="D28" i="1"/>
  <c r="I28" i="1"/>
  <c r="R188" i="1"/>
  <c r="S206" i="1"/>
  <c r="H78" i="1"/>
  <c r="C94" i="1"/>
  <c r="L94" i="1"/>
  <c r="G118" i="1"/>
  <c r="G136" i="1"/>
  <c r="J136" i="1"/>
  <c r="J168" i="1"/>
  <c r="L168" i="1"/>
  <c r="I168" i="1"/>
  <c r="H181" i="1"/>
  <c r="L181" i="1"/>
  <c r="C181" i="1"/>
  <c r="Q58" i="1"/>
  <c r="F7" i="1"/>
  <c r="L87" i="1"/>
  <c r="M87" i="1" s="1"/>
  <c r="L33" i="1"/>
  <c r="J85" i="1"/>
  <c r="E97" i="1"/>
  <c r="L99" i="1"/>
  <c r="I78" i="1"/>
  <c r="F87" i="1"/>
  <c r="H48" i="1"/>
  <c r="K126" i="1"/>
  <c r="I204" i="1"/>
  <c r="D157" i="1"/>
  <c r="C157" i="1"/>
  <c r="I185" i="1"/>
  <c r="J185" i="1"/>
  <c r="F168" i="1"/>
  <c r="J231" i="1"/>
  <c r="F243" i="1"/>
  <c r="D270" i="1"/>
  <c r="H298" i="1"/>
  <c r="J298" i="1"/>
  <c r="J44" i="1"/>
  <c r="I44" i="1"/>
  <c r="H44" i="1"/>
  <c r="J300" i="1"/>
  <c r="D300" i="1"/>
  <c r="L300" i="1"/>
  <c r="S17" i="1"/>
  <c r="G7" i="1"/>
  <c r="C6" i="1"/>
  <c r="J58" i="1"/>
  <c r="F94" i="1"/>
  <c r="K141" i="1"/>
  <c r="H105" i="1"/>
  <c r="G168" i="1"/>
  <c r="J156" i="1"/>
  <c r="G50" i="1"/>
  <c r="F50" i="1"/>
  <c r="I93" i="1"/>
  <c r="L93" i="1"/>
  <c r="I181" i="1"/>
  <c r="L246" i="1"/>
  <c r="K233" i="1"/>
  <c r="J233" i="1"/>
  <c r="E299" i="1"/>
  <c r="J279" i="1"/>
  <c r="E292" i="1"/>
  <c r="I292" i="1"/>
  <c r="F15" i="1"/>
  <c r="G15" i="1"/>
  <c r="D16" i="1"/>
  <c r="H16" i="1"/>
  <c r="K16" i="1"/>
  <c r="E22" i="1"/>
  <c r="F22" i="1"/>
  <c r="C22" i="1"/>
  <c r="S121" i="1"/>
  <c r="D6" i="1"/>
  <c r="H56" i="1"/>
  <c r="I56" i="1"/>
  <c r="D22" i="1"/>
  <c r="L50" i="1"/>
  <c r="E105" i="1"/>
  <c r="F80" i="1"/>
  <c r="G80" i="1"/>
  <c r="C122" i="1"/>
  <c r="D73" i="1"/>
  <c r="N73" i="1" s="1" a="1"/>
  <c r="N73" i="1" s="1"/>
  <c r="F99" i="1"/>
  <c r="K73" i="1"/>
  <c r="L156" i="1"/>
  <c r="G148" i="1"/>
  <c r="H174" i="1"/>
  <c r="J174" i="1"/>
  <c r="G280" i="1"/>
  <c r="D238" i="1"/>
  <c r="I231" i="1"/>
  <c r="G248" i="1"/>
  <c r="J238" i="1"/>
  <c r="H279" i="1"/>
  <c r="J283" i="1"/>
  <c r="C255" i="1"/>
  <c r="I255" i="1"/>
  <c r="J22" i="1"/>
  <c r="F16" i="1"/>
  <c r="C41" i="1"/>
  <c r="J41" i="1"/>
  <c r="I41" i="1"/>
  <c r="H41" i="1"/>
  <c r="G41" i="1"/>
  <c r="F102" i="1"/>
  <c r="D92" i="1"/>
  <c r="E221" i="1"/>
  <c r="C253" i="1"/>
  <c r="K253" i="1"/>
  <c r="T252" i="1" a="1"/>
  <c r="T252" i="1" s="1"/>
  <c r="G253" i="1"/>
  <c r="H275" i="1"/>
  <c r="J275" i="1"/>
  <c r="T98" i="1" a="1"/>
  <c r="T98" i="1" s="1"/>
  <c r="D190" i="1"/>
  <c r="J221" i="1"/>
  <c r="G275" i="1"/>
  <c r="S48" i="1"/>
  <c r="Q48" i="1"/>
  <c r="R48" i="1"/>
  <c r="R171" i="1"/>
  <c r="S171" i="1"/>
  <c r="Q171" i="1"/>
  <c r="S23" i="1"/>
  <c r="R23" i="1"/>
  <c r="Q23" i="1"/>
  <c r="R259" i="1"/>
  <c r="S259" i="1"/>
  <c r="Q259" i="1"/>
  <c r="Q174" i="1"/>
  <c r="R174" i="1"/>
  <c r="S174" i="1"/>
  <c r="S204" i="1"/>
  <c r="Q204" i="1"/>
  <c r="R204" i="1"/>
  <c r="Q49" i="1"/>
  <c r="S49" i="1"/>
  <c r="R49" i="1"/>
  <c r="Q297" i="1"/>
  <c r="S297" i="1"/>
  <c r="R297" i="1"/>
  <c r="S243" i="1"/>
  <c r="Q243" i="1"/>
  <c r="R243" i="1"/>
  <c r="Q20" i="1"/>
  <c r="S20" i="1"/>
  <c r="R20" i="1"/>
  <c r="Q107" i="1"/>
  <c r="R107" i="1"/>
  <c r="S107" i="1"/>
  <c r="R263" i="1"/>
  <c r="S263" i="1"/>
  <c r="Q263" i="1"/>
  <c r="R241" i="1"/>
  <c r="Q241" i="1"/>
  <c r="S241" i="1"/>
  <c r="R21" i="1"/>
  <c r="S21" i="1"/>
  <c r="Q21" i="1"/>
  <c r="S55" i="1"/>
  <c r="Q55" i="1"/>
  <c r="R55" i="1"/>
  <c r="R41" i="1"/>
  <c r="R45" i="1"/>
  <c r="Q194" i="1"/>
  <c r="S53" i="1"/>
  <c r="Q173" i="1"/>
  <c r="S28" i="1"/>
  <c r="S73" i="1"/>
  <c r="Q73" i="1"/>
  <c r="R73" i="1"/>
  <c r="Q227" i="1"/>
  <c r="S227" i="1"/>
  <c r="R227" i="1"/>
  <c r="Q152" i="1"/>
  <c r="S152" i="1"/>
  <c r="R152" i="1"/>
  <c r="S273" i="1"/>
  <c r="Q273" i="1"/>
  <c r="R273" i="1"/>
  <c r="Q34" i="1"/>
  <c r="R34" i="1"/>
  <c r="S34" i="1"/>
  <c r="S189" i="1"/>
  <c r="R189" i="1"/>
  <c r="Q189" i="1"/>
  <c r="Q258" i="1"/>
  <c r="R258" i="1"/>
  <c r="S258" i="1"/>
  <c r="Q285" i="1"/>
  <c r="R285" i="1"/>
  <c r="S285" i="1"/>
  <c r="S27" i="1"/>
  <c r="R27" i="1"/>
  <c r="Q27" i="1"/>
  <c r="R100" i="1"/>
  <c r="S100" i="1"/>
  <c r="Q100" i="1"/>
  <c r="S36" i="1"/>
  <c r="Q36" i="1"/>
  <c r="R36" i="1"/>
  <c r="S54" i="1"/>
  <c r="Q192" i="1"/>
  <c r="R37" i="1"/>
  <c r="Q125" i="1"/>
  <c r="Q106" i="1"/>
  <c r="Q219" i="1"/>
  <c r="S219" i="1"/>
  <c r="R219" i="1"/>
  <c r="S274" i="1"/>
  <c r="Q274" i="1"/>
  <c r="R274" i="1"/>
  <c r="Q299" i="1"/>
  <c r="S299" i="1"/>
  <c r="R299" i="1"/>
  <c r="Q181" i="1"/>
  <c r="R181" i="1"/>
  <c r="S181" i="1"/>
  <c r="Q230" i="1"/>
  <c r="R230" i="1"/>
  <c r="T230" i="1" s="1" a="1"/>
  <c r="T230" i="1" s="1"/>
  <c r="S230" i="1"/>
  <c r="Q209" i="1"/>
  <c r="S209" i="1"/>
  <c r="R209" i="1"/>
  <c r="S185" i="1"/>
  <c r="R185" i="1"/>
  <c r="Q185" i="1"/>
  <c r="S284" i="1"/>
  <c r="R284" i="1"/>
  <c r="Q284" i="1"/>
  <c r="S131" i="1"/>
  <c r="R131" i="1"/>
  <c r="Q131" i="1"/>
  <c r="T131" i="1" s="1" a="1"/>
  <c r="T131" i="1" s="1"/>
  <c r="R220" i="1"/>
  <c r="S220" i="1"/>
  <c r="Q220" i="1"/>
  <c r="R216" i="1"/>
  <c r="S216" i="1"/>
  <c r="Q216" i="1"/>
  <c r="Q52" i="1"/>
  <c r="S52" i="1"/>
  <c r="R52" i="1"/>
  <c r="Q90" i="1"/>
  <c r="S116" i="1"/>
  <c r="S289" i="1"/>
  <c r="R289" i="1"/>
  <c r="Q289" i="1"/>
  <c r="R84" i="1"/>
  <c r="S84" i="1"/>
  <c r="Q84" i="1"/>
  <c r="T84" i="1" s="1" a="1"/>
  <c r="T84" i="1" s="1"/>
  <c r="S35" i="1"/>
  <c r="Q35" i="1"/>
  <c r="R35" i="1"/>
  <c r="Q70" i="1"/>
  <c r="S70" i="1"/>
  <c r="R70" i="1"/>
  <c r="T70" i="1" s="1" a="1"/>
  <c r="T70" i="1" s="1"/>
  <c r="R124" i="1"/>
  <c r="R108" i="1"/>
  <c r="R102" i="1"/>
  <c r="Q101" i="1"/>
  <c r="R276" i="1"/>
  <c r="S276" i="1"/>
  <c r="Q276" i="1"/>
  <c r="R142" i="1"/>
  <c r="S142" i="1"/>
  <c r="Q142" i="1"/>
  <c r="Q29" i="1"/>
  <c r="R29" i="1"/>
  <c r="S29" i="1"/>
  <c r="Q140" i="1"/>
  <c r="S140" i="1"/>
  <c r="R140" i="1"/>
  <c r="S218" i="1"/>
  <c r="R218" i="1"/>
  <c r="Q218" i="1"/>
  <c r="S183" i="1"/>
  <c r="Q183" i="1"/>
  <c r="R183" i="1"/>
  <c r="T183" i="1" s="1" a="1"/>
  <c r="T183" i="1" s="1"/>
  <c r="S267" i="1"/>
  <c r="T267" i="1" s="1" a="1"/>
  <c r="T267" i="1" s="1"/>
  <c r="R267" i="1"/>
  <c r="Q267" i="1"/>
  <c r="S223" i="1"/>
  <c r="R223" i="1"/>
  <c r="Q223" i="1"/>
  <c r="S19" i="1"/>
  <c r="R19" i="1"/>
  <c r="Q19" i="1"/>
  <c r="Q91" i="1"/>
  <c r="S91" i="1"/>
  <c r="R91" i="1"/>
  <c r="R229" i="1"/>
  <c r="Q229" i="1"/>
  <c r="S229" i="1"/>
  <c r="S7" i="1"/>
  <c r="R7" i="1"/>
  <c r="Q7" i="1"/>
  <c r="R88" i="1"/>
  <c r="S88" i="1"/>
  <c r="Q88" i="1"/>
  <c r="R104" i="1"/>
  <c r="S104" i="1"/>
  <c r="Q104" i="1"/>
  <c r="T104" i="1" s="1" a="1"/>
  <c r="T104" i="1" s="1"/>
  <c r="Q221" i="1"/>
  <c r="T221" i="1" s="1" a="1"/>
  <c r="T221" i="1" s="1"/>
  <c r="R221" i="1"/>
  <c r="S221" i="1"/>
  <c r="R133" i="1"/>
  <c r="Q133" i="1"/>
  <c r="S133" i="1"/>
  <c r="R118" i="1"/>
  <c r="Q118" i="1"/>
  <c r="S118" i="1"/>
  <c r="S97" i="1"/>
  <c r="R97" i="1"/>
  <c r="Q97" i="1"/>
  <c r="R99" i="1"/>
  <c r="Q99" i="1"/>
  <c r="S99" i="1"/>
  <c r="S287" i="1"/>
  <c r="R287" i="1"/>
  <c r="Q287" i="1"/>
  <c r="S31" i="1"/>
  <c r="Q31" i="1"/>
  <c r="R31" i="1"/>
  <c r="R180" i="1"/>
  <c r="S180" i="1"/>
  <c r="Q180" i="1"/>
  <c r="T180" i="1" s="1" a="1"/>
  <c r="T180" i="1" s="1"/>
  <c r="S76" i="1"/>
  <c r="R76" i="1"/>
  <c r="Q76" i="1"/>
  <c r="R128" i="1"/>
  <c r="S128" i="1"/>
  <c r="Q128" i="1"/>
  <c r="S134" i="1"/>
  <c r="R134" i="1"/>
  <c r="Q134" i="1"/>
  <c r="S202" i="1"/>
  <c r="R202" i="1"/>
  <c r="Q202" i="1"/>
  <c r="T202" i="1" s="1" a="1"/>
  <c r="T202" i="1" s="1"/>
  <c r="Q172" i="1"/>
  <c r="R172" i="1"/>
  <c r="S172" i="1"/>
  <c r="S32" i="1"/>
  <c r="Q32" i="1"/>
  <c r="R32" i="1"/>
  <c r="S175" i="1"/>
  <c r="R175" i="1"/>
  <c r="Q175" i="1"/>
  <c r="R201" i="1"/>
  <c r="S201" i="1"/>
  <c r="Q201" i="1"/>
  <c r="S138" i="1"/>
  <c r="S103" i="1"/>
  <c r="Q176" i="1"/>
  <c r="S176" i="1"/>
  <c r="R176" i="1"/>
  <c r="S112" i="1"/>
  <c r="Q112" i="1"/>
  <c r="R112" i="1"/>
  <c r="R132" i="1"/>
  <c r="Q242" i="1"/>
  <c r="S242" i="1"/>
  <c r="R242" i="1"/>
  <c r="T242" i="1" s="1" a="1"/>
  <c r="T242" i="1" s="1"/>
  <c r="S277" i="1"/>
  <c r="Q277" i="1"/>
  <c r="R277" i="1"/>
  <c r="S234" i="1"/>
  <c r="Q234" i="1"/>
  <c r="R234" i="1"/>
  <c r="S178" i="1"/>
  <c r="R178" i="1"/>
  <c r="Q178" i="1"/>
  <c r="S260" i="1"/>
  <c r="Q260" i="1"/>
  <c r="R260" i="1"/>
  <c r="S119" i="1"/>
  <c r="R160" i="1"/>
  <c r="R244" i="1"/>
  <c r="S96" i="1"/>
  <c r="R59" i="1"/>
  <c r="R25" i="1"/>
  <c r="Q25" i="1"/>
  <c r="S25" i="1"/>
  <c r="S39" i="1"/>
  <c r="Q39" i="1"/>
  <c r="R39" i="1"/>
  <c r="T39" i="1" s="1" a="1"/>
  <c r="T39" i="1" s="1"/>
  <c r="Q114" i="1"/>
  <c r="T114" i="1" s="1" a="1"/>
  <c r="T114" i="1" s="1"/>
  <c r="S114" i="1"/>
  <c r="R114" i="1"/>
  <c r="S224" i="1"/>
  <c r="R224" i="1"/>
  <c r="Q224" i="1"/>
  <c r="S205" i="1"/>
  <c r="Q205" i="1"/>
  <c r="R205" i="1"/>
  <c r="R66" i="1"/>
  <c r="Q66" i="1"/>
  <c r="S66" i="1"/>
  <c r="S150" i="1"/>
  <c r="R150" i="1"/>
  <c r="Q150" i="1"/>
  <c r="S57" i="1"/>
  <c r="R57" i="1"/>
  <c r="Q57" i="1"/>
  <c r="T57" i="1" s="1" a="1"/>
  <c r="T57" i="1" s="1"/>
  <c r="S122" i="1"/>
  <c r="Q122" i="1"/>
  <c r="R122" i="1"/>
  <c r="R190" i="1"/>
  <c r="S190" i="1"/>
  <c r="Q190" i="1"/>
  <c r="R231" i="1"/>
  <c r="T231" i="1" s="1" a="1"/>
  <c r="T231" i="1" s="1"/>
  <c r="S231" i="1"/>
  <c r="Q231" i="1"/>
  <c r="S130" i="1"/>
  <c r="R130" i="1"/>
  <c r="Q130" i="1"/>
  <c r="R94" i="1"/>
  <c r="Q94" i="1"/>
  <c r="S94" i="1"/>
  <c r="Q144" i="1"/>
  <c r="R144" i="1"/>
  <c r="S144" i="1"/>
  <c r="Q33" i="1"/>
  <c r="S33" i="1"/>
  <c r="R33" i="1"/>
  <c r="Q264" i="1"/>
  <c r="S264" i="1"/>
  <c r="R264" i="1"/>
  <c r="R113" i="1"/>
  <c r="Q113" i="1"/>
  <c r="S113" i="1"/>
  <c r="Q89" i="1"/>
  <c r="S89" i="1"/>
  <c r="R89" i="1"/>
  <c r="R293" i="1"/>
  <c r="Q293" i="1"/>
  <c r="S293" i="1"/>
  <c r="R44" i="1"/>
  <c r="R291" i="1"/>
  <c r="Q291" i="1"/>
  <c r="T291" i="1" s="1" a="1"/>
  <c r="T291" i="1" s="1"/>
  <c r="S291" i="1"/>
  <c r="R135" i="1"/>
  <c r="Q60" i="1"/>
  <c r="R197" i="1"/>
  <c r="S56" i="1"/>
  <c r="Q283" i="1"/>
  <c r="R24" i="1"/>
  <c r="R239" i="1"/>
  <c r="S198" i="1"/>
  <c r="Q69" i="1"/>
  <c r="Q137" i="1"/>
  <c r="R151" i="1"/>
  <c r="Q151" i="1"/>
  <c r="S151" i="1"/>
  <c r="Q71" i="1"/>
  <c r="R71" i="1"/>
  <c r="S71" i="1"/>
  <c r="Q68" i="1"/>
  <c r="R68" i="1"/>
  <c r="S68" i="1"/>
  <c r="Q8" i="1"/>
  <c r="S8" i="1"/>
  <c r="R8" i="1"/>
  <c r="R105" i="1"/>
  <c r="T105" i="1" s="1" a="1"/>
  <c r="T105" i="1" s="1"/>
  <c r="S105" i="1"/>
  <c r="Q105" i="1"/>
  <c r="Q182" i="1"/>
  <c r="S182" i="1"/>
  <c r="R182" i="1"/>
  <c r="Q136" i="1"/>
  <c r="R136" i="1"/>
  <c r="S136" i="1"/>
  <c r="R14" i="1"/>
  <c r="S14" i="1"/>
  <c r="Q14" i="1"/>
  <c r="Q213" i="1"/>
  <c r="R213" i="1"/>
  <c r="S213" i="1"/>
  <c r="R92" i="1"/>
  <c r="S92" i="1"/>
  <c r="Q92" i="1"/>
  <c r="R145" i="1"/>
  <c r="S145" i="1"/>
  <c r="Q145" i="1"/>
  <c r="R43" i="1"/>
  <c r="S43" i="1"/>
  <c r="Q43" i="1"/>
  <c r="Q50" i="1"/>
  <c r="S50" i="1"/>
  <c r="R50" i="1"/>
  <c r="S199" i="1"/>
  <c r="R199" i="1"/>
  <c r="Q199" i="1"/>
  <c r="S111" i="1"/>
  <c r="R143" i="1"/>
  <c r="T143" i="1" s="1" a="1"/>
  <c r="T143" i="1" s="1"/>
  <c r="Q64" i="1"/>
  <c r="R214" i="1"/>
  <c r="R63" i="1"/>
  <c r="S187" i="1"/>
  <c r="Q187" i="1"/>
  <c r="R187" i="1"/>
  <c r="Q269" i="1"/>
  <c r="S269" i="1"/>
  <c r="R269" i="1"/>
  <c r="Q272" i="1"/>
  <c r="S272" i="1"/>
  <c r="R272" i="1"/>
  <c r="Q40" i="1"/>
  <c r="R40" i="1"/>
  <c r="S40" i="1"/>
  <c r="S141" i="1"/>
  <c r="Q141" i="1"/>
  <c r="R141" i="1"/>
  <c r="Q169" i="1"/>
  <c r="S169" i="1"/>
  <c r="R170" i="1"/>
  <c r="Q170" i="1"/>
  <c r="R169" i="1"/>
  <c r="T169" i="1" s="1" a="1"/>
  <c r="T169" i="1" s="1"/>
  <c r="S170" i="1"/>
  <c r="T170" i="1" s="1" a="1"/>
  <c r="T170" i="1" s="1"/>
  <c r="R208" i="1"/>
  <c r="S208" i="1"/>
  <c r="Q208" i="1"/>
  <c r="Q222" i="1"/>
  <c r="S222" i="1"/>
  <c r="R222" i="1"/>
  <c r="R203" i="1"/>
  <c r="S203" i="1"/>
  <c r="Q203" i="1"/>
  <c r="R67" i="1"/>
  <c r="Q67" i="1"/>
  <c r="T67" i="1" s="1" a="1"/>
  <c r="T67" i="1" s="1"/>
  <c r="S67" i="1"/>
  <c r="R215" i="1"/>
  <c r="S215" i="1"/>
  <c r="Q215" i="1"/>
  <c r="S42" i="1"/>
  <c r="Q42" i="1"/>
  <c r="R42" i="1"/>
  <c r="Q162" i="1"/>
  <c r="S162" i="1"/>
  <c r="R162" i="1"/>
  <c r="Q168" i="1"/>
  <c r="S168" i="1"/>
  <c r="R168" i="1"/>
  <c r="R225" i="1"/>
  <c r="Q225" i="1"/>
  <c r="S225" i="1"/>
  <c r="S233" i="1"/>
  <c r="R233" i="1"/>
  <c r="Q233" i="1"/>
  <c r="S261" i="1"/>
  <c r="R261" i="1"/>
  <c r="Q261" i="1"/>
  <c r="R186" i="1"/>
  <c r="Q186" i="1"/>
  <c r="S186" i="1"/>
  <c r="R85" i="1"/>
  <c r="R255" i="1"/>
  <c r="R109" i="1"/>
  <c r="Q248" i="1"/>
  <c r="S248" i="1"/>
  <c r="R248" i="1"/>
  <c r="S146" i="1"/>
  <c r="Q146" i="1"/>
  <c r="R146" i="1"/>
  <c r="S93" i="1"/>
  <c r="Q93" i="1"/>
  <c r="R93" i="1"/>
  <c r="Q212" i="1"/>
  <c r="R212" i="1"/>
  <c r="S212" i="1"/>
  <c r="T212" i="1" s="1" a="1"/>
  <c r="T212" i="1" s="1"/>
  <c r="R38" i="1"/>
  <c r="Q38" i="1"/>
  <c r="S38" i="1"/>
  <c r="Q115" i="1"/>
  <c r="R115" i="1"/>
  <c r="S115" i="1"/>
  <c r="Q286" i="1"/>
  <c r="R286" i="1"/>
  <c r="S286" i="1"/>
  <c r="S159" i="1"/>
  <c r="R159" i="1"/>
  <c r="Q159" i="1"/>
  <c r="S11" i="1"/>
  <c r="Q11" i="1"/>
  <c r="T11" i="1" s="1" a="1"/>
  <c r="T11" i="1" s="1"/>
  <c r="R11" i="1"/>
  <c r="R210" i="1"/>
  <c r="Q210" i="1"/>
  <c r="S210" i="1"/>
  <c r="R149" i="1"/>
  <c r="S149" i="1"/>
  <c r="Q149" i="1"/>
  <c r="Q262" i="1"/>
  <c r="S262" i="1"/>
  <c r="R262" i="1"/>
  <c r="Q75" i="1"/>
  <c r="R75" i="1"/>
  <c r="S75" i="1"/>
  <c r="S164" i="1"/>
  <c r="Q164" i="1"/>
  <c r="R164" i="1"/>
  <c r="R77" i="1"/>
  <c r="S126" i="1"/>
  <c r="T126" i="1" s="1" a="1"/>
  <c r="T126" i="1" s="1"/>
  <c r="R158" i="1"/>
  <c r="T158" i="1" s="1" a="1"/>
  <c r="T158" i="1" s="1"/>
  <c r="Q148" i="1"/>
  <c r="S148" i="1"/>
  <c r="R148" i="1"/>
  <c r="R271" i="1"/>
  <c r="S271" i="1"/>
  <c r="T271" i="1" s="1" a="1"/>
  <c r="T271" i="1" s="1"/>
  <c r="Q271" i="1"/>
  <c r="R78" i="1"/>
  <c r="S78" i="1"/>
  <c r="Q78" i="1"/>
  <c r="Q161" i="1"/>
  <c r="T161" i="1" s="1" a="1"/>
  <c r="T161" i="1" s="1"/>
  <c r="S161" i="1"/>
  <c r="R161" i="1"/>
  <c r="R6" i="1"/>
  <c r="Q6" i="1"/>
  <c r="S6" i="1"/>
  <c r="Q13" i="1"/>
  <c r="S13" i="1"/>
  <c r="R13" i="1"/>
  <c r="R193" i="1"/>
  <c r="Q193" i="1"/>
  <c r="S193" i="1"/>
  <c r="S240" i="1"/>
  <c r="Q240" i="1"/>
  <c r="R240" i="1"/>
  <c r="R61" i="1"/>
  <c r="Q266" i="1"/>
  <c r="R166" i="1"/>
  <c r="T166" i="1" s="1" a="1"/>
  <c r="T166" i="1" s="1"/>
  <c r="S120" i="1"/>
  <c r="S62" i="1"/>
  <c r="Q282" i="1"/>
  <c r="R282" i="1"/>
  <c r="S282" i="1"/>
  <c r="Q12" i="1"/>
  <c r="R12" i="1"/>
  <c r="S12" i="1"/>
  <c r="S249" i="1"/>
  <c r="Q249" i="1"/>
  <c r="Q257" i="1"/>
  <c r="R257" i="1"/>
  <c r="S257" i="1"/>
  <c r="Q30" i="1"/>
  <c r="R147" i="1"/>
  <c r="Q147" i="1"/>
  <c r="S15" i="1"/>
  <c r="Q15" i="1"/>
  <c r="Q62" i="1"/>
  <c r="Q59" i="1"/>
  <c r="Q47" i="1"/>
  <c r="Q109" i="1"/>
  <c r="H67" i="1"/>
  <c r="S59" i="1"/>
  <c r="S61" i="1"/>
  <c r="J56" i="1"/>
  <c r="Q77" i="1"/>
  <c r="R121" i="1"/>
  <c r="Q124" i="1"/>
  <c r="C182" i="1"/>
  <c r="F182" i="1"/>
  <c r="J239" i="1"/>
  <c r="K239" i="1"/>
  <c r="H239" i="1"/>
  <c r="C239" i="1"/>
  <c r="F239" i="1"/>
  <c r="I239" i="1"/>
  <c r="D239" i="1"/>
  <c r="E268" i="1"/>
  <c r="D268" i="1"/>
  <c r="J268" i="1"/>
  <c r="G268" i="1"/>
  <c r="I268" i="1"/>
  <c r="R265" i="1"/>
  <c r="T265" i="1" s="1" a="1"/>
  <c r="T265" i="1" s="1"/>
  <c r="Q265" i="1"/>
  <c r="R211" i="1"/>
  <c r="Q211" i="1"/>
  <c r="S200" i="1"/>
  <c r="R200" i="1"/>
  <c r="Q200" i="1"/>
  <c r="Q156" i="1"/>
  <c r="S295" i="1"/>
  <c r="R295" i="1"/>
  <c r="S300" i="1"/>
  <c r="Q300" i="1"/>
  <c r="S184" i="1"/>
  <c r="Q184" i="1"/>
  <c r="R184" i="1"/>
  <c r="Q83" i="1"/>
  <c r="S83" i="1"/>
  <c r="S129" i="1"/>
  <c r="Q129" i="1"/>
  <c r="S195" i="1"/>
  <c r="Q195" i="1"/>
  <c r="Q281" i="1"/>
  <c r="R281" i="1"/>
  <c r="S281" i="1"/>
  <c r="T281" i="1" s="1" a="1"/>
  <c r="T281" i="1" s="1"/>
  <c r="Q232" i="1"/>
  <c r="S232" i="1"/>
  <c r="R232" i="1"/>
  <c r="S236" i="1"/>
  <c r="Q236" i="1"/>
  <c r="R46" i="1"/>
  <c r="Q46" i="1"/>
  <c r="S46" i="1"/>
  <c r="R87" i="1"/>
  <c r="S87" i="1"/>
  <c r="R62" i="1"/>
  <c r="S41" i="1"/>
  <c r="C31" i="1"/>
  <c r="R119" i="1"/>
  <c r="J103" i="1"/>
  <c r="S106" i="1"/>
  <c r="S80" i="1"/>
  <c r="S101" i="1"/>
  <c r="Q119" i="1"/>
  <c r="Q95" i="1"/>
  <c r="H52" i="1"/>
  <c r="Q143" i="1"/>
  <c r="Q126" i="1"/>
  <c r="E162" i="1"/>
  <c r="L163" i="1"/>
  <c r="H163" i="1"/>
  <c r="D163" i="1"/>
  <c r="S275" i="1"/>
  <c r="Q275" i="1"/>
  <c r="R275" i="1"/>
  <c r="T275" i="1" s="1" a="1"/>
  <c r="T275" i="1" s="1"/>
  <c r="S298" i="1"/>
  <c r="Q298" i="1"/>
  <c r="S279" i="1"/>
  <c r="Q279" i="1"/>
  <c r="R279" i="1"/>
  <c r="Q18" i="1"/>
  <c r="T18" i="1" s="1" a="1"/>
  <c r="T18" i="1" s="1"/>
  <c r="R18" i="1"/>
  <c r="S18" i="1"/>
  <c r="S235" i="1"/>
  <c r="R235" i="1"/>
  <c r="Q235" i="1"/>
  <c r="Q44" i="1"/>
  <c r="R69" i="1"/>
  <c r="Q56" i="1"/>
  <c r="Q63" i="1"/>
  <c r="R53" i="1"/>
  <c r="Q80" i="1"/>
  <c r="S58" i="1"/>
  <c r="R80" i="1"/>
  <c r="K228" i="1"/>
  <c r="C228" i="1"/>
  <c r="I228" i="1"/>
  <c r="R249" i="1"/>
  <c r="Q16" i="1"/>
  <c r="R16" i="1"/>
  <c r="S280" i="1"/>
  <c r="R280" i="1"/>
  <c r="Q280" i="1"/>
  <c r="S290" i="1"/>
  <c r="R290" i="1"/>
  <c r="T290" i="1" s="1" a="1"/>
  <c r="T290" i="1" s="1"/>
  <c r="S251" i="1"/>
  <c r="R251" i="1"/>
  <c r="Q251" i="1"/>
  <c r="T251" i="1" s="1" a="1"/>
  <c r="T251" i="1" s="1"/>
  <c r="S26" i="1"/>
  <c r="R26" i="1"/>
  <c r="Q26" i="1"/>
  <c r="Q158" i="1"/>
  <c r="S158" i="1"/>
  <c r="S196" i="1"/>
  <c r="R196" i="1"/>
  <c r="Q135" i="1"/>
  <c r="T135" i="1" s="1" a="1"/>
  <c r="T135" i="1" s="1"/>
  <c r="C104" i="1"/>
  <c r="R51" i="1"/>
  <c r="R127" i="1"/>
  <c r="Q121" i="1"/>
  <c r="T121" i="1" s="1" a="1"/>
  <c r="T121" i="1" s="1"/>
  <c r="F71" i="1"/>
  <c r="R64" i="1"/>
  <c r="R106" i="1"/>
  <c r="S124" i="1"/>
  <c r="S265" i="1"/>
  <c r="Q45" i="1"/>
  <c r="Q138" i="1"/>
  <c r="R138" i="1"/>
  <c r="S238" i="1"/>
  <c r="Q238" i="1"/>
  <c r="Q247" i="1"/>
  <c r="S247" i="1"/>
  <c r="R247" i="1"/>
  <c r="R266" i="1"/>
  <c r="S266" i="1"/>
  <c r="R288" i="1"/>
  <c r="Q288" i="1"/>
  <c r="S288" i="1"/>
  <c r="R120" i="1"/>
  <c r="K70" i="1"/>
  <c r="Q54" i="1"/>
  <c r="S51" i="1"/>
  <c r="Q61" i="1"/>
  <c r="T61" i="1" s="1" a="1"/>
  <c r="T61" i="1" s="1"/>
  <c r="I106" i="1"/>
  <c r="S63" i="1"/>
  <c r="G126" i="1"/>
  <c r="Q96" i="1"/>
  <c r="G92" i="1"/>
  <c r="R195" i="1"/>
  <c r="J162" i="1"/>
  <c r="Q127" i="1"/>
  <c r="R156" i="1"/>
  <c r="H157" i="1"/>
  <c r="E157" i="1"/>
  <c r="F157" i="1"/>
  <c r="S278" i="1"/>
  <c r="Q278" i="1"/>
  <c r="R278" i="1"/>
  <c r="Q103" i="1"/>
  <c r="S157" i="1"/>
  <c r="R192" i="1"/>
  <c r="S194" i="1"/>
  <c r="R194" i="1"/>
  <c r="S173" i="1"/>
  <c r="R173" i="1"/>
  <c r="T173" i="1" s="1" a="1"/>
  <c r="T173" i="1" s="1"/>
  <c r="I51" i="1"/>
  <c r="Q41" i="1"/>
  <c r="S45" i="1"/>
  <c r="R47" i="1"/>
  <c r="Q157" i="1"/>
  <c r="S85" i="1"/>
  <c r="R58" i="1"/>
  <c r="R90" i="1"/>
  <c r="S90" i="1"/>
  <c r="G70" i="1"/>
  <c r="J98" i="1"/>
  <c r="C99" i="1"/>
  <c r="Q111" i="1"/>
  <c r="G99" i="1"/>
  <c r="S192" i="1"/>
  <c r="L150" i="1"/>
  <c r="H150" i="1"/>
  <c r="K150" i="1"/>
  <c r="L157" i="1"/>
  <c r="S166" i="1"/>
  <c r="R236" i="1"/>
  <c r="S211" i="1"/>
  <c r="R298" i="1"/>
  <c r="T298" i="1" s="1" a="1"/>
  <c r="T298" i="1" s="1"/>
  <c r="Q188" i="1"/>
  <c r="T188" i="1" s="1" a="1"/>
  <c r="T188" i="1" s="1"/>
  <c r="S188" i="1"/>
  <c r="Q165" i="1"/>
  <c r="S165" i="1"/>
  <c r="R165" i="1"/>
  <c r="Q191" i="1"/>
  <c r="S191" i="1"/>
  <c r="T191" i="1" s="1" a="1"/>
  <c r="T191" i="1" s="1"/>
  <c r="R191" i="1"/>
  <c r="S207" i="1"/>
  <c r="T207" i="1" s="1" a="1"/>
  <c r="T207" i="1" s="1"/>
  <c r="Q207" i="1"/>
  <c r="R207" i="1"/>
  <c r="S163" i="1"/>
  <c r="R163" i="1"/>
  <c r="Q163" i="1"/>
  <c r="S292" i="1"/>
  <c r="R292" i="1"/>
  <c r="Q292" i="1"/>
  <c r="R226" i="1"/>
  <c r="Q226" i="1"/>
  <c r="T226" i="1" s="1" a="1"/>
  <c r="T226" i="1" s="1"/>
  <c r="Q37" i="1"/>
  <c r="S125" i="1"/>
  <c r="H49" i="1"/>
  <c r="Q85" i="1"/>
  <c r="K46" i="1"/>
  <c r="D38" i="1"/>
  <c r="D162" i="1"/>
  <c r="S69" i="1"/>
  <c r="K99" i="1"/>
  <c r="T86" i="1" a="1"/>
  <c r="T86" i="1" s="1"/>
  <c r="C92" i="1"/>
  <c r="R101" i="1"/>
  <c r="R96" i="1"/>
  <c r="L78" i="1"/>
  <c r="H198" i="1"/>
  <c r="J198" i="1"/>
  <c r="L198" i="1"/>
  <c r="F163" i="1"/>
  <c r="F169" i="1"/>
  <c r="H169" i="1"/>
  <c r="Q166" i="1"/>
  <c r="S226" i="1"/>
  <c r="S296" i="1"/>
  <c r="Q296" i="1"/>
  <c r="R296" i="1"/>
  <c r="S256" i="1"/>
  <c r="Q256" i="1"/>
  <c r="R256" i="1"/>
  <c r="S9" i="1"/>
  <c r="R9" i="1"/>
  <c r="Q9" i="1"/>
  <c r="S153" i="1"/>
  <c r="Q153" i="1"/>
  <c r="Q116" i="1"/>
  <c r="R116" i="1"/>
  <c r="C20" i="1"/>
  <c r="K98" i="1"/>
  <c r="D98" i="1"/>
  <c r="D59" i="1"/>
  <c r="C34" i="1"/>
  <c r="H70" i="1"/>
  <c r="F77" i="1"/>
  <c r="E99" i="1"/>
  <c r="R54" i="1"/>
  <c r="S102" i="1"/>
  <c r="Q53" i="1"/>
  <c r="C70" i="1"/>
  <c r="Q120" i="1"/>
  <c r="K56" i="1"/>
  <c r="Q102" i="1"/>
  <c r="J71" i="1"/>
  <c r="R129" i="1"/>
  <c r="T129" i="1" s="1" a="1"/>
  <c r="T129" i="1" s="1"/>
  <c r="G100" i="1"/>
  <c r="H131" i="1"/>
  <c r="Q79" i="1"/>
  <c r="R103" i="1"/>
  <c r="J135" i="1"/>
  <c r="C191" i="1"/>
  <c r="E191" i="1"/>
  <c r="J191" i="1"/>
  <c r="R238" i="1"/>
  <c r="D295" i="1"/>
  <c r="H295" i="1"/>
  <c r="S16" i="1"/>
  <c r="H17" i="1"/>
  <c r="C17" i="1"/>
  <c r="F17" i="1"/>
  <c r="G17" i="1"/>
  <c r="I17" i="1"/>
  <c r="J17" i="1"/>
  <c r="K17" i="1"/>
  <c r="D8" i="1"/>
  <c r="F8" i="1"/>
  <c r="H8" i="1"/>
  <c r="K8" i="1"/>
  <c r="G8" i="1"/>
  <c r="L8" i="1"/>
  <c r="C8" i="1"/>
  <c r="E8" i="1"/>
  <c r="S37" i="1"/>
  <c r="R60" i="1"/>
  <c r="T60" i="1" s="1" a="1"/>
  <c r="T60" i="1" s="1"/>
  <c r="M22" i="1"/>
  <c r="S77" i="1"/>
  <c r="H77" i="1"/>
  <c r="C56" i="1"/>
  <c r="D78" i="1"/>
  <c r="I75" i="1"/>
  <c r="H98" i="1"/>
  <c r="L103" i="1"/>
  <c r="I102" i="1"/>
  <c r="E102" i="1"/>
  <c r="D102" i="1"/>
  <c r="I103" i="1"/>
  <c r="S109" i="1"/>
  <c r="I105" i="1"/>
  <c r="C123" i="1"/>
  <c r="K123" i="1"/>
  <c r="I123" i="1"/>
  <c r="D123" i="1"/>
  <c r="J157" i="1"/>
  <c r="L169" i="1"/>
  <c r="L184" i="1"/>
  <c r="J184" i="1"/>
  <c r="I184" i="1"/>
  <c r="E184" i="1"/>
  <c r="D184" i="1"/>
  <c r="G184" i="1"/>
  <c r="D244" i="1"/>
  <c r="K244" i="1"/>
  <c r="J244" i="1"/>
  <c r="H244" i="1"/>
  <c r="F244" i="1"/>
  <c r="I244" i="1"/>
  <c r="Q290" i="1"/>
  <c r="R237" i="1"/>
  <c r="Q237" i="1"/>
  <c r="S237" i="1"/>
  <c r="S179" i="1"/>
  <c r="Q179" i="1"/>
  <c r="R179" i="1"/>
  <c r="S245" i="1"/>
  <c r="Q245" i="1"/>
  <c r="R245" i="1"/>
  <c r="R228" i="1"/>
  <c r="S228" i="1"/>
  <c r="Q228" i="1"/>
  <c r="Q132" i="1"/>
  <c r="S132" i="1"/>
  <c r="Q268" i="1"/>
  <c r="S268" i="1"/>
  <c r="R268" i="1"/>
  <c r="H51" i="1"/>
  <c r="C39" i="1"/>
  <c r="S44" i="1"/>
  <c r="R125" i="1"/>
  <c r="T125" i="1" s="1" a="1"/>
  <c r="T125" i="1" s="1"/>
  <c r="D108" i="1"/>
  <c r="Q108" i="1"/>
  <c r="T108" i="1" s="1" a="1"/>
  <c r="T108" i="1" s="1"/>
  <c r="Q87" i="1"/>
  <c r="J118" i="1"/>
  <c r="F118" i="1"/>
  <c r="R111" i="1"/>
  <c r="J146" i="1"/>
  <c r="F150" i="1"/>
  <c r="R300" i="1"/>
  <c r="Q255" i="1"/>
  <c r="S255" i="1"/>
  <c r="S143" i="1"/>
  <c r="Q177" i="1"/>
  <c r="R177" i="1"/>
  <c r="S135" i="1"/>
  <c r="S60" i="1"/>
  <c r="Q197" i="1"/>
  <c r="T197" i="1" s="1" a="1"/>
  <c r="T197" i="1" s="1"/>
  <c r="S197" i="1"/>
  <c r="R56" i="1"/>
  <c r="Q160" i="1"/>
  <c r="S160" i="1"/>
  <c r="R206" i="1"/>
  <c r="Q206" i="1"/>
  <c r="Q244" i="1"/>
  <c r="S244" i="1"/>
  <c r="R15" i="1"/>
  <c r="R28" i="1"/>
  <c r="L106" i="1"/>
  <c r="J106" i="1"/>
  <c r="G106" i="1"/>
  <c r="S108" i="1"/>
  <c r="R157" i="1"/>
  <c r="S147" i="1"/>
  <c r="T147" i="1" s="1" a="1"/>
  <c r="T147" i="1" s="1"/>
  <c r="S64" i="1"/>
  <c r="S177" i="1"/>
  <c r="Q295" i="1"/>
  <c r="S95" i="1"/>
  <c r="R250" i="1"/>
  <c r="S250" i="1"/>
  <c r="Q250" i="1"/>
  <c r="Q22" i="1"/>
  <c r="R22" i="1"/>
  <c r="S22" i="1"/>
  <c r="R17" i="1"/>
  <c r="Q17" i="1"/>
  <c r="Q214" i="1"/>
  <c r="S214" i="1"/>
  <c r="S283" i="1"/>
  <c r="R283" i="1"/>
  <c r="T283" i="1" s="1" a="1"/>
  <c r="T283" i="1" s="1"/>
  <c r="S24" i="1"/>
  <c r="Q24" i="1"/>
  <c r="R294" i="1"/>
  <c r="Q294" i="1"/>
  <c r="T294" i="1" s="1" a="1"/>
  <c r="T294" i="1" s="1"/>
  <c r="S294" i="1"/>
  <c r="Q239" i="1"/>
  <c r="T239" i="1" s="1" a="1"/>
  <c r="T239" i="1" s="1"/>
  <c r="S239" i="1"/>
  <c r="R198" i="1"/>
  <c r="Q198" i="1"/>
  <c r="R137" i="1"/>
  <c r="S137" i="1"/>
  <c r="T137" i="1" s="1" a="1"/>
  <c r="T137" i="1" s="1"/>
  <c r="S30" i="1"/>
  <c r="R30" i="1"/>
  <c r="Q28" i="1"/>
  <c r="J45" i="1"/>
  <c r="F27" i="1"/>
  <c r="G27" i="1"/>
  <c r="G59" i="1"/>
  <c r="C83" i="1"/>
  <c r="L71" i="1"/>
  <c r="K103" i="1"/>
  <c r="G162" i="1"/>
  <c r="E100" i="1"/>
  <c r="R79" i="1"/>
  <c r="R126" i="1"/>
  <c r="E98" i="1"/>
  <c r="S156" i="1"/>
  <c r="E127" i="1"/>
  <c r="F127" i="1"/>
  <c r="Q196" i="1"/>
  <c r="G228" i="1"/>
  <c r="I97" i="1"/>
  <c r="T155" i="1" a="1"/>
  <c r="T155" i="1" s="1"/>
  <c r="G170" i="1"/>
  <c r="I208" i="1"/>
  <c r="H151" i="1"/>
  <c r="D171" i="1"/>
  <c r="D187" i="1"/>
  <c r="F251" i="1"/>
  <c r="J243" i="1"/>
  <c r="L243" i="1"/>
  <c r="H225" i="1"/>
  <c r="L264" i="1"/>
  <c r="G298" i="1"/>
  <c r="L287" i="1"/>
  <c r="F13" i="1"/>
  <c r="J18" i="1"/>
  <c r="K179" i="1"/>
  <c r="I144" i="1"/>
  <c r="F200" i="1"/>
  <c r="K181" i="1"/>
  <c r="D173" i="1"/>
  <c r="J196" i="1"/>
  <c r="E171" i="1"/>
  <c r="L187" i="1"/>
  <c r="L277" i="1"/>
  <c r="J251" i="1"/>
  <c r="K231" i="1"/>
  <c r="H248" i="1"/>
  <c r="F221" i="1"/>
  <c r="H253" i="1"/>
  <c r="E282" i="1"/>
  <c r="D286" i="1"/>
  <c r="E286" i="1"/>
  <c r="I291" i="1"/>
  <c r="J299" i="1"/>
  <c r="F265" i="1"/>
  <c r="F41" i="1"/>
  <c r="J189" i="1"/>
  <c r="L165" i="1"/>
  <c r="F196" i="1"/>
  <c r="J181" i="1"/>
  <c r="J222" i="1"/>
  <c r="K170" i="1"/>
  <c r="I243" i="1"/>
  <c r="G251" i="1"/>
  <c r="D253" i="1"/>
  <c r="C230" i="1"/>
  <c r="D243" i="1"/>
  <c r="E233" i="1"/>
  <c r="I233" i="1"/>
  <c r="E231" i="1"/>
  <c r="G287" i="1"/>
  <c r="H264" i="1"/>
  <c r="H288" i="1"/>
  <c r="C298" i="1"/>
  <c r="T270" i="1" a="1"/>
  <c r="T270" i="1" s="1"/>
  <c r="L292" i="1"/>
  <c r="L291" i="1"/>
  <c r="D41" i="1"/>
  <c r="M41" i="1" s="1"/>
  <c r="F291" i="1"/>
  <c r="E251" i="1"/>
  <c r="L251" i="1"/>
  <c r="G291" i="1"/>
  <c r="H291" i="1"/>
  <c r="J193" i="1"/>
  <c r="I206" i="1"/>
  <c r="G210" i="1"/>
  <c r="C252" i="1"/>
  <c r="H210" i="1"/>
  <c r="K251" i="1"/>
  <c r="E291" i="1"/>
  <c r="K165" i="1"/>
  <c r="I237" i="1"/>
  <c r="D177" i="1"/>
  <c r="H167" i="1"/>
  <c r="C186" i="1"/>
  <c r="E181" i="1"/>
  <c r="L180" i="1"/>
  <c r="C210" i="1"/>
  <c r="F231" i="1"/>
  <c r="L209" i="1"/>
  <c r="I210" i="1"/>
  <c r="F238" i="1"/>
  <c r="G264" i="1"/>
  <c r="J225" i="1"/>
  <c r="E253" i="1"/>
  <c r="H238" i="1"/>
  <c r="K264" i="1"/>
  <c r="G292" i="1"/>
  <c r="C286" i="1"/>
  <c r="E237" i="1"/>
  <c r="L231" i="1"/>
  <c r="K292" i="1"/>
  <c r="H233" i="1"/>
  <c r="D291" i="1"/>
  <c r="H299" i="1"/>
  <c r="I279" i="1"/>
  <c r="G286" i="1"/>
  <c r="K275" i="1"/>
  <c r="F253" i="1"/>
  <c r="J286" i="1"/>
  <c r="E288" i="1"/>
  <c r="F29" i="1"/>
  <c r="N29" i="1" s="1" a="1"/>
  <c r="N29" i="1" s="1"/>
  <c r="E41" i="1"/>
  <c r="G13" i="1"/>
  <c r="F121" i="1"/>
  <c r="K171" i="1"/>
  <c r="L193" i="1"/>
  <c r="J224" i="1"/>
  <c r="C165" i="1"/>
  <c r="G181" i="1"/>
  <c r="D200" i="1"/>
  <c r="L210" i="1"/>
  <c r="J237" i="1"/>
  <c r="F263" i="1"/>
  <c r="L241" i="1"/>
  <c r="C290" i="1"/>
  <c r="G299" i="1"/>
  <c r="K281" i="1"/>
  <c r="C257" i="1"/>
  <c r="L280" i="1"/>
  <c r="G262" i="1"/>
  <c r="H262" i="1"/>
  <c r="L279" i="1"/>
  <c r="J258" i="1"/>
  <c r="D288" i="1"/>
  <c r="M288" i="1" s="1"/>
  <c r="E33" i="1"/>
  <c r="I264" i="1"/>
  <c r="K225" i="1"/>
  <c r="E298" i="1"/>
  <c r="E289" i="1"/>
  <c r="C280" i="1"/>
  <c r="I265" i="1"/>
  <c r="D25" i="1"/>
  <c r="F33" i="1"/>
  <c r="J167" i="1"/>
  <c r="K167" i="1"/>
  <c r="C278" i="1"/>
  <c r="H237" i="1"/>
  <c r="I263" i="1"/>
  <c r="E264" i="1"/>
  <c r="K76" i="1"/>
  <c r="L79" i="1"/>
  <c r="F64" i="1"/>
  <c r="G64" i="1"/>
  <c r="D80" i="1"/>
  <c r="I80" i="1"/>
  <c r="H154" i="1"/>
  <c r="G97" i="1"/>
  <c r="G114" i="1"/>
  <c r="H114" i="1"/>
  <c r="E114" i="1"/>
  <c r="J96" i="1"/>
  <c r="I114" i="1"/>
  <c r="G156" i="1"/>
  <c r="T142" i="1" a="1"/>
  <c r="T142" i="1" s="1"/>
  <c r="G154" i="1"/>
  <c r="L164" i="1"/>
  <c r="G164" i="1"/>
  <c r="C164" i="1"/>
  <c r="C211" i="1"/>
  <c r="J211" i="1"/>
  <c r="F211" i="1"/>
  <c r="I195" i="1"/>
  <c r="H195" i="1"/>
  <c r="D195" i="1"/>
  <c r="L195" i="1"/>
  <c r="C195" i="1"/>
  <c r="G195" i="1"/>
  <c r="J195" i="1"/>
  <c r="H216" i="1"/>
  <c r="F216" i="1"/>
  <c r="J216" i="1"/>
  <c r="G216" i="1"/>
  <c r="E247" i="1"/>
  <c r="K247" i="1"/>
  <c r="L247" i="1"/>
  <c r="G247" i="1"/>
  <c r="D247" i="1"/>
  <c r="J247" i="1"/>
  <c r="F247" i="1"/>
  <c r="L266" i="1"/>
  <c r="K266" i="1"/>
  <c r="E266" i="1"/>
  <c r="D266" i="1"/>
  <c r="G266" i="1"/>
  <c r="F61" i="1"/>
  <c r="C51" i="1"/>
  <c r="H80" i="1"/>
  <c r="K97" i="1"/>
  <c r="D51" i="1"/>
  <c r="D83" i="1"/>
  <c r="F100" i="1"/>
  <c r="H100" i="1"/>
  <c r="J61" i="1"/>
  <c r="H86" i="1"/>
  <c r="E86" i="1"/>
  <c r="L139" i="1"/>
  <c r="I154" i="1"/>
  <c r="J75" i="1"/>
  <c r="E96" i="1"/>
  <c r="D91" i="1"/>
  <c r="K80" i="1"/>
  <c r="H91" i="1"/>
  <c r="H101" i="1"/>
  <c r="L101" i="1"/>
  <c r="E148" i="1"/>
  <c r="D148" i="1"/>
  <c r="K147" i="1"/>
  <c r="L136" i="1"/>
  <c r="G161" i="1"/>
  <c r="D161" i="1"/>
  <c r="C135" i="1"/>
  <c r="D183" i="1"/>
  <c r="H183" i="1"/>
  <c r="I183" i="1"/>
  <c r="F183" i="1"/>
  <c r="K183" i="1"/>
  <c r="C183" i="1"/>
  <c r="E297" i="1"/>
  <c r="L297" i="1"/>
  <c r="C297" i="1"/>
  <c r="I297" i="1"/>
  <c r="K297" i="1"/>
  <c r="E296" i="1"/>
  <c r="D296" i="1"/>
  <c r="L296" i="1"/>
  <c r="I296" i="1"/>
  <c r="O177" i="1"/>
  <c r="O300" i="1"/>
  <c r="J91" i="1"/>
  <c r="D47" i="1"/>
  <c r="E43" i="1"/>
  <c r="H88" i="1"/>
  <c r="J74" i="1"/>
  <c r="D75" i="1"/>
  <c r="T88" i="1" a="1"/>
  <c r="T88" i="1" s="1"/>
  <c r="F114" i="1"/>
  <c r="F54" i="1"/>
  <c r="E115" i="1"/>
  <c r="J59" i="1"/>
  <c r="I66" i="1"/>
  <c r="K106" i="1"/>
  <c r="C91" i="1"/>
  <c r="D131" i="1"/>
  <c r="J115" i="1"/>
  <c r="J80" i="1"/>
  <c r="E59" i="1"/>
  <c r="C148" i="1"/>
  <c r="I156" i="1"/>
  <c r="C155" i="1"/>
  <c r="L155" i="1"/>
  <c r="I155" i="1"/>
  <c r="K155" i="1"/>
  <c r="I215" i="1"/>
  <c r="J215" i="1"/>
  <c r="J197" i="1"/>
  <c r="K197" i="1"/>
  <c r="G197" i="1"/>
  <c r="D197" i="1"/>
  <c r="T193" i="1" a="1"/>
  <c r="T193" i="1" s="1"/>
  <c r="L229" i="1"/>
  <c r="C229" i="1"/>
  <c r="K229" i="1"/>
  <c r="H229" i="1"/>
  <c r="F229" i="1"/>
  <c r="G229" i="1"/>
  <c r="I229" i="1"/>
  <c r="H235" i="1"/>
  <c r="D235" i="1"/>
  <c r="I235" i="1"/>
  <c r="G235" i="1"/>
  <c r="E235" i="1"/>
  <c r="J272" i="1"/>
  <c r="C272" i="1"/>
  <c r="I272" i="1"/>
  <c r="F272" i="1"/>
  <c r="D272" i="1"/>
  <c r="J284" i="1"/>
  <c r="F284" i="1"/>
  <c r="D284" i="1"/>
  <c r="L284" i="1"/>
  <c r="C284" i="1"/>
  <c r="I284" i="1"/>
  <c r="K284" i="1"/>
  <c r="E284" i="1"/>
  <c r="G284" i="1"/>
  <c r="E91" i="1"/>
  <c r="D64" i="1"/>
  <c r="J38" i="1"/>
  <c r="F97" i="1"/>
  <c r="L38" i="1"/>
  <c r="G147" i="1"/>
  <c r="O47" i="1"/>
  <c r="F93" i="1"/>
  <c r="C26" i="1"/>
  <c r="K50" i="1"/>
  <c r="L70" i="1"/>
  <c r="D110" i="1"/>
  <c r="F110" i="1"/>
  <c r="K53" i="1"/>
  <c r="H53" i="1"/>
  <c r="I67" i="1"/>
  <c r="F88" i="1"/>
  <c r="C108" i="1"/>
  <c r="T72" i="1" a="1"/>
  <c r="T72" i="1" s="1"/>
  <c r="L88" i="1"/>
  <c r="K59" i="1"/>
  <c r="F74" i="1"/>
  <c r="E85" i="1"/>
  <c r="L108" i="1"/>
  <c r="L166" i="1"/>
  <c r="H166" i="1"/>
  <c r="G81" i="1"/>
  <c r="D100" i="1"/>
  <c r="H97" i="1"/>
  <c r="I132" i="1"/>
  <c r="L81" i="1"/>
  <c r="K131" i="1"/>
  <c r="G83" i="1"/>
  <c r="T132" i="1" a="1"/>
  <c r="T132" i="1" s="1"/>
  <c r="E71" i="1"/>
  <c r="L135" i="1"/>
  <c r="G131" i="1"/>
  <c r="H149" i="1"/>
  <c r="C170" i="1"/>
  <c r="D170" i="1"/>
  <c r="I170" i="1"/>
  <c r="H170" i="1"/>
  <c r="E170" i="1"/>
  <c r="C185" i="1"/>
  <c r="L185" i="1"/>
  <c r="G185" i="1"/>
  <c r="I171" i="1"/>
  <c r="L171" i="1"/>
  <c r="H171" i="1"/>
  <c r="F171" i="1"/>
  <c r="F297" i="1"/>
  <c r="C283" i="1"/>
  <c r="E283" i="1"/>
  <c r="H283" i="1"/>
  <c r="G283" i="1"/>
  <c r="I283" i="1"/>
  <c r="L283" i="1"/>
  <c r="F283" i="1"/>
  <c r="K55" i="1"/>
  <c r="N69" i="1" a="1"/>
  <c r="N69" i="1" s="1"/>
  <c r="F115" i="1"/>
  <c r="H61" i="1"/>
  <c r="L54" i="1"/>
  <c r="C97" i="1"/>
  <c r="T110" i="1" a="1"/>
  <c r="T110" i="1" s="1"/>
  <c r="G96" i="1"/>
  <c r="F83" i="1"/>
  <c r="L115" i="1"/>
  <c r="K136" i="1"/>
  <c r="J148" i="1"/>
  <c r="F195" i="1"/>
  <c r="I202" i="1"/>
  <c r="K202" i="1"/>
  <c r="E202" i="1"/>
  <c r="J202" i="1"/>
  <c r="F202" i="1"/>
  <c r="D218" i="1"/>
  <c r="J218" i="1"/>
  <c r="L218" i="1"/>
  <c r="H218" i="1"/>
  <c r="K218" i="1"/>
  <c r="K272" i="1"/>
  <c r="F260" i="1"/>
  <c r="H260" i="1"/>
  <c r="J260" i="1"/>
  <c r="G260" i="1"/>
  <c r="D260" i="1"/>
  <c r="K260" i="1"/>
  <c r="L260" i="1"/>
  <c r="E260" i="1"/>
  <c r="L61" i="1"/>
  <c r="F51" i="1"/>
  <c r="G51" i="1"/>
  <c r="H47" i="1"/>
  <c r="C59" i="1"/>
  <c r="I59" i="1"/>
  <c r="K115" i="1"/>
  <c r="D34" i="1"/>
  <c r="K94" i="1"/>
  <c r="E94" i="1"/>
  <c r="C106" i="1"/>
  <c r="E106" i="1"/>
  <c r="E88" i="1"/>
  <c r="H117" i="1"/>
  <c r="L55" i="1"/>
  <c r="T74" i="1" a="1"/>
  <c r="T74" i="1" s="1"/>
  <c r="D55" i="1"/>
  <c r="E70" i="1"/>
  <c r="E113" i="1"/>
  <c r="K114" i="1"/>
  <c r="H132" i="1"/>
  <c r="F96" i="1"/>
  <c r="T112" i="1" a="1"/>
  <c r="T112" i="1" s="1"/>
  <c r="I96" i="1"/>
  <c r="D86" i="1"/>
  <c r="H135" i="1"/>
  <c r="C138" i="1"/>
  <c r="F138" i="1"/>
  <c r="I220" i="1"/>
  <c r="C220" i="1"/>
  <c r="J155" i="1"/>
  <c r="C168" i="1"/>
  <c r="H168" i="1"/>
  <c r="E188" i="1"/>
  <c r="J188" i="1"/>
  <c r="I188" i="1"/>
  <c r="I174" i="1"/>
  <c r="F174" i="1"/>
  <c r="T172" i="1" a="1"/>
  <c r="T172" i="1" s="1"/>
  <c r="E204" i="1"/>
  <c r="C204" i="1"/>
  <c r="G204" i="1"/>
  <c r="K204" i="1"/>
  <c r="E195" i="1"/>
  <c r="C235" i="1"/>
  <c r="E201" i="1"/>
  <c r="D201" i="1"/>
  <c r="L201" i="1"/>
  <c r="F201" i="1"/>
  <c r="H201" i="1"/>
  <c r="G201" i="1"/>
  <c r="E232" i="1"/>
  <c r="I232" i="1"/>
  <c r="H232" i="1"/>
  <c r="F232" i="1"/>
  <c r="E229" i="1"/>
  <c r="K250" i="1"/>
  <c r="L250" i="1"/>
  <c r="K235" i="1"/>
  <c r="F294" i="1"/>
  <c r="D294" i="1"/>
  <c r="F271" i="1"/>
  <c r="E271" i="1"/>
  <c r="D271" i="1"/>
  <c r="H271" i="1"/>
  <c r="K79" i="1"/>
  <c r="I64" i="1"/>
  <c r="I50" i="1"/>
  <c r="K45" i="1"/>
  <c r="G55" i="1"/>
  <c r="E135" i="1"/>
  <c r="I86" i="1"/>
  <c r="F59" i="1"/>
  <c r="G71" i="1"/>
  <c r="I94" i="1"/>
  <c r="F152" i="1"/>
  <c r="I152" i="1"/>
  <c r="C74" i="1"/>
  <c r="F92" i="1"/>
  <c r="I92" i="1"/>
  <c r="J83" i="1"/>
  <c r="H92" i="1"/>
  <c r="T113" i="1" a="1"/>
  <c r="T113" i="1" s="1"/>
  <c r="E133" i="1"/>
  <c r="J86" i="1"/>
  <c r="G105" i="1"/>
  <c r="I99" i="1"/>
  <c r="D99" i="1"/>
  <c r="J97" i="1"/>
  <c r="L85" i="1"/>
  <c r="D106" i="1"/>
  <c r="E155" i="1"/>
  <c r="F155" i="1"/>
  <c r="G155" i="1"/>
  <c r="L161" i="1"/>
  <c r="F188" i="1"/>
  <c r="I164" i="1"/>
  <c r="H165" i="1"/>
  <c r="J165" i="1"/>
  <c r="G165" i="1"/>
  <c r="D165" i="1"/>
  <c r="I197" i="1"/>
  <c r="E169" i="1"/>
  <c r="K188" i="1"/>
  <c r="F235" i="1"/>
  <c r="H284" i="1"/>
  <c r="E295" i="1"/>
  <c r="F65" i="1"/>
  <c r="M37" i="1"/>
  <c r="J64" i="1"/>
  <c r="K64" i="1"/>
  <c r="H115" i="1"/>
  <c r="D115" i="1"/>
  <c r="I115" i="1"/>
  <c r="G115" i="1"/>
  <c r="I136" i="1"/>
  <c r="H136" i="1"/>
  <c r="H64" i="1"/>
  <c r="C158" i="1"/>
  <c r="D202" i="1"/>
  <c r="C266" i="1"/>
  <c r="F217" i="1"/>
  <c r="J217" i="1"/>
  <c r="G217" i="1"/>
  <c r="H217" i="1"/>
  <c r="L217" i="1"/>
  <c r="G250" i="1"/>
  <c r="K274" i="1"/>
  <c r="C274" i="1"/>
  <c r="L259" i="1"/>
  <c r="J259" i="1"/>
  <c r="F259" i="1"/>
  <c r="D259" i="1"/>
  <c r="C259" i="1"/>
  <c r="E259" i="1"/>
  <c r="H259" i="1"/>
  <c r="G259" i="1"/>
  <c r="I259" i="1"/>
  <c r="G79" i="1"/>
  <c r="F79" i="1"/>
  <c r="K91" i="1"/>
  <c r="F91" i="1"/>
  <c r="F154" i="1"/>
  <c r="J154" i="1"/>
  <c r="E154" i="1"/>
  <c r="G202" i="1"/>
  <c r="G183" i="1"/>
  <c r="I216" i="1"/>
  <c r="C161" i="1"/>
  <c r="I194" i="1"/>
  <c r="G194" i="1"/>
  <c r="J229" i="1"/>
  <c r="C247" i="1"/>
  <c r="E218" i="1"/>
  <c r="D88" i="1"/>
  <c r="J88" i="1"/>
  <c r="T19" i="1" a="1"/>
  <c r="T19" i="1" s="1"/>
  <c r="K88" i="1"/>
  <c r="K158" i="1"/>
  <c r="I158" i="1"/>
  <c r="E156" i="1"/>
  <c r="F156" i="1"/>
  <c r="H156" i="1"/>
  <c r="C156" i="1"/>
  <c r="I207" i="1"/>
  <c r="C207" i="1"/>
  <c r="E160" i="1"/>
  <c r="I160" i="1"/>
  <c r="G160" i="1"/>
  <c r="C163" i="1"/>
  <c r="E163" i="1"/>
  <c r="K163" i="1"/>
  <c r="E183" i="1"/>
  <c r="C202" i="1"/>
  <c r="J204" i="1"/>
  <c r="L220" i="1"/>
  <c r="I249" i="1"/>
  <c r="L249" i="1"/>
  <c r="G272" i="1"/>
  <c r="E64" i="1"/>
  <c r="I47" i="1"/>
  <c r="E42" i="1"/>
  <c r="I79" i="1"/>
  <c r="K38" i="1"/>
  <c r="L34" i="1"/>
  <c r="C47" i="1"/>
  <c r="O27" i="1"/>
  <c r="I20" i="1"/>
  <c r="C67" i="1"/>
  <c r="C64" i="1"/>
  <c r="I70" i="1"/>
  <c r="H94" i="1"/>
  <c r="D164" i="1"/>
  <c r="D61" i="1"/>
  <c r="C96" i="1"/>
  <c r="G56" i="1"/>
  <c r="L67" i="1"/>
  <c r="L59" i="1"/>
  <c r="H58" i="1"/>
  <c r="O120" i="1"/>
  <c r="H147" i="1"/>
  <c r="H93" i="1"/>
  <c r="I101" i="1"/>
  <c r="G108" i="1"/>
  <c r="I88" i="1"/>
  <c r="F103" i="1"/>
  <c r="J164" i="1"/>
  <c r="D94" i="1"/>
  <c r="K117" i="1"/>
  <c r="E55" i="1"/>
  <c r="E67" i="1"/>
  <c r="J89" i="1"/>
  <c r="K89" i="1"/>
  <c r="H99" i="1"/>
  <c r="E139" i="1"/>
  <c r="D160" i="1"/>
  <c r="J161" i="1"/>
  <c r="J160" i="1"/>
  <c r="K201" i="1"/>
  <c r="F204" i="1"/>
  <c r="I163" i="1"/>
  <c r="E164" i="1"/>
  <c r="I161" i="1"/>
  <c r="D204" i="1"/>
  <c r="L183" i="1"/>
  <c r="L242" i="1"/>
  <c r="C242" i="1"/>
  <c r="I218" i="1"/>
  <c r="J235" i="1"/>
  <c r="J266" i="1"/>
  <c r="H11" i="1"/>
  <c r="E11" i="1"/>
  <c r="C11" i="1"/>
  <c r="M90" i="1"/>
  <c r="E79" i="1"/>
  <c r="H55" i="1"/>
  <c r="G75" i="1"/>
  <c r="C98" i="1"/>
  <c r="L98" i="1"/>
  <c r="F98" i="1"/>
  <c r="D74" i="1"/>
  <c r="D67" i="1"/>
  <c r="T78" i="1" a="1"/>
  <c r="T78" i="1" s="1"/>
  <c r="G94" i="1"/>
  <c r="L80" i="1"/>
  <c r="H106" i="1"/>
  <c r="I83" i="1"/>
  <c r="D70" i="1"/>
  <c r="D79" i="1"/>
  <c r="E60" i="1"/>
  <c r="C105" i="1"/>
  <c r="K120" i="1"/>
  <c r="J120" i="1"/>
  <c r="G74" i="1"/>
  <c r="J94" i="1"/>
  <c r="L119" i="1"/>
  <c r="D119" i="1"/>
  <c r="J158" i="1"/>
  <c r="C103" i="1"/>
  <c r="C130" i="1"/>
  <c r="H119" i="1"/>
  <c r="H79" i="1"/>
  <c r="L142" i="1"/>
  <c r="I142" i="1"/>
  <c r="K207" i="1"/>
  <c r="L216" i="1"/>
  <c r="J166" i="1"/>
  <c r="G145" i="1"/>
  <c r="H145" i="1"/>
  <c r="F145" i="1"/>
  <c r="E145" i="1"/>
  <c r="D134" i="1"/>
  <c r="L134" i="1"/>
  <c r="I134" i="1"/>
  <c r="L162" i="1"/>
  <c r="C162" i="1"/>
  <c r="C200" i="1"/>
  <c r="H200" i="1"/>
  <c r="J200" i="1"/>
  <c r="T216" i="1" a="1"/>
  <c r="T216" i="1" s="1"/>
  <c r="C201" i="1"/>
  <c r="G236" i="1"/>
  <c r="I236" i="1"/>
  <c r="L236" i="1"/>
  <c r="D77" i="1"/>
  <c r="D180" i="1"/>
  <c r="I209" i="1"/>
  <c r="J209" i="1"/>
  <c r="T259" i="1" a="1"/>
  <c r="T259" i="1" s="1"/>
  <c r="G209" i="1"/>
  <c r="J228" i="1"/>
  <c r="E239" i="1"/>
  <c r="L225" i="1"/>
  <c r="C243" i="1"/>
  <c r="D233" i="1"/>
  <c r="E222" i="1"/>
  <c r="F246" i="1"/>
  <c r="J293" i="1"/>
  <c r="G243" i="1"/>
  <c r="L239" i="1"/>
  <c r="E258" i="1"/>
  <c r="I275" i="1"/>
  <c r="G290" i="1"/>
  <c r="C264" i="1"/>
  <c r="F281" i="1"/>
  <c r="T297" i="1" a="1"/>
  <c r="T297" i="1" s="1"/>
  <c r="I269" i="1"/>
  <c r="I289" i="1"/>
  <c r="E7" i="1"/>
  <c r="I13" i="1"/>
  <c r="F10" i="1"/>
  <c r="G300" i="1"/>
  <c r="D151" i="1"/>
  <c r="T164" i="1" a="1"/>
  <c r="T164" i="1" s="1"/>
  <c r="T146" i="1" a="1"/>
  <c r="T146" i="1" s="1"/>
  <c r="G157" i="1"/>
  <c r="I193" i="1"/>
  <c r="G180" i="1"/>
  <c r="F180" i="1"/>
  <c r="T182" i="1" a="1"/>
  <c r="T182" i="1" s="1"/>
  <c r="K191" i="1"/>
  <c r="L233" i="1"/>
  <c r="I203" i="1"/>
  <c r="H222" i="1"/>
  <c r="D241" i="1"/>
  <c r="L273" i="1"/>
  <c r="K241" i="1"/>
  <c r="L244" i="1"/>
  <c r="G239" i="1"/>
  <c r="L265" i="1"/>
  <c r="G246" i="1"/>
  <c r="F225" i="1"/>
  <c r="G263" i="1"/>
  <c r="G225" i="1"/>
  <c r="K280" i="1"/>
  <c r="K257" i="1"/>
  <c r="E279" i="1"/>
  <c r="K13" i="1"/>
  <c r="C25" i="1"/>
  <c r="C16" i="1"/>
  <c r="I300" i="1"/>
  <c r="C300" i="1"/>
  <c r="T218" i="1" a="1"/>
  <c r="T218" i="1" s="1"/>
  <c r="K193" i="1"/>
  <c r="C196" i="1"/>
  <c r="T246" i="1" a="1"/>
  <c r="T246" i="1" s="1"/>
  <c r="C275" i="1"/>
  <c r="T236" i="1" a="1"/>
  <c r="T236" i="1" s="1"/>
  <c r="T269" i="1" a="1"/>
  <c r="T269" i="1" s="1"/>
  <c r="T285" i="1" a="1"/>
  <c r="T285" i="1" s="1"/>
  <c r="I257" i="1"/>
  <c r="F18" i="1"/>
  <c r="E16" i="1"/>
  <c r="T243" i="1" a="1"/>
  <c r="T243" i="1" s="1"/>
  <c r="J257" i="1"/>
  <c r="L16" i="1"/>
  <c r="F300" i="1"/>
  <c r="K300" i="1"/>
  <c r="T151" i="1" a="1"/>
  <c r="T151" i="1" s="1"/>
  <c r="D127" i="1"/>
  <c r="I127" i="1"/>
  <c r="J180" i="1"/>
  <c r="C219" i="1"/>
  <c r="C180" i="1"/>
  <c r="E180" i="1"/>
  <c r="E225" i="1"/>
  <c r="I241" i="1"/>
  <c r="T234" i="1" a="1"/>
  <c r="T234" i="1" s="1"/>
  <c r="G233" i="1"/>
  <c r="F257" i="1"/>
  <c r="C48" i="1"/>
  <c r="M48" i="1" s="1"/>
  <c r="T14" i="1" a="1"/>
  <c r="T14" i="1" s="1"/>
  <c r="T194" i="1" a="1"/>
  <c r="T194" i="1" s="1"/>
  <c r="F212" i="1"/>
  <c r="F181" i="1"/>
  <c r="D246" i="1"/>
  <c r="E243" i="1"/>
  <c r="J280" i="1"/>
  <c r="H263" i="1"/>
  <c r="J265" i="1"/>
  <c r="D262" i="1"/>
  <c r="G282" i="1"/>
  <c r="E257" i="1"/>
  <c r="E269" i="1"/>
  <c r="T273" i="1" a="1"/>
  <c r="T273" i="1" s="1"/>
  <c r="F289" i="1"/>
  <c r="J262" i="1"/>
  <c r="J282" i="1"/>
  <c r="I281" i="1"/>
  <c r="G16" i="1"/>
  <c r="E18" i="1"/>
  <c r="H13" i="1"/>
  <c r="H300" i="1"/>
  <c r="H176" i="1"/>
  <c r="T175" i="1" a="1"/>
  <c r="T175" i="1" s="1"/>
  <c r="T174" i="1" a="1"/>
  <c r="T174" i="1" s="1"/>
  <c r="E241" i="1"/>
  <c r="J241" i="1"/>
  <c r="L289" i="1"/>
  <c r="F233" i="1"/>
  <c r="L268" i="1"/>
  <c r="H282" i="1"/>
  <c r="T289" i="1" a="1"/>
  <c r="T289" i="1" s="1"/>
  <c r="D264" i="1"/>
  <c r="G18" i="1"/>
  <c r="J13" i="1"/>
  <c r="C7" i="1"/>
  <c r="C23" i="1"/>
  <c r="I23" i="1"/>
  <c r="E23" i="1"/>
  <c r="H23" i="1"/>
  <c r="J23" i="1"/>
  <c r="G23" i="1"/>
  <c r="D23" i="1"/>
  <c r="L23" i="1"/>
  <c r="O26" i="1"/>
  <c r="C82" i="1"/>
  <c r="E82" i="1"/>
  <c r="G82" i="1"/>
  <c r="H82" i="1"/>
  <c r="I112" i="1"/>
  <c r="I68" i="1"/>
  <c r="C68" i="1"/>
  <c r="H68" i="1"/>
  <c r="E68" i="1"/>
  <c r="D68" i="1"/>
  <c r="E72" i="1"/>
  <c r="O52" i="1"/>
  <c r="D192" i="1"/>
  <c r="K192" i="1"/>
  <c r="H192" i="1"/>
  <c r="E192" i="1"/>
  <c r="G192" i="1"/>
  <c r="L192" i="1"/>
  <c r="F192" i="1"/>
  <c r="C192" i="1"/>
  <c r="I192" i="1"/>
  <c r="J192" i="1"/>
  <c r="K110" i="1"/>
  <c r="K153" i="1"/>
  <c r="J153" i="1"/>
  <c r="E153" i="1"/>
  <c r="H153" i="1"/>
  <c r="C153" i="1"/>
  <c r="G153" i="1"/>
  <c r="D153" i="1"/>
  <c r="L153" i="1"/>
  <c r="F153" i="1"/>
  <c r="I153" i="1"/>
  <c r="G113" i="1"/>
  <c r="L113" i="1"/>
  <c r="C113" i="1"/>
  <c r="J113" i="1"/>
  <c r="I113" i="1"/>
  <c r="F113" i="1"/>
  <c r="O181" i="1"/>
  <c r="O6" i="1"/>
  <c r="K72" i="1"/>
  <c r="E30" i="1"/>
  <c r="F30" i="1"/>
  <c r="H30" i="1"/>
  <c r="G30" i="1"/>
  <c r="C30" i="1"/>
  <c r="L30" i="1"/>
  <c r="I30" i="1"/>
  <c r="K30" i="1"/>
  <c r="F46" i="1"/>
  <c r="I46" i="1"/>
  <c r="H46" i="1"/>
  <c r="G46" i="1"/>
  <c r="C46" i="1"/>
  <c r="L46" i="1"/>
  <c r="F23" i="1"/>
  <c r="O71" i="1"/>
  <c r="O51" i="1"/>
  <c r="C76" i="1"/>
  <c r="H76" i="1"/>
  <c r="G76" i="1"/>
  <c r="D76" i="1"/>
  <c r="F76" i="1"/>
  <c r="J57" i="1"/>
  <c r="O80" i="1"/>
  <c r="L111" i="1"/>
  <c r="G111" i="1"/>
  <c r="J111" i="1"/>
  <c r="D111" i="1"/>
  <c r="F111" i="1"/>
  <c r="K111" i="1"/>
  <c r="I111" i="1"/>
  <c r="H111" i="1"/>
  <c r="C129" i="1"/>
  <c r="L129" i="1"/>
  <c r="D129" i="1"/>
  <c r="I129" i="1"/>
  <c r="H129" i="1"/>
  <c r="F129" i="1"/>
  <c r="E129" i="1"/>
  <c r="G129" i="1"/>
  <c r="J129" i="1"/>
  <c r="O187" i="1"/>
  <c r="J143" i="1"/>
  <c r="D143" i="1"/>
  <c r="G143" i="1"/>
  <c r="H143" i="1"/>
  <c r="C143" i="1"/>
  <c r="I143" i="1"/>
  <c r="E143" i="1"/>
  <c r="K143" i="1"/>
  <c r="O148" i="1"/>
  <c r="I226" i="1"/>
  <c r="K226" i="1"/>
  <c r="J226" i="1"/>
  <c r="E226" i="1"/>
  <c r="L226" i="1"/>
  <c r="F226" i="1"/>
  <c r="H226" i="1"/>
  <c r="G226" i="1"/>
  <c r="D226" i="1"/>
  <c r="C226" i="1"/>
  <c r="F116" i="1"/>
  <c r="E116" i="1"/>
  <c r="I116" i="1"/>
  <c r="C116" i="1"/>
  <c r="G116" i="1"/>
  <c r="L116" i="1"/>
  <c r="D116" i="1"/>
  <c r="O13" i="1"/>
  <c r="P5" i="1"/>
  <c r="S5" i="1"/>
  <c r="R5" i="1"/>
  <c r="O9" i="1"/>
  <c r="Q5" i="1"/>
  <c r="B5" i="1"/>
  <c r="H5" i="1" s="1"/>
  <c r="O48" i="1"/>
  <c r="O298" i="1"/>
  <c r="O64" i="1"/>
  <c r="O274" i="1"/>
  <c r="O253" i="1"/>
  <c r="O248" i="1"/>
  <c r="O240" i="1"/>
  <c r="O232" i="1"/>
  <c r="O224" i="1"/>
  <c r="O278" i="1"/>
  <c r="O50" i="1"/>
  <c r="O292" i="1"/>
  <c r="O284" i="1"/>
  <c r="O276" i="1"/>
  <c r="O268" i="1"/>
  <c r="O260" i="1"/>
  <c r="O294" i="1"/>
  <c r="O270" i="1"/>
  <c r="O254" i="1"/>
  <c r="O11" i="1"/>
  <c r="O20" i="1"/>
  <c r="O297" i="1"/>
  <c r="O289" i="1"/>
  <c r="O281" i="1"/>
  <c r="O273" i="1"/>
  <c r="O265" i="1"/>
  <c r="O24" i="1"/>
  <c r="O67" i="1"/>
  <c r="O45" i="1"/>
  <c r="O25" i="1"/>
  <c r="O286" i="1"/>
  <c r="O262" i="1"/>
  <c r="O252" i="1"/>
  <c r="O244" i="1"/>
  <c r="O236" i="1"/>
  <c r="O228" i="1"/>
  <c r="O290" i="1"/>
  <c r="O266" i="1"/>
  <c r="O279" i="1"/>
  <c r="O255" i="1"/>
  <c r="O203" i="1"/>
  <c r="O198" i="1"/>
  <c r="O186" i="1"/>
  <c r="O41" i="1"/>
  <c r="O296" i="1"/>
  <c r="O288" i="1"/>
  <c r="O280" i="1"/>
  <c r="O272" i="1"/>
  <c r="O264" i="1"/>
  <c r="O256" i="1"/>
  <c r="O282" i="1"/>
  <c r="O258" i="1"/>
  <c r="O275" i="1"/>
  <c r="O7" i="1"/>
  <c r="O15" i="1"/>
  <c r="O293" i="1"/>
  <c r="O285" i="1"/>
  <c r="O277" i="1"/>
  <c r="O269" i="1"/>
  <c r="O261" i="1"/>
  <c r="O12" i="1"/>
  <c r="O251" i="1"/>
  <c r="O223" i="1"/>
  <c r="O287" i="1"/>
  <c r="O235" i="1"/>
  <c r="O210" i="1"/>
  <c r="O219" i="1"/>
  <c r="O221" i="1"/>
  <c r="O29" i="1"/>
  <c r="O243" i="1"/>
  <c r="O233" i="1"/>
  <c r="O204" i="1"/>
  <c r="O202" i="1"/>
  <c r="O259" i="1"/>
  <c r="O229" i="1"/>
  <c r="O217" i="1"/>
  <c r="O183" i="1"/>
  <c r="O165" i="1"/>
  <c r="O157" i="1"/>
  <c r="O149" i="1"/>
  <c r="O161" i="1"/>
  <c r="O212" i="1"/>
  <c r="O16" i="1"/>
  <c r="O218" i="1"/>
  <c r="O237" i="1"/>
  <c r="O230" i="1"/>
  <c r="O220" i="1"/>
  <c r="O291" i="1"/>
  <c r="O206" i="1"/>
  <c r="O247" i="1"/>
  <c r="O271" i="1"/>
  <c r="O295" i="1"/>
  <c r="O170" i="1"/>
  <c r="O184" i="1"/>
  <c r="O174" i="1"/>
  <c r="O17" i="1"/>
  <c r="O263" i="1"/>
  <c r="O225" i="1"/>
  <c r="O222" i="1"/>
  <c r="O208" i="1"/>
  <c r="O239" i="1"/>
  <c r="O205" i="1"/>
  <c r="O194" i="1"/>
  <c r="O241" i="1"/>
  <c r="O231" i="1"/>
  <c r="O216" i="1"/>
  <c r="O267" i="1"/>
  <c r="O299" i="1"/>
  <c r="O207" i="1"/>
  <c r="O246" i="1"/>
  <c r="O156" i="1"/>
  <c r="O131" i="1"/>
  <c r="O118" i="1"/>
  <c r="O124" i="1"/>
  <c r="O57" i="1"/>
  <c r="O112" i="1"/>
  <c r="O79" i="1"/>
  <c r="O83" i="1"/>
  <c r="O21" i="1"/>
  <c r="O283" i="1"/>
  <c r="O159" i="1"/>
  <c r="O127" i="1"/>
  <c r="O119" i="1"/>
  <c r="O110" i="1"/>
  <c r="O102" i="1"/>
  <c r="O94" i="1"/>
  <c r="O86" i="1"/>
  <c r="O114" i="1"/>
  <c r="O134" i="1"/>
  <c r="O151" i="1"/>
  <c r="O130" i="1"/>
  <c r="O85" i="1"/>
  <c r="O76" i="1"/>
  <c r="O46" i="1"/>
  <c r="O38" i="1"/>
  <c r="O30" i="1"/>
  <c r="O22" i="1"/>
  <c r="O68" i="1"/>
  <c r="O8" i="1"/>
  <c r="O227" i="1"/>
  <c r="O242" i="1"/>
  <c r="O185" i="1"/>
  <c r="O167" i="1"/>
  <c r="O138" i="1"/>
  <c r="O189" i="1"/>
  <c r="O176" i="1"/>
  <c r="O201" i="1"/>
  <c r="O178" i="1"/>
  <c r="O154" i="1"/>
  <c r="O193" i="1"/>
  <c r="O250" i="1"/>
  <c r="O197" i="1"/>
  <c r="O145" i="1"/>
  <c r="O168" i="1"/>
  <c r="O136" i="1"/>
  <c r="O62" i="1"/>
  <c r="O93" i="1"/>
  <c r="O60" i="1"/>
  <c r="O116" i="1"/>
  <c r="O37" i="1"/>
  <c r="O10" i="1"/>
  <c r="O173" i="1"/>
  <c r="O175" i="1"/>
  <c r="O163" i="1"/>
  <c r="O199" i="1"/>
  <c r="O132" i="1"/>
  <c r="O121" i="1"/>
  <c r="O129" i="1"/>
  <c r="O108" i="1"/>
  <c r="O100" i="1"/>
  <c r="O92" i="1"/>
  <c r="O84" i="1"/>
  <c r="O77" i="1"/>
  <c r="O69" i="1"/>
  <c r="O58" i="1"/>
  <c r="O126" i="1"/>
  <c r="O97" i="1"/>
  <c r="O182" i="1"/>
  <c r="O188" i="1"/>
  <c r="O171" i="1"/>
  <c r="O155" i="1"/>
  <c r="O190" i="1"/>
  <c r="O162" i="1"/>
  <c r="O143" i="1"/>
  <c r="O122" i="1"/>
  <c r="O158" i="1"/>
  <c r="O89" i="1"/>
  <c r="O213" i="1"/>
  <c r="O123" i="1"/>
  <c r="O115" i="1"/>
  <c r="O214" i="1"/>
  <c r="O234" i="1"/>
  <c r="O215" i="1"/>
  <c r="O249" i="1"/>
  <c r="O191" i="1"/>
  <c r="O179" i="1"/>
  <c r="O169" i="1"/>
  <c r="O144" i="1"/>
  <c r="O180" i="1"/>
  <c r="O150" i="1"/>
  <c r="O133" i="1"/>
  <c r="O107" i="1"/>
  <c r="O99" i="1"/>
  <c r="O91" i="1"/>
  <c r="O139" i="1"/>
  <c r="O135" i="1"/>
  <c r="O238" i="1"/>
  <c r="O209" i="1"/>
  <c r="O160" i="1"/>
  <c r="O153" i="1"/>
  <c r="O128" i="1"/>
  <c r="O147" i="1"/>
  <c r="O257" i="1"/>
  <c r="O245" i="1"/>
  <c r="O195" i="1"/>
  <c r="O140" i="1"/>
  <c r="O172" i="1"/>
  <c r="O44" i="1"/>
  <c r="G112" i="1"/>
  <c r="D112" i="1"/>
  <c r="C112" i="1"/>
  <c r="E112" i="1"/>
  <c r="L112" i="1"/>
  <c r="K112" i="1"/>
  <c r="E125" i="1"/>
  <c r="G125" i="1"/>
  <c r="F125" i="1"/>
  <c r="J125" i="1"/>
  <c r="L125" i="1"/>
  <c r="H125" i="1"/>
  <c r="D125" i="1"/>
  <c r="C125" i="1"/>
  <c r="O72" i="1"/>
  <c r="J84" i="1"/>
  <c r="D84" i="1"/>
  <c r="I84" i="1"/>
  <c r="L84" i="1"/>
  <c r="K84" i="1"/>
  <c r="G84" i="1"/>
  <c r="O96" i="1"/>
  <c r="G95" i="1"/>
  <c r="D95" i="1"/>
  <c r="F95" i="1"/>
  <c r="I95" i="1"/>
  <c r="L95" i="1"/>
  <c r="O103" i="1"/>
  <c r="G117" i="1"/>
  <c r="O141" i="1"/>
  <c r="C62" i="1"/>
  <c r="I62" i="1"/>
  <c r="I125" i="1"/>
  <c r="O36" i="1"/>
  <c r="C84" i="1"/>
  <c r="O39" i="1"/>
  <c r="L49" i="1"/>
  <c r="J49" i="1"/>
  <c r="D49" i="1"/>
  <c r="K49" i="1"/>
  <c r="I49" i="1"/>
  <c r="E49" i="1"/>
  <c r="O63" i="1"/>
  <c r="D42" i="1"/>
  <c r="D104" i="1"/>
  <c r="L104" i="1"/>
  <c r="J104" i="1"/>
  <c r="K104" i="1"/>
  <c r="O66" i="1"/>
  <c r="O101" i="1"/>
  <c r="H84" i="1"/>
  <c r="O109" i="1"/>
  <c r="O146" i="1"/>
  <c r="J82" i="1"/>
  <c r="E104" i="1"/>
  <c r="H137" i="1"/>
  <c r="G104" i="1"/>
  <c r="I104" i="1"/>
  <c r="I117" i="1"/>
  <c r="O90" i="1"/>
  <c r="O196" i="1"/>
  <c r="F42" i="1"/>
  <c r="I82" i="1"/>
  <c r="O28" i="1"/>
  <c r="J46" i="1"/>
  <c r="K35" i="1"/>
  <c r="J35" i="1"/>
  <c r="H35" i="1"/>
  <c r="I35" i="1"/>
  <c r="L35" i="1"/>
  <c r="D35" i="1"/>
  <c r="G35" i="1"/>
  <c r="F35" i="1"/>
  <c r="C35" i="1"/>
  <c r="K43" i="1"/>
  <c r="I43" i="1"/>
  <c r="J43" i="1"/>
  <c r="D43" i="1"/>
  <c r="H43" i="1"/>
  <c r="G43" i="1"/>
  <c r="F43" i="1"/>
  <c r="C43" i="1"/>
  <c r="O54" i="1"/>
  <c r="O19" i="1"/>
  <c r="O49" i="1"/>
  <c r="C49" i="1"/>
  <c r="J68" i="1"/>
  <c r="K68" i="1"/>
  <c r="O18" i="1"/>
  <c r="D30" i="1"/>
  <c r="O42" i="1"/>
  <c r="I57" i="1"/>
  <c r="E84" i="1"/>
  <c r="O65" i="1"/>
  <c r="G110" i="1"/>
  <c r="T123" i="1" a="1"/>
  <c r="T123" i="1" s="1"/>
  <c r="O73" i="1"/>
  <c r="F104" i="1"/>
  <c r="D118" i="1"/>
  <c r="C118" i="1"/>
  <c r="H118" i="1"/>
  <c r="L118" i="1"/>
  <c r="K118" i="1"/>
  <c r="O137" i="1"/>
  <c r="D113" i="1"/>
  <c r="G128" i="1"/>
  <c r="I128" i="1"/>
  <c r="F128" i="1"/>
  <c r="E128" i="1"/>
  <c r="L128" i="1"/>
  <c r="D128" i="1"/>
  <c r="O192" i="1"/>
  <c r="O226" i="1"/>
  <c r="D72" i="1"/>
  <c r="J72" i="1"/>
  <c r="I72" i="1"/>
  <c r="H72" i="1"/>
  <c r="C72" i="1"/>
  <c r="E45" i="1"/>
  <c r="D45" i="1"/>
  <c r="C45" i="1"/>
  <c r="G45" i="1"/>
  <c r="H45" i="1"/>
  <c r="I45" i="1"/>
  <c r="F45" i="1"/>
  <c r="O59" i="1"/>
  <c r="L57" i="1"/>
  <c r="T71" i="1" a="1"/>
  <c r="T71" i="1" s="1"/>
  <c r="F34" i="1"/>
  <c r="E34" i="1"/>
  <c r="H34" i="1"/>
  <c r="G34" i="1"/>
  <c r="I34" i="1"/>
  <c r="L76" i="1"/>
  <c r="O56" i="1"/>
  <c r="M69" i="1"/>
  <c r="O117" i="1"/>
  <c r="I76" i="1"/>
  <c r="O87" i="1"/>
  <c r="G72" i="1"/>
  <c r="J116" i="1"/>
  <c r="J110" i="1"/>
  <c r="T117" i="1" a="1"/>
  <c r="T117" i="1" s="1"/>
  <c r="D82" i="1"/>
  <c r="O106" i="1"/>
  <c r="O200" i="1"/>
  <c r="K199" i="1"/>
  <c r="F199" i="1"/>
  <c r="C199" i="1"/>
  <c r="H199" i="1"/>
  <c r="L199" i="1"/>
  <c r="I199" i="1"/>
  <c r="J199" i="1"/>
  <c r="G199" i="1"/>
  <c r="E199" i="1"/>
  <c r="G109" i="1"/>
  <c r="D109" i="1"/>
  <c r="J109" i="1"/>
  <c r="E109" i="1"/>
  <c r="F109" i="1"/>
  <c r="C109" i="1"/>
  <c r="H109" i="1"/>
  <c r="F21" i="1"/>
  <c r="E21" i="1"/>
  <c r="C21" i="1"/>
  <c r="D21" i="1"/>
  <c r="I21" i="1"/>
  <c r="K21" i="1"/>
  <c r="G21" i="1"/>
  <c r="L72" i="1"/>
  <c r="L19" i="1"/>
  <c r="K19" i="1"/>
  <c r="C19" i="1"/>
  <c r="I19" i="1"/>
  <c r="J19" i="1"/>
  <c r="D19" i="1"/>
  <c r="E19" i="1"/>
  <c r="H19" i="1"/>
  <c r="G19" i="1"/>
  <c r="F19" i="1"/>
  <c r="O31" i="1"/>
  <c r="I42" i="1"/>
  <c r="H42" i="1"/>
  <c r="G42" i="1"/>
  <c r="K42" i="1"/>
  <c r="T27" i="1" a="1"/>
  <c r="T27" i="1" s="1"/>
  <c r="K109" i="1"/>
  <c r="O74" i="1"/>
  <c r="F132" i="1"/>
  <c r="G132" i="1"/>
  <c r="D132" i="1"/>
  <c r="L132" i="1"/>
  <c r="C132" i="1"/>
  <c r="J132" i="1"/>
  <c r="K132" i="1"/>
  <c r="C63" i="1"/>
  <c r="F63" i="1"/>
  <c r="E63" i="1"/>
  <c r="D63" i="1"/>
  <c r="L63" i="1"/>
  <c r="J63" i="1"/>
  <c r="O81" i="1"/>
  <c r="H116" i="1"/>
  <c r="O95" i="1"/>
  <c r="O82" i="1"/>
  <c r="O125" i="1"/>
  <c r="O164" i="1"/>
  <c r="F66" i="1"/>
  <c r="D66" i="1"/>
  <c r="C66" i="1"/>
  <c r="E66" i="1"/>
  <c r="G66" i="1"/>
  <c r="L66" i="1"/>
  <c r="G93" i="1"/>
  <c r="J93" i="1"/>
  <c r="D93" i="1"/>
  <c r="T25" i="1" a="1"/>
  <c r="T25" i="1" s="1"/>
  <c r="T62" i="1" a="1"/>
  <c r="T62" i="1" s="1"/>
  <c r="T36" i="1" a="1"/>
  <c r="T36" i="1" s="1"/>
  <c r="J21" i="1"/>
  <c r="O43" i="1"/>
  <c r="N22" i="1" a="1"/>
  <c r="N22" i="1" s="1"/>
  <c r="F117" i="1"/>
  <c r="L117" i="1"/>
  <c r="J117" i="1"/>
  <c r="D117" i="1"/>
  <c r="E117" i="1"/>
  <c r="F82" i="1"/>
  <c r="G49" i="1"/>
  <c r="I137" i="1"/>
  <c r="L137" i="1"/>
  <c r="J137" i="1"/>
  <c r="K137" i="1"/>
  <c r="G137" i="1"/>
  <c r="F137" i="1"/>
  <c r="D137" i="1"/>
  <c r="O55" i="1"/>
  <c r="L82" i="1"/>
  <c r="O75" i="1"/>
  <c r="O88" i="1"/>
  <c r="C95" i="1"/>
  <c r="T192" i="1" a="1"/>
  <c r="T192" i="1" s="1"/>
  <c r="E159" i="1"/>
  <c r="H159" i="1"/>
  <c r="C159" i="1"/>
  <c r="J159" i="1"/>
  <c r="F159" i="1"/>
  <c r="K159" i="1"/>
  <c r="L159" i="1"/>
  <c r="G159" i="1"/>
  <c r="D159" i="1"/>
  <c r="H21" i="1"/>
  <c r="O34" i="1"/>
  <c r="D46" i="1"/>
  <c r="O78" i="1"/>
  <c r="C137" i="1"/>
  <c r="H63" i="1"/>
  <c r="J76" i="1"/>
  <c r="T101" i="1" a="1"/>
  <c r="T101" i="1" s="1"/>
  <c r="I141" i="1"/>
  <c r="G141" i="1"/>
  <c r="L141" i="1"/>
  <c r="C141" i="1"/>
  <c r="F141" i="1"/>
  <c r="D141" i="1"/>
  <c r="H141" i="1"/>
  <c r="E141" i="1"/>
  <c r="I107" i="1"/>
  <c r="J107" i="1"/>
  <c r="H107" i="1"/>
  <c r="G107" i="1"/>
  <c r="D107" i="1"/>
  <c r="C107" i="1"/>
  <c r="O111" i="1"/>
  <c r="C140" i="1"/>
  <c r="E140" i="1"/>
  <c r="F140" i="1"/>
  <c r="I140" i="1"/>
  <c r="G140" i="1"/>
  <c r="H140" i="1"/>
  <c r="J140" i="1"/>
  <c r="L140" i="1"/>
  <c r="L109" i="1"/>
  <c r="D133" i="1"/>
  <c r="L133" i="1"/>
  <c r="J133" i="1"/>
  <c r="I133" i="1"/>
  <c r="F133" i="1"/>
  <c r="H133" i="1"/>
  <c r="C133" i="1"/>
  <c r="O211" i="1"/>
  <c r="O33" i="1"/>
  <c r="O40" i="1"/>
  <c r="O23" i="1"/>
  <c r="O61" i="1"/>
  <c r="O166" i="1"/>
  <c r="F84" i="1"/>
  <c r="F68" i="1"/>
  <c r="E95" i="1"/>
  <c r="O142" i="1"/>
  <c r="H112" i="1"/>
  <c r="K125" i="1"/>
  <c r="H95" i="1"/>
  <c r="L122" i="1"/>
  <c r="K122" i="1"/>
  <c r="I122" i="1"/>
  <c r="H122" i="1"/>
  <c r="E122" i="1"/>
  <c r="D122" i="1"/>
  <c r="F122" i="1"/>
  <c r="G122" i="1"/>
  <c r="E57" i="1"/>
  <c r="G57" i="1"/>
  <c r="C57" i="1"/>
  <c r="D57" i="1"/>
  <c r="H57" i="1"/>
  <c r="K57" i="1"/>
  <c r="O70" i="1"/>
  <c r="O32" i="1"/>
  <c r="J31" i="1"/>
  <c r="I31" i="1"/>
  <c r="H31" i="1"/>
  <c r="L31" i="1"/>
  <c r="K31" i="1"/>
  <c r="G31" i="1"/>
  <c r="E31" i="1"/>
  <c r="D31" i="1"/>
  <c r="L39" i="1"/>
  <c r="K39" i="1"/>
  <c r="I39" i="1"/>
  <c r="J39" i="1"/>
  <c r="G39" i="1"/>
  <c r="D39" i="1"/>
  <c r="H39" i="1"/>
  <c r="O35" i="1"/>
  <c r="O53" i="1"/>
  <c r="L21" i="1"/>
  <c r="E110" i="1"/>
  <c r="I110" i="1"/>
  <c r="C110" i="1"/>
  <c r="L110" i="1"/>
  <c r="T53" i="1" a="1"/>
  <c r="T53" i="1" s="1"/>
  <c r="E65" i="1"/>
  <c r="D65" i="1"/>
  <c r="I65" i="1"/>
  <c r="L65" i="1"/>
  <c r="G65" i="1"/>
  <c r="H65" i="1"/>
  <c r="K65" i="1"/>
  <c r="C65" i="1"/>
  <c r="T65" i="1" a="1"/>
  <c r="T65" i="1" s="1"/>
  <c r="O104" i="1"/>
  <c r="O152" i="1"/>
  <c r="I109" i="1"/>
  <c r="J112" i="1"/>
  <c r="O98" i="1"/>
  <c r="O113" i="1"/>
  <c r="I119" i="1"/>
  <c r="E124" i="1"/>
  <c r="E131" i="1"/>
  <c r="G149" i="1"/>
  <c r="D138" i="1"/>
  <c r="G151" i="1"/>
  <c r="K149" i="1"/>
  <c r="K157" i="1"/>
  <c r="D145" i="1"/>
  <c r="G173" i="1"/>
  <c r="F173" i="1"/>
  <c r="C152" i="1"/>
  <c r="H126" i="1"/>
  <c r="G152" i="1"/>
  <c r="G189" i="1"/>
  <c r="E161" i="1"/>
  <c r="H161" i="1"/>
  <c r="I167" i="1"/>
  <c r="D178" i="1"/>
  <c r="F164" i="1"/>
  <c r="K164" i="1"/>
  <c r="I166" i="1"/>
  <c r="C203" i="1"/>
  <c r="C131" i="1"/>
  <c r="I165" i="1"/>
  <c r="G176" i="1"/>
  <c r="D203" i="1"/>
  <c r="E186" i="1"/>
  <c r="C197" i="1"/>
  <c r="H197" i="1"/>
  <c r="F197" i="1"/>
  <c r="L197" i="1"/>
  <c r="F208" i="1"/>
  <c r="H205" i="1"/>
  <c r="F187" i="1"/>
  <c r="C187" i="1"/>
  <c r="I187" i="1"/>
  <c r="H187" i="1"/>
  <c r="F223" i="1"/>
  <c r="E227" i="1"/>
  <c r="F227" i="1"/>
  <c r="C227" i="1"/>
  <c r="D227" i="1"/>
  <c r="L227" i="1"/>
  <c r="G89" i="1"/>
  <c r="K102" i="1"/>
  <c r="J145" i="1"/>
  <c r="K146" i="1"/>
  <c r="L146" i="1"/>
  <c r="F149" i="1"/>
  <c r="F124" i="1"/>
  <c r="J121" i="1"/>
  <c r="E158" i="1"/>
  <c r="F126" i="1"/>
  <c r="G135" i="1"/>
  <c r="K198" i="1"/>
  <c r="F198" i="1"/>
  <c r="E198" i="1"/>
  <c r="C144" i="1"/>
  <c r="M190" i="1"/>
  <c r="C198" i="1"/>
  <c r="F158" i="1"/>
  <c r="I182" i="1"/>
  <c r="K182" i="1"/>
  <c r="J182" i="1"/>
  <c r="H178" i="1"/>
  <c r="C194" i="1"/>
  <c r="T210" i="1" a="1"/>
  <c r="T210" i="1" s="1"/>
  <c r="K166" i="1"/>
  <c r="L154" i="1"/>
  <c r="T224" i="1" a="1"/>
  <c r="T224" i="1" s="1"/>
  <c r="J177" i="1"/>
  <c r="I177" i="1"/>
  <c r="K177" i="1"/>
  <c r="E212" i="1"/>
  <c r="F186" i="1"/>
  <c r="G179" i="1"/>
  <c r="L179" i="1"/>
  <c r="C179" i="1"/>
  <c r="D215" i="1"/>
  <c r="E228" i="1"/>
  <c r="D228" i="1"/>
  <c r="L228" i="1"/>
  <c r="H228" i="1"/>
  <c r="F228" i="1"/>
  <c r="J26" i="1"/>
  <c r="L26" i="1"/>
  <c r="E26" i="1"/>
  <c r="H26" i="1"/>
  <c r="I26" i="1"/>
  <c r="L56" i="1"/>
  <c r="E78" i="1"/>
  <c r="E89" i="1"/>
  <c r="E56" i="1"/>
  <c r="E120" i="1"/>
  <c r="E74" i="1"/>
  <c r="G58" i="1"/>
  <c r="C77" i="1"/>
  <c r="C101" i="1"/>
  <c r="L102" i="1"/>
  <c r="C119" i="1"/>
  <c r="H124" i="1"/>
  <c r="I100" i="1"/>
  <c r="I108" i="1"/>
  <c r="G121" i="1"/>
  <c r="I139" i="1"/>
  <c r="I124" i="1"/>
  <c r="I146" i="1"/>
  <c r="K127" i="1"/>
  <c r="I135" i="1"/>
  <c r="T199" i="1" a="1"/>
  <c r="T199" i="1" s="1"/>
  <c r="G198" i="1"/>
  <c r="L188" i="1"/>
  <c r="D188" i="1"/>
  <c r="C188" i="1"/>
  <c r="G188" i="1"/>
  <c r="G169" i="1"/>
  <c r="F144" i="1"/>
  <c r="C167" i="1"/>
  <c r="H212" i="1"/>
  <c r="L212" i="1"/>
  <c r="K212" i="1"/>
  <c r="C212" i="1"/>
  <c r="D212" i="1"/>
  <c r="I178" i="1"/>
  <c r="L186" i="1"/>
  <c r="E252" i="1"/>
  <c r="J252" i="1"/>
  <c r="D252" i="1"/>
  <c r="K252" i="1"/>
  <c r="G252" i="1"/>
  <c r="H252" i="1"/>
  <c r="F252" i="1"/>
  <c r="I145" i="1"/>
  <c r="C189" i="1"/>
  <c r="E189" i="1"/>
  <c r="H189" i="1"/>
  <c r="I252" i="1"/>
  <c r="D285" i="1"/>
  <c r="G285" i="1"/>
  <c r="C285" i="1"/>
  <c r="L285" i="1"/>
  <c r="H285" i="1"/>
  <c r="K285" i="1"/>
  <c r="E285" i="1"/>
  <c r="J285" i="1"/>
  <c r="H208" i="1"/>
  <c r="J52" i="1"/>
  <c r="D120" i="1"/>
  <c r="D60" i="1"/>
  <c r="J139" i="1"/>
  <c r="J101" i="1"/>
  <c r="C102" i="1"/>
  <c r="G119" i="1"/>
  <c r="G91" i="1"/>
  <c r="L126" i="1"/>
  <c r="K152" i="1"/>
  <c r="K189" i="1"/>
  <c r="G124" i="1"/>
  <c r="F151" i="1"/>
  <c r="G146" i="1"/>
  <c r="D158" i="1"/>
  <c r="C126" i="1"/>
  <c r="D135" i="1"/>
  <c r="K144" i="1"/>
  <c r="G158" i="1"/>
  <c r="D147" i="1"/>
  <c r="G150" i="1"/>
  <c r="F147" i="1"/>
  <c r="L174" i="1"/>
  <c r="F162" i="1"/>
  <c r="T171" i="1" a="1"/>
  <c r="T171" i="1" s="1"/>
  <c r="D198" i="1"/>
  <c r="G186" i="1"/>
  <c r="N190" i="1" a="1"/>
  <c r="N190" i="1" s="1"/>
  <c r="D182" i="1"/>
  <c r="E152" i="1"/>
  <c r="I169" i="1"/>
  <c r="F136" i="1"/>
  <c r="C147" i="1"/>
  <c r="L158" i="1"/>
  <c r="H182" i="1"/>
  <c r="G211" i="1"/>
  <c r="K211" i="1"/>
  <c r="E211" i="1"/>
  <c r="L211" i="1"/>
  <c r="H211" i="1"/>
  <c r="D211" i="1"/>
  <c r="L191" i="1"/>
  <c r="H191" i="1"/>
  <c r="I191" i="1"/>
  <c r="K216" i="1"/>
  <c r="E216" i="1"/>
  <c r="C216" i="1"/>
  <c r="D234" i="1"/>
  <c r="C234" i="1"/>
  <c r="E234" i="1"/>
  <c r="I234" i="1"/>
  <c r="K234" i="1"/>
  <c r="J234" i="1"/>
  <c r="L234" i="1"/>
  <c r="H234" i="1"/>
  <c r="F234" i="1"/>
  <c r="F285" i="1"/>
  <c r="D53" i="1"/>
  <c r="E53" i="1"/>
  <c r="C53" i="1"/>
  <c r="F60" i="1"/>
  <c r="G60" i="1"/>
  <c r="C60" i="1"/>
  <c r="D52" i="1"/>
  <c r="E52" i="1"/>
  <c r="F52" i="1"/>
  <c r="H120" i="1"/>
  <c r="K145" i="1"/>
  <c r="I54" i="1"/>
  <c r="E54" i="1"/>
  <c r="H54" i="1"/>
  <c r="E136" i="1"/>
  <c r="K142" i="1"/>
  <c r="C145" i="1"/>
  <c r="L149" i="1"/>
  <c r="K138" i="1"/>
  <c r="N213" i="1" a="1"/>
  <c r="N213" i="1" s="1"/>
  <c r="M213" i="1"/>
  <c r="L189" i="1"/>
  <c r="C160" i="1"/>
  <c r="F160" i="1"/>
  <c r="L160" i="1"/>
  <c r="F148" i="1"/>
  <c r="L196" i="1"/>
  <c r="H196" i="1"/>
  <c r="K196" i="1"/>
  <c r="I196" i="1"/>
  <c r="C223" i="1"/>
  <c r="I198" i="1"/>
  <c r="H173" i="1"/>
  <c r="C208" i="1"/>
  <c r="K256" i="1"/>
  <c r="I256" i="1"/>
  <c r="C256" i="1"/>
  <c r="F256" i="1"/>
  <c r="J256" i="1"/>
  <c r="E256" i="1"/>
  <c r="H256" i="1"/>
  <c r="L256" i="1"/>
  <c r="D54" i="1"/>
  <c r="D71" i="1"/>
  <c r="J53" i="1"/>
  <c r="C78" i="1"/>
  <c r="C88" i="1"/>
  <c r="J131" i="1"/>
  <c r="G54" i="1"/>
  <c r="G127" i="1"/>
  <c r="J67" i="1"/>
  <c r="H152" i="1"/>
  <c r="G61" i="1"/>
  <c r="G53" i="1"/>
  <c r="I61" i="1"/>
  <c r="C80" i="1"/>
  <c r="L92" i="1"/>
  <c r="L96" i="1"/>
  <c r="I121" i="1"/>
  <c r="G101" i="1"/>
  <c r="E92" i="1"/>
  <c r="D114" i="1"/>
  <c r="C136" i="1"/>
  <c r="D103" i="1"/>
  <c r="E119" i="1"/>
  <c r="L120" i="1"/>
  <c r="J92" i="1"/>
  <c r="J100" i="1"/>
  <c r="J108" i="1"/>
  <c r="K61" i="1"/>
  <c r="K108" i="1"/>
  <c r="H121" i="1"/>
  <c r="D136" i="1"/>
  <c r="C166" i="1"/>
  <c r="L152" i="1"/>
  <c r="L147" i="1"/>
  <c r="I148" i="1"/>
  <c r="L178" i="1"/>
  <c r="E178" i="1"/>
  <c r="J178" i="1"/>
  <c r="K178" i="1"/>
  <c r="E142" i="1"/>
  <c r="L151" i="1"/>
  <c r="I130" i="1"/>
  <c r="D139" i="1"/>
  <c r="K148" i="1"/>
  <c r="E166" i="1"/>
  <c r="T200" i="1" a="1"/>
  <c r="T200" i="1" s="1"/>
  <c r="G166" i="1"/>
  <c r="E193" i="1"/>
  <c r="I162" i="1"/>
  <c r="I173" i="1"/>
  <c r="G182" i="1"/>
  <c r="L138" i="1"/>
  <c r="K184" i="1"/>
  <c r="C184" i="1"/>
  <c r="E182" i="1"/>
  <c r="H203" i="1"/>
  <c r="C193" i="1"/>
  <c r="T209" i="1" a="1"/>
  <c r="T209" i="1" s="1"/>
  <c r="G227" i="1"/>
  <c r="E208" i="1"/>
  <c r="J208" i="1"/>
  <c r="D208" i="1"/>
  <c r="G208" i="1"/>
  <c r="E146" i="1"/>
  <c r="D166" i="1"/>
  <c r="H146" i="1"/>
  <c r="L131" i="1"/>
  <c r="D152" i="1"/>
  <c r="C149" i="1"/>
  <c r="L208" i="1"/>
  <c r="D186" i="1"/>
  <c r="J194" i="1"/>
  <c r="F194" i="1"/>
  <c r="E194" i="1"/>
  <c r="H194" i="1"/>
  <c r="J186" i="1"/>
  <c r="F172" i="1"/>
  <c r="H172" i="1"/>
  <c r="K172" i="1"/>
  <c r="J172" i="1"/>
  <c r="K223" i="1"/>
  <c r="L223" i="1"/>
  <c r="D223" i="1"/>
  <c r="E223" i="1"/>
  <c r="J223" i="1"/>
  <c r="C139" i="1"/>
  <c r="J205" i="1"/>
  <c r="D205" i="1"/>
  <c r="G205" i="1"/>
  <c r="L205" i="1"/>
  <c r="G223" i="1"/>
  <c r="D193" i="1"/>
  <c r="G193" i="1"/>
  <c r="F193" i="1"/>
  <c r="I186" i="1"/>
  <c r="K174" i="1"/>
  <c r="F209" i="1"/>
  <c r="H209" i="1"/>
  <c r="E209" i="1"/>
  <c r="E80" i="1"/>
  <c r="I151" i="1"/>
  <c r="I189" i="1"/>
  <c r="C178" i="1"/>
  <c r="F178" i="1"/>
  <c r="H162" i="1"/>
  <c r="K154" i="1"/>
  <c r="L173" i="1"/>
  <c r="G215" i="1"/>
  <c r="C215" i="1"/>
  <c r="K215" i="1"/>
  <c r="E215" i="1"/>
  <c r="H215" i="1"/>
  <c r="L215" i="1"/>
  <c r="C172" i="1"/>
  <c r="H175" i="1"/>
  <c r="L175" i="1"/>
  <c r="K194" i="1"/>
  <c r="I223" i="1"/>
  <c r="F53" i="1"/>
  <c r="N32" i="1" a="1"/>
  <c r="N32" i="1" s="1"/>
  <c r="M32" i="1"/>
  <c r="H20" i="1"/>
  <c r="K20" i="1"/>
  <c r="F20" i="1"/>
  <c r="L20" i="1"/>
  <c r="D20" i="1"/>
  <c r="E77" i="1"/>
  <c r="K26" i="1"/>
  <c r="L47" i="1"/>
  <c r="J47" i="1"/>
  <c r="K47" i="1"/>
  <c r="K74" i="1"/>
  <c r="I52" i="1"/>
  <c r="K60" i="1"/>
  <c r="K86" i="1"/>
  <c r="D56" i="1"/>
  <c r="E101" i="1"/>
  <c r="H142" i="1"/>
  <c r="E61" i="1"/>
  <c r="F89" i="1"/>
  <c r="J54" i="1"/>
  <c r="K71" i="1"/>
  <c r="K54" i="1"/>
  <c r="C79" i="1"/>
  <c r="C100" i="1"/>
  <c r="L121" i="1"/>
  <c r="J114" i="1"/>
  <c r="C142" i="1"/>
  <c r="K119" i="1"/>
  <c r="F120" i="1"/>
  <c r="F108" i="1"/>
  <c r="L89" i="1"/>
  <c r="L105" i="1"/>
  <c r="C146" i="1"/>
  <c r="K96" i="1"/>
  <c r="H103" i="1"/>
  <c r="J130" i="1"/>
  <c r="J151" i="1"/>
  <c r="F131" i="1"/>
  <c r="H139" i="1"/>
  <c r="J147" i="1"/>
  <c r="J149" i="1"/>
  <c r="F142" i="1"/>
  <c r="F166" i="1"/>
  <c r="G207" i="1"/>
  <c r="F207" i="1"/>
  <c r="L207" i="1"/>
  <c r="H207" i="1"/>
  <c r="F165" i="1"/>
  <c r="E176" i="1"/>
  <c r="C176" i="1"/>
  <c r="F176" i="1"/>
  <c r="K173" i="1"/>
  <c r="E174" i="1"/>
  <c r="E207" i="1"/>
  <c r="C205" i="1"/>
  <c r="T198" i="1" a="1"/>
  <c r="T198" i="1" s="1"/>
  <c r="F189" i="1"/>
  <c r="L203" i="1"/>
  <c r="H245" i="1"/>
  <c r="L245" i="1"/>
  <c r="G245" i="1"/>
  <c r="K245" i="1"/>
  <c r="D245" i="1"/>
  <c r="C245" i="1"/>
  <c r="E245" i="1"/>
  <c r="F245" i="1"/>
  <c r="F224" i="1"/>
  <c r="E224" i="1"/>
  <c r="D224" i="1"/>
  <c r="H224" i="1"/>
  <c r="C224" i="1"/>
  <c r="K224" i="1"/>
  <c r="G224" i="1"/>
  <c r="L224" i="1"/>
  <c r="G26" i="1"/>
  <c r="C52" i="1"/>
  <c r="E20" i="1"/>
  <c r="K27" i="1"/>
  <c r="L27" i="1"/>
  <c r="I27" i="1"/>
  <c r="J27" i="1"/>
  <c r="J60" i="1"/>
  <c r="D27" i="1"/>
  <c r="L51" i="1"/>
  <c r="J51" i="1"/>
  <c r="K51" i="1"/>
  <c r="D126" i="1"/>
  <c r="G38" i="1"/>
  <c r="F38" i="1"/>
  <c r="H38" i="1"/>
  <c r="E38" i="1"/>
  <c r="I38" i="1"/>
  <c r="G47" i="1"/>
  <c r="I77" i="1"/>
  <c r="L86" i="1"/>
  <c r="H71" i="1"/>
  <c r="I55" i="1"/>
  <c r="J55" i="1"/>
  <c r="C55" i="1"/>
  <c r="K83" i="1"/>
  <c r="F75" i="1"/>
  <c r="C75" i="1"/>
  <c r="L83" i="1"/>
  <c r="C120" i="1"/>
  <c r="D96" i="1"/>
  <c r="I126" i="1"/>
  <c r="N90" i="1" a="1"/>
  <c r="N90" i="1" s="1"/>
  <c r="K124" i="1"/>
  <c r="G103" i="1"/>
  <c r="H130" i="1"/>
  <c r="E50" i="1"/>
  <c r="D50" i="1"/>
  <c r="C50" i="1"/>
  <c r="K77" i="1"/>
  <c r="H83" i="1"/>
  <c r="G139" i="1"/>
  <c r="I147" i="1"/>
  <c r="G120" i="1"/>
  <c r="F146" i="1"/>
  <c r="T167" i="1" a="1"/>
  <c r="T167" i="1" s="1"/>
  <c r="D130" i="1"/>
  <c r="C154" i="1"/>
  <c r="D142" i="1"/>
  <c r="K151" i="1"/>
  <c r="I205" i="1"/>
  <c r="K160" i="1"/>
  <c r="J169" i="1"/>
  <c r="C169" i="1"/>
  <c r="K169" i="1"/>
  <c r="D169" i="1"/>
  <c r="J207" i="1"/>
  <c r="D174" i="1"/>
  <c r="H188" i="1"/>
  <c r="H177" i="1"/>
  <c r="K186" i="1"/>
  <c r="D216" i="1"/>
  <c r="I245" i="1"/>
  <c r="J214" i="1"/>
  <c r="E214" i="1"/>
  <c r="I214" i="1"/>
  <c r="G214" i="1"/>
  <c r="D214" i="1"/>
  <c r="C214" i="1"/>
  <c r="N231" i="1" a="1"/>
  <c r="N231" i="1" s="1"/>
  <c r="K200" i="1"/>
  <c r="E220" i="1"/>
  <c r="F242" i="1"/>
  <c r="C222" i="1"/>
  <c r="F219" i="1"/>
  <c r="H273" i="1"/>
  <c r="K273" i="1"/>
  <c r="D273" i="1"/>
  <c r="G273" i="1"/>
  <c r="E273" i="1"/>
  <c r="C273" i="1"/>
  <c r="T282" i="1" a="1"/>
  <c r="T282" i="1" s="1"/>
  <c r="K28" i="1"/>
  <c r="L28" i="1"/>
  <c r="E206" i="1"/>
  <c r="J206" i="1"/>
  <c r="E168" i="1"/>
  <c r="G200" i="1"/>
  <c r="G206" i="1"/>
  <c r="T220" i="1" a="1"/>
  <c r="T220" i="1" s="1"/>
  <c r="K180" i="1"/>
  <c r="F185" i="1"/>
  <c r="H185" i="1"/>
  <c r="E200" i="1"/>
  <c r="I230" i="1"/>
  <c r="G230" i="1"/>
  <c r="F230" i="1"/>
  <c r="H249" i="1"/>
  <c r="K249" i="1"/>
  <c r="J232" i="1"/>
  <c r="K232" i="1"/>
  <c r="H242" i="1"/>
  <c r="L232" i="1"/>
  <c r="K236" i="1"/>
  <c r="G241" i="1"/>
  <c r="T255" i="1" a="1"/>
  <c r="T255" i="1" s="1"/>
  <c r="E236" i="1"/>
  <c r="D274" i="1"/>
  <c r="L274" i="1"/>
  <c r="I274" i="1"/>
  <c r="E274" i="1"/>
  <c r="G274" i="1"/>
  <c r="J274" i="1"/>
  <c r="H274" i="1"/>
  <c r="F274" i="1"/>
  <c r="G271" i="1"/>
  <c r="L271" i="1"/>
  <c r="C271" i="1"/>
  <c r="J271" i="1"/>
  <c r="K271" i="1"/>
  <c r="I271" i="1"/>
  <c r="G295" i="1"/>
  <c r="L295" i="1"/>
  <c r="K295" i="1"/>
  <c r="C295" i="1"/>
  <c r="J295" i="1"/>
  <c r="F295" i="1"/>
  <c r="I295" i="1"/>
  <c r="J15" i="1"/>
  <c r="K15" i="1"/>
  <c r="E15" i="1"/>
  <c r="H15" i="1"/>
  <c r="I15" i="1"/>
  <c r="L15" i="1"/>
  <c r="D15" i="1"/>
  <c r="C15" i="1"/>
  <c r="K237" i="1"/>
  <c r="D248" i="1"/>
  <c r="E248" i="1"/>
  <c r="C248" i="1"/>
  <c r="L219" i="1"/>
  <c r="D220" i="1"/>
  <c r="F236" i="1"/>
  <c r="C246" i="1"/>
  <c r="E210" i="1"/>
  <c r="F210" i="1"/>
  <c r="E246" i="1"/>
  <c r="C237" i="1"/>
  <c r="T253" i="1" a="1"/>
  <c r="T253" i="1" s="1"/>
  <c r="J230" i="1"/>
  <c r="J277" i="1"/>
  <c r="D293" i="1"/>
  <c r="G293" i="1"/>
  <c r="C293" i="1"/>
  <c r="H293" i="1"/>
  <c r="K293" i="1"/>
  <c r="L293" i="1"/>
  <c r="F24" i="1"/>
  <c r="L24" i="1"/>
  <c r="D24" i="1"/>
  <c r="H219" i="1"/>
  <c r="T299" i="1" a="1"/>
  <c r="T299" i="1" s="1"/>
  <c r="K230" i="1"/>
  <c r="H251" i="1"/>
  <c r="D251" i="1"/>
  <c r="C251" i="1"/>
  <c r="F278" i="1"/>
  <c r="L278" i="1"/>
  <c r="I278" i="1"/>
  <c r="K278" i="1"/>
  <c r="G278" i="1"/>
  <c r="J278" i="1"/>
  <c r="H278" i="1"/>
  <c r="D278" i="1"/>
  <c r="D261" i="1"/>
  <c r="G261" i="1"/>
  <c r="H261" i="1"/>
  <c r="C261" i="1"/>
  <c r="K261" i="1"/>
  <c r="E261" i="1"/>
  <c r="H230" i="1"/>
  <c r="G249" i="1"/>
  <c r="T258" i="1" a="1"/>
  <c r="T258" i="1" s="1"/>
  <c r="F261" i="1"/>
  <c r="F277" i="1"/>
  <c r="I273" i="1"/>
  <c r="M36" i="1"/>
  <c r="N36" i="1" a="1"/>
  <c r="N36" i="1" s="1"/>
  <c r="T153" i="1" a="1"/>
  <c r="T153" i="1" s="1"/>
  <c r="H206" i="1"/>
  <c r="K168" i="1"/>
  <c r="L204" i="1"/>
  <c r="F220" i="1"/>
  <c r="C249" i="1"/>
  <c r="C250" i="1"/>
  <c r="E250" i="1"/>
  <c r="I250" i="1"/>
  <c r="F250" i="1"/>
  <c r="D250" i="1"/>
  <c r="J250" i="1"/>
  <c r="K248" i="1"/>
  <c r="D210" i="1"/>
  <c r="J220" i="1"/>
  <c r="J249" i="1"/>
  <c r="K220" i="1"/>
  <c r="N255" i="1" a="1"/>
  <c r="N255" i="1" s="1"/>
  <c r="M255" i="1"/>
  <c r="K206" i="1"/>
  <c r="T205" i="1" a="1"/>
  <c r="T205" i="1" s="1"/>
  <c r="I222" i="1"/>
  <c r="G222" i="1"/>
  <c r="K222" i="1"/>
  <c r="L222" i="1"/>
  <c r="H236" i="1"/>
  <c r="D236" i="1"/>
  <c r="J236" i="1"/>
  <c r="I246" i="1"/>
  <c r="K246" i="1"/>
  <c r="H220" i="1"/>
  <c r="E249" i="1"/>
  <c r="K221" i="1"/>
  <c r="D221" i="1"/>
  <c r="T278" i="1" a="1"/>
  <c r="T278" i="1" s="1"/>
  <c r="I293" i="1"/>
  <c r="C24" i="1"/>
  <c r="L206" i="1"/>
  <c r="C206" i="1"/>
  <c r="D232" i="1"/>
  <c r="G232" i="1"/>
  <c r="C232" i="1"/>
  <c r="K242" i="1"/>
  <c r="I242" i="1"/>
  <c r="G242" i="1"/>
  <c r="E242" i="1"/>
  <c r="J242" i="1"/>
  <c r="G219" i="1"/>
  <c r="E219" i="1"/>
  <c r="I219" i="1"/>
  <c r="K219" i="1"/>
  <c r="G220" i="1"/>
  <c r="D230" i="1"/>
  <c r="E230" i="1"/>
  <c r="I240" i="1"/>
  <c r="D240" i="1"/>
  <c r="G240" i="1"/>
  <c r="F240" i="1"/>
  <c r="E240" i="1"/>
  <c r="C240" i="1"/>
  <c r="H240" i="1"/>
  <c r="F222" i="1"/>
  <c r="D237" i="1"/>
  <c r="C236" i="1"/>
  <c r="E244" i="1"/>
  <c r="E276" i="1"/>
  <c r="H276" i="1"/>
  <c r="J276" i="1"/>
  <c r="C276" i="1"/>
  <c r="K276" i="1"/>
  <c r="F276" i="1"/>
  <c r="F293" i="1"/>
  <c r="H6" i="1"/>
  <c r="G6" i="1"/>
  <c r="E6" i="1"/>
  <c r="I6" i="1"/>
  <c r="J6" i="1"/>
  <c r="K6" i="1"/>
  <c r="L6" i="1"/>
  <c r="H246" i="1"/>
  <c r="F237" i="1"/>
  <c r="F249" i="1"/>
  <c r="L254" i="1"/>
  <c r="F254" i="1"/>
  <c r="K254" i="1"/>
  <c r="I254" i="1"/>
  <c r="C254" i="1"/>
  <c r="D277" i="1"/>
  <c r="G277" i="1"/>
  <c r="E277" i="1"/>
  <c r="C277" i="1"/>
  <c r="H277" i="1"/>
  <c r="K277" i="1"/>
  <c r="I261" i="1"/>
  <c r="C40" i="1"/>
  <c r="K40" i="1"/>
  <c r="N37" i="1" a="1"/>
  <c r="N37" i="1" s="1"/>
  <c r="M12" i="1"/>
  <c r="N12" i="1" a="1"/>
  <c r="N12" i="1" s="1"/>
  <c r="G296" i="1"/>
  <c r="I287" i="1"/>
  <c r="L267" i="1"/>
  <c r="J270" i="1"/>
  <c r="J294" i="1"/>
  <c r="K290" i="1"/>
  <c r="H297" i="1"/>
  <c r="F268" i="1"/>
  <c r="F292" i="1"/>
  <c r="G14" i="1"/>
  <c r="H14" i="1"/>
  <c r="J269" i="1"/>
  <c r="L269" i="1"/>
  <c r="G270" i="1"/>
  <c r="G294" i="1"/>
  <c r="H258" i="1"/>
  <c r="E265" i="1"/>
  <c r="C268" i="1"/>
  <c r="C292" i="1"/>
  <c r="K270" i="1"/>
  <c r="L14" i="1"/>
  <c r="K268" i="1"/>
  <c r="H292" i="1"/>
  <c r="C265" i="1"/>
  <c r="C281" i="1"/>
  <c r="C289" i="1"/>
  <c r="J287" i="1"/>
  <c r="H266" i="1"/>
  <c r="K14" i="1"/>
  <c r="D17" i="1"/>
  <c r="E17" i="1"/>
  <c r="D217" i="1"/>
  <c r="E217" i="1"/>
  <c r="C270" i="1"/>
  <c r="E238" i="1"/>
  <c r="H247" i="1"/>
  <c r="F267" i="1"/>
  <c r="I247" i="1"/>
  <c r="C233" i="1"/>
  <c r="C258" i="1"/>
  <c r="C262" i="1"/>
  <c r="E270" i="1"/>
  <c r="K265" i="1"/>
  <c r="H272" i="1"/>
  <c r="F258" i="1"/>
  <c r="F266" i="1"/>
  <c r="F282" i="1"/>
  <c r="F290" i="1"/>
  <c r="F298" i="1"/>
  <c r="K287" i="1"/>
  <c r="H294" i="1"/>
  <c r="I262" i="1"/>
  <c r="I270" i="1"/>
  <c r="I286" i="1"/>
  <c r="I294" i="1"/>
  <c r="G265" i="1"/>
  <c r="G281" i="1"/>
  <c r="G289" i="1"/>
  <c r="G297" i="1"/>
  <c r="K258" i="1"/>
  <c r="H265" i="1"/>
  <c r="E272" i="1"/>
  <c r="L262" i="1"/>
  <c r="L270" i="1"/>
  <c r="L286" i="1"/>
  <c r="L294" i="1"/>
  <c r="J7" i="1"/>
  <c r="K7" i="1"/>
  <c r="H267" i="1"/>
  <c r="D281" i="1"/>
  <c r="D289" i="1"/>
  <c r="D297" i="1"/>
  <c r="K267" i="1"/>
  <c r="C263" i="1"/>
  <c r="J14" i="1"/>
  <c r="I14" i="1"/>
  <c r="L44" i="1"/>
  <c r="C44" i="1"/>
  <c r="D9" i="1"/>
  <c r="E9" i="1"/>
  <c r="J290" i="1"/>
  <c r="F296" i="1"/>
  <c r="I25" i="1"/>
  <c r="I7" i="1"/>
  <c r="C296" i="1"/>
  <c r="K294" i="1"/>
  <c r="H10" i="1"/>
  <c r="G10" i="1"/>
  <c r="L10" i="1"/>
  <c r="E14" i="1"/>
  <c r="H7" i="1"/>
  <c r="D267" i="1"/>
  <c r="H268" i="1"/>
  <c r="C269" i="1"/>
  <c r="J267" i="1"/>
  <c r="H290" i="1"/>
  <c r="J11" i="1"/>
  <c r="K11" i="1"/>
  <c r="L11" i="1"/>
  <c r="T22" i="1" a="1"/>
  <c r="T22" i="1" s="1"/>
  <c r="I238" i="1"/>
  <c r="J296" i="1"/>
  <c r="K296" i="1"/>
  <c r="K289" i="1"/>
  <c r="H296" i="1"/>
  <c r="F262" i="1"/>
  <c r="F270" i="1"/>
  <c r="I258" i="1"/>
  <c r="I266" i="1"/>
  <c r="I282" i="1"/>
  <c r="I290" i="1"/>
  <c r="I298" i="1"/>
  <c r="G269" i="1"/>
  <c r="K282" i="1"/>
  <c r="L298" i="1"/>
  <c r="K10" i="1"/>
  <c r="D13" i="1"/>
  <c r="E13" i="1"/>
  <c r="K269" i="1"/>
  <c r="D269" i="1"/>
  <c r="K291" i="1"/>
  <c r="J10" i="1"/>
  <c r="I10" i="1"/>
  <c r="N87" i="1" l="1" a="1"/>
  <c r="N87" i="1" s="1"/>
  <c r="M33" i="1"/>
  <c r="T41" i="1" a="1"/>
  <c r="T41" i="1" s="1"/>
  <c r="T247" i="1" a="1"/>
  <c r="T247" i="1" s="1"/>
  <c r="T262" i="1" a="1"/>
  <c r="T262" i="1" s="1"/>
  <c r="T159" i="1" a="1"/>
  <c r="T159" i="1" s="1"/>
  <c r="T40" i="1" a="1"/>
  <c r="T40" i="1" s="1"/>
  <c r="T119" i="1" a="1"/>
  <c r="T119" i="1" s="1"/>
  <c r="T23" i="1" a="1"/>
  <c r="T23" i="1" s="1"/>
  <c r="M105" i="1"/>
  <c r="T163" i="1" a="1"/>
  <c r="T163" i="1" s="1"/>
  <c r="T138" i="1" a="1"/>
  <c r="T138" i="1" s="1"/>
  <c r="T186" i="1" a="1"/>
  <c r="T186" i="1" s="1"/>
  <c r="T168" i="1" a="1"/>
  <c r="T168" i="1" s="1"/>
  <c r="T97" i="1" a="1"/>
  <c r="T97" i="1" s="1"/>
  <c r="M127" i="1"/>
  <c r="N85" i="1" a="1"/>
  <c r="N85" i="1" s="1"/>
  <c r="T206" i="1" a="1"/>
  <c r="T206" i="1" s="1"/>
  <c r="N123" i="1" a="1"/>
  <c r="N123" i="1" s="1"/>
  <c r="T256" i="1" a="1"/>
  <c r="T256" i="1" s="1"/>
  <c r="T162" i="1" a="1"/>
  <c r="T162" i="1" s="1"/>
  <c r="T284" i="1" a="1"/>
  <c r="T284" i="1" s="1"/>
  <c r="T106" i="1" a="1"/>
  <c r="T106" i="1" s="1"/>
  <c r="M73" i="1"/>
  <c r="T102" i="1" a="1"/>
  <c r="T102" i="1" s="1"/>
  <c r="T17" i="1" a="1"/>
  <c r="T17" i="1" s="1"/>
  <c r="T160" i="1" a="1"/>
  <c r="T160" i="1" s="1"/>
  <c r="T95" i="1" a="1"/>
  <c r="T95" i="1" s="1"/>
  <c r="T195" i="1" a="1"/>
  <c r="T195" i="1" s="1"/>
  <c r="T35" i="1" a="1"/>
  <c r="T35" i="1" s="1"/>
  <c r="T179" i="1" a="1"/>
  <c r="T179" i="1" s="1"/>
  <c r="M16" i="1"/>
  <c r="N299" i="1" a="1"/>
  <c r="N299" i="1" s="1"/>
  <c r="M29" i="1"/>
  <c r="M202" i="1"/>
  <c r="T223" i="1" a="1"/>
  <c r="T223" i="1" s="1"/>
  <c r="T276" i="1" a="1"/>
  <c r="T276" i="1" s="1"/>
  <c r="T59" i="1" a="1"/>
  <c r="T59" i="1" s="1"/>
  <c r="T287" i="1" a="1"/>
  <c r="T287" i="1" s="1"/>
  <c r="T133" i="1" a="1"/>
  <c r="T133" i="1" s="1"/>
  <c r="T266" i="1" a="1"/>
  <c r="T266" i="1" s="1"/>
  <c r="T277" i="1" a="1"/>
  <c r="T277" i="1" s="1"/>
  <c r="M264" i="1"/>
  <c r="N259" i="1" a="1"/>
  <c r="N259" i="1" s="1"/>
  <c r="M99" i="1"/>
  <c r="N183" i="1" a="1"/>
  <c r="N183" i="1" s="1"/>
  <c r="N41" i="1" a="1"/>
  <c r="N41" i="1" s="1"/>
  <c r="M231" i="1"/>
  <c r="M181" i="1"/>
  <c r="T250" i="1" a="1"/>
  <c r="T250" i="1" s="1"/>
  <c r="T6" i="1" a="1"/>
  <c r="T6" i="1" s="1"/>
  <c r="M130" i="1"/>
  <c r="N225" i="1" a="1"/>
  <c r="N225" i="1" s="1"/>
  <c r="T28" i="1" a="1"/>
  <c r="T28" i="1" s="1"/>
  <c r="T222" i="1" a="1"/>
  <c r="T222" i="1" s="1"/>
  <c r="T187" i="1" a="1"/>
  <c r="T187" i="1" s="1"/>
  <c r="T152" i="1" a="1"/>
  <c r="T152" i="1" s="1"/>
  <c r="M18" i="1"/>
  <c r="T30" i="1" a="1"/>
  <c r="T30" i="1" s="1"/>
  <c r="T50" i="1" a="1"/>
  <c r="T50" i="1" s="1"/>
  <c r="T176" i="1" a="1"/>
  <c r="T176" i="1" s="1"/>
  <c r="N98" i="1" a="1"/>
  <c r="N98" i="1" s="1"/>
  <c r="T257" i="1" a="1"/>
  <c r="T257" i="1" s="1"/>
  <c r="T215" i="1" a="1"/>
  <c r="T215" i="1" s="1"/>
  <c r="T208" i="1" a="1"/>
  <c r="T208" i="1" s="1"/>
  <c r="T293" i="1" a="1"/>
  <c r="T293" i="1" s="1"/>
  <c r="T7" i="1" a="1"/>
  <c r="T7" i="1" s="1"/>
  <c r="T156" i="1" a="1"/>
  <c r="T156" i="1" s="1"/>
  <c r="T85" i="1" a="1"/>
  <c r="T85" i="1" s="1"/>
  <c r="T89" i="1" a="1"/>
  <c r="T89" i="1" s="1"/>
  <c r="T144" i="1" a="1"/>
  <c r="T144" i="1" s="1"/>
  <c r="T190" i="1" a="1"/>
  <c r="T190" i="1" s="1"/>
  <c r="T66" i="1" a="1"/>
  <c r="T66" i="1" s="1"/>
  <c r="T181" i="1" a="1"/>
  <c r="T181" i="1" s="1"/>
  <c r="N291" i="1" a="1"/>
  <c r="N291" i="1" s="1"/>
  <c r="M157" i="1"/>
  <c r="T214" i="1" a="1"/>
  <c r="T214" i="1" s="1"/>
  <c r="T295" i="1" a="1"/>
  <c r="T295" i="1" s="1"/>
  <c r="T111" i="1" a="1"/>
  <c r="T111" i="1" s="1"/>
  <c r="T268" i="1" a="1"/>
  <c r="T268" i="1" s="1"/>
  <c r="M123" i="1"/>
  <c r="T280" i="1" a="1"/>
  <c r="T280" i="1" s="1"/>
  <c r="T63" i="1" a="1"/>
  <c r="T63" i="1" s="1"/>
  <c r="T279" i="1" a="1"/>
  <c r="T279" i="1" s="1"/>
  <c r="T149" i="1" a="1"/>
  <c r="T149" i="1" s="1"/>
  <c r="T286" i="1" a="1"/>
  <c r="T286" i="1" s="1"/>
  <c r="T69" i="1" a="1"/>
  <c r="T69" i="1" s="1"/>
  <c r="T100" i="1" a="1"/>
  <c r="T100" i="1" s="1"/>
  <c r="T227" i="1" a="1"/>
  <c r="T227" i="1" s="1"/>
  <c r="N106" i="1" a="1"/>
  <c r="N106" i="1" s="1"/>
  <c r="M218" i="1"/>
  <c r="M81" i="1"/>
  <c r="M284" i="1"/>
  <c r="M280" i="1"/>
  <c r="N279" i="1" a="1"/>
  <c r="N279" i="1" s="1"/>
  <c r="T233" i="1" a="1"/>
  <c r="T233" i="1" s="1"/>
  <c r="N238" i="1" a="1"/>
  <c r="N238" i="1" s="1"/>
  <c r="M299" i="1"/>
  <c r="T58" i="1" a="1"/>
  <c r="T58" i="1" s="1"/>
  <c r="T288" i="1" a="1"/>
  <c r="T288" i="1" s="1"/>
  <c r="T83" i="1" a="1"/>
  <c r="T83" i="1" s="1"/>
  <c r="T203" i="1" a="1"/>
  <c r="T203" i="1" s="1"/>
  <c r="T145" i="1" a="1"/>
  <c r="T145" i="1" s="1"/>
  <c r="T73" i="1" a="1"/>
  <c r="T73" i="1" s="1"/>
  <c r="N150" i="1" a="1"/>
  <c r="N150" i="1" s="1"/>
  <c r="N204" i="1" a="1"/>
  <c r="N204" i="1" s="1"/>
  <c r="M275" i="1"/>
  <c r="N94" i="1" a="1"/>
  <c r="N94" i="1" s="1"/>
  <c r="T103" i="1" a="1"/>
  <c r="T103" i="1" s="1"/>
  <c r="T157" i="1" a="1"/>
  <c r="T157" i="1" s="1"/>
  <c r="T124" i="1" a="1"/>
  <c r="T124" i="1" s="1"/>
  <c r="T13" i="1" a="1"/>
  <c r="T13" i="1" s="1"/>
  <c r="T68" i="1" a="1"/>
  <c r="T68" i="1" s="1"/>
  <c r="T94" i="1" a="1"/>
  <c r="T94" i="1" s="1"/>
  <c r="T79" i="1" a="1"/>
  <c r="T79" i="1" s="1"/>
  <c r="T292" i="1" a="1"/>
  <c r="T292" i="1" s="1"/>
  <c r="T165" i="1" a="1"/>
  <c r="T165" i="1" s="1"/>
  <c r="T232" i="1" a="1"/>
  <c r="T232" i="1" s="1"/>
  <c r="T38" i="1" a="1"/>
  <c r="T38" i="1" s="1"/>
  <c r="T264" i="1" a="1"/>
  <c r="T264" i="1" s="1"/>
  <c r="T130" i="1" a="1"/>
  <c r="T130" i="1" s="1"/>
  <c r="M59" i="1"/>
  <c r="M164" i="1"/>
  <c r="M243" i="1"/>
  <c r="N264" i="1" a="1"/>
  <c r="N264" i="1" s="1"/>
  <c r="M28" i="1"/>
  <c r="M235" i="1"/>
  <c r="M94" i="1"/>
  <c r="N287" i="1" a="1"/>
  <c r="N287" i="1" s="1"/>
  <c r="M115" i="1"/>
  <c r="N97" i="1" a="1"/>
  <c r="N97" i="1" s="1"/>
  <c r="M25" i="1"/>
  <c r="M155" i="1"/>
  <c r="N105" i="1" a="1"/>
  <c r="N105" i="1" s="1"/>
  <c r="M279" i="1"/>
  <c r="M67" i="1"/>
  <c r="N161" i="1" a="1"/>
  <c r="N161" i="1" s="1"/>
  <c r="N164" i="1" a="1"/>
  <c r="N164" i="1" s="1"/>
  <c r="N8" i="1" a="1"/>
  <c r="N8" i="1" s="1"/>
  <c r="M58" i="1"/>
  <c r="N18" i="1" a="1"/>
  <c r="N18" i="1" s="1"/>
  <c r="N257" i="1" a="1"/>
  <c r="N257" i="1" s="1"/>
  <c r="M253" i="1"/>
  <c r="N171" i="1" a="1"/>
  <c r="N171" i="1" s="1"/>
  <c r="N280" i="1" a="1"/>
  <c r="N280" i="1" s="1"/>
  <c r="M201" i="1"/>
  <c r="N70" i="1" a="1"/>
  <c r="N70" i="1" s="1"/>
  <c r="N96" i="1" a="1"/>
  <c r="N96" i="1" s="1"/>
  <c r="M209" i="1"/>
  <c r="M85" i="1"/>
  <c r="M207" i="1"/>
  <c r="N48" i="1" a="1"/>
  <c r="N48" i="1" s="1"/>
  <c r="N86" i="1" a="1"/>
  <c r="N86" i="1" s="1"/>
  <c r="N260" i="1" a="1"/>
  <c r="N260" i="1" s="1"/>
  <c r="N218" i="1" a="1"/>
  <c r="N218" i="1" s="1"/>
  <c r="M283" i="1"/>
  <c r="M170" i="1"/>
  <c r="N99" i="1" a="1"/>
  <c r="N99" i="1" s="1"/>
  <c r="T245" i="1" a="1"/>
  <c r="T245" i="1" s="1"/>
  <c r="N13" i="1" a="1"/>
  <c r="N13" i="1" s="1"/>
  <c r="N290" i="1" a="1"/>
  <c r="N290" i="1" s="1"/>
  <c r="M247" i="1"/>
  <c r="N242" i="1" a="1"/>
  <c r="N242" i="1" s="1"/>
  <c r="N47" i="1" a="1"/>
  <c r="N47" i="1" s="1"/>
  <c r="N58" i="1" a="1"/>
  <c r="N58" i="1" s="1"/>
  <c r="N89" i="1" a="1"/>
  <c r="N89" i="1" s="1"/>
  <c r="M163" i="1"/>
  <c r="M183" i="1"/>
  <c r="M259" i="1"/>
  <c r="M97" i="1"/>
  <c r="N64" i="1" a="1"/>
  <c r="N64" i="1" s="1"/>
  <c r="M229" i="1"/>
  <c r="M195" i="1"/>
  <c r="T9" i="1" a="1"/>
  <c r="T9" i="1" s="1"/>
  <c r="T93" i="1" a="1"/>
  <c r="T93" i="1" s="1"/>
  <c r="T225" i="1" a="1"/>
  <c r="T225" i="1" s="1"/>
  <c r="T33" i="1" a="1"/>
  <c r="T33" i="1" s="1"/>
  <c r="T260" i="1" a="1"/>
  <c r="T260" i="1" s="1"/>
  <c r="T229" i="1" a="1"/>
  <c r="T229" i="1" s="1"/>
  <c r="T274" i="1" a="1"/>
  <c r="T274" i="1" s="1"/>
  <c r="T55" i="1" a="1"/>
  <c r="T55" i="1" s="1"/>
  <c r="N282" i="1" a="1"/>
  <c r="N282" i="1" s="1"/>
  <c r="N266" i="1" a="1"/>
  <c r="N266" i="1" s="1"/>
  <c r="M83" i="1"/>
  <c r="M135" i="1"/>
  <c r="N34" i="1" a="1"/>
  <c r="N34" i="1" s="1"/>
  <c r="G5" i="1"/>
  <c r="N253" i="1" a="1"/>
  <c r="N253" i="1" s="1"/>
  <c r="T96" i="1" a="1"/>
  <c r="T96" i="1" s="1"/>
  <c r="T56" i="1" a="1"/>
  <c r="T56" i="1" s="1"/>
  <c r="T46" i="1" a="1"/>
  <c r="T46" i="1" s="1"/>
  <c r="T148" i="1" a="1"/>
  <c r="T148" i="1" s="1"/>
  <c r="T8" i="1" a="1"/>
  <c r="T8" i="1" s="1"/>
  <c r="T201" i="1" a="1"/>
  <c r="T201" i="1" s="1"/>
  <c r="T34" i="1" a="1"/>
  <c r="T34" i="1" s="1"/>
  <c r="T107" i="1" a="1"/>
  <c r="T107" i="1" s="1"/>
  <c r="T49" i="1" a="1"/>
  <c r="T49" i="1" s="1"/>
  <c r="N220" i="1" a="1"/>
  <c r="N220" i="1" s="1"/>
  <c r="M111" i="1"/>
  <c r="M156" i="1"/>
  <c r="T45" i="1" a="1"/>
  <c r="T45" i="1" s="1"/>
  <c r="T109" i="1" a="1"/>
  <c r="T109" i="1" s="1"/>
  <c r="T115" i="1" a="1"/>
  <c r="T115" i="1" s="1"/>
  <c r="T272" i="1" a="1"/>
  <c r="T272" i="1" s="1"/>
  <c r="T136" i="1" a="1"/>
  <c r="T136" i="1" s="1"/>
  <c r="T134" i="1" a="1"/>
  <c r="T134" i="1" s="1"/>
  <c r="T91" i="1" a="1"/>
  <c r="T91" i="1" s="1"/>
  <c r="T21" i="1" a="1"/>
  <c r="T21" i="1" s="1"/>
  <c r="N241" i="1" a="1"/>
  <c r="N241" i="1" s="1"/>
  <c r="M177" i="1"/>
  <c r="M148" i="1"/>
  <c r="N181" i="1" a="1"/>
  <c r="N181" i="1" s="1"/>
  <c r="N243" i="1" a="1"/>
  <c r="N243" i="1" s="1"/>
  <c r="M260" i="1"/>
  <c r="N202" i="1" a="1"/>
  <c r="N202" i="1" s="1"/>
  <c r="N115" i="1" a="1"/>
  <c r="N115" i="1" s="1"/>
  <c r="M171" i="1"/>
  <c r="N81" i="1" a="1"/>
  <c r="N81" i="1" s="1"/>
  <c r="N235" i="1" a="1"/>
  <c r="N235" i="1" s="1"/>
  <c r="T26" i="1" a="1"/>
  <c r="T26" i="1" s="1"/>
  <c r="T16" i="1" a="1"/>
  <c r="T16" i="1" s="1"/>
  <c r="T44" i="1" a="1"/>
  <c r="T44" i="1" s="1"/>
  <c r="T47" i="1" a="1"/>
  <c r="T47" i="1" s="1"/>
  <c r="T249" i="1" a="1"/>
  <c r="T249" i="1" s="1"/>
  <c r="T240" i="1" a="1"/>
  <c r="T240" i="1" s="1"/>
  <c r="T92" i="1" a="1"/>
  <c r="T92" i="1" s="1"/>
  <c r="T24" i="1" a="1"/>
  <c r="T24" i="1" s="1"/>
  <c r="T31" i="1" a="1"/>
  <c r="T31" i="1" s="1"/>
  <c r="T118" i="1" a="1"/>
  <c r="T118" i="1" s="1"/>
  <c r="T29" i="1" a="1"/>
  <c r="T29" i="1" s="1"/>
  <c r="T219" i="1" a="1"/>
  <c r="T219" i="1" s="1"/>
  <c r="T20" i="1" a="1"/>
  <c r="T20" i="1" s="1"/>
  <c r="T204" i="1" a="1"/>
  <c r="T204" i="1" s="1"/>
  <c r="N288" i="1" a="1"/>
  <c r="N288" i="1" s="1"/>
  <c r="N26" i="1" a="1"/>
  <c r="N26" i="1" s="1"/>
  <c r="M70" i="1"/>
  <c r="N158" i="1" a="1"/>
  <c r="N158" i="1" s="1"/>
  <c r="N201" i="1" a="1"/>
  <c r="N201" i="1" s="1"/>
  <c r="N59" i="1" a="1"/>
  <c r="N59" i="1" s="1"/>
  <c r="T296" i="1" a="1"/>
  <c r="T296" i="1" s="1"/>
  <c r="T64" i="1" a="1"/>
  <c r="T64" i="1" s="1"/>
  <c r="T235" i="1" a="1"/>
  <c r="T235" i="1" s="1"/>
  <c r="T211" i="1" a="1"/>
  <c r="T211" i="1" s="1"/>
  <c r="T261" i="1" a="1"/>
  <c r="T261" i="1" s="1"/>
  <c r="T122" i="1" a="1"/>
  <c r="T122" i="1" s="1"/>
  <c r="M174" i="1"/>
  <c r="L5" i="1"/>
  <c r="M257" i="1"/>
  <c r="N16" i="1" a="1"/>
  <c r="N16" i="1" s="1"/>
  <c r="N275" i="1" a="1"/>
  <c r="N275" i="1" s="1"/>
  <c r="N239" i="1" a="1"/>
  <c r="N239" i="1" s="1"/>
  <c r="N134" i="1" a="1"/>
  <c r="N134" i="1" s="1"/>
  <c r="N156" i="1" a="1"/>
  <c r="N156" i="1" s="1"/>
  <c r="T237" i="1" a="1"/>
  <c r="T237" i="1" s="1"/>
  <c r="T120" i="1" a="1"/>
  <c r="T120" i="1" s="1"/>
  <c r="T178" i="1" a="1"/>
  <c r="T178" i="1" s="1"/>
  <c r="T128" i="1" a="1"/>
  <c r="T128" i="1" s="1"/>
  <c r="N180" i="1" a="1"/>
  <c r="N180" i="1" s="1"/>
  <c r="N155" i="1" a="1"/>
  <c r="N155" i="1" s="1"/>
  <c r="M8" i="1"/>
  <c r="N162" i="1" a="1"/>
  <c r="N162" i="1" s="1"/>
  <c r="T184" i="1" a="1"/>
  <c r="T184" i="1" s="1"/>
  <c r="T15" i="1" a="1"/>
  <c r="T15" i="1" s="1"/>
  <c r="T12" i="1" a="1"/>
  <c r="T12" i="1" s="1"/>
  <c r="T75" i="1" a="1"/>
  <c r="T75" i="1" s="1"/>
  <c r="T248" i="1" a="1"/>
  <c r="T248" i="1" s="1"/>
  <c r="T32" i="1" a="1"/>
  <c r="T32" i="1" s="1"/>
  <c r="T52" i="1" a="1"/>
  <c r="T52" i="1" s="1"/>
  <c r="T37" i="1" a="1"/>
  <c r="T37" i="1" s="1"/>
  <c r="T48" i="1" a="1"/>
  <c r="T48" i="1" s="1"/>
  <c r="S139" i="1"/>
  <c r="R139" i="1"/>
  <c r="Q139" i="1"/>
  <c r="T139" i="1" s="1" a="1"/>
  <c r="T139" i="1" s="1"/>
  <c r="M51" i="1"/>
  <c r="N175" i="1" a="1"/>
  <c r="N175" i="1" s="1"/>
  <c r="T196" i="1" a="1"/>
  <c r="T196" i="1" s="1"/>
  <c r="T87" i="1" a="1"/>
  <c r="T87" i="1" s="1"/>
  <c r="T116" i="1" a="1"/>
  <c r="T116" i="1" s="1"/>
  <c r="T54" i="1" a="1"/>
  <c r="T54" i="1" s="1"/>
  <c r="T238" i="1" a="1"/>
  <c r="T238" i="1" s="1"/>
  <c r="T241" i="1" a="1"/>
  <c r="T241" i="1" s="1"/>
  <c r="N294" i="1" a="1"/>
  <c r="N294" i="1" s="1"/>
  <c r="M124" i="1"/>
  <c r="M42" i="1"/>
  <c r="T51" i="1" a="1"/>
  <c r="T51" i="1" s="1"/>
  <c r="T80" i="1" a="1"/>
  <c r="T80" i="1" s="1"/>
  <c r="T300" i="1" a="1"/>
  <c r="T300" i="1" s="1"/>
  <c r="T213" i="1" a="1"/>
  <c r="T213" i="1" s="1"/>
  <c r="T244" i="1" a="1"/>
  <c r="T244" i="1" s="1"/>
  <c r="T76" i="1" a="1"/>
  <c r="T76" i="1" s="1"/>
  <c r="T185" i="1" a="1"/>
  <c r="T185" i="1" s="1"/>
  <c r="T263" i="1" a="1"/>
  <c r="T263" i="1" s="1"/>
  <c r="T177" i="1" a="1"/>
  <c r="T177" i="1" s="1"/>
  <c r="T228" i="1" a="1"/>
  <c r="T228" i="1" s="1"/>
  <c r="T90" i="1" a="1"/>
  <c r="T90" i="1" s="1"/>
  <c r="T127" i="1" a="1"/>
  <c r="T127" i="1" s="1"/>
  <c r="T77" i="1" a="1"/>
  <c r="T77" i="1" s="1"/>
  <c r="T42" i="1" a="1"/>
  <c r="T42" i="1" s="1"/>
  <c r="T141" i="1" a="1"/>
  <c r="T141" i="1" s="1"/>
  <c r="T43" i="1" a="1"/>
  <c r="T43" i="1" s="1"/>
  <c r="T150" i="1" a="1"/>
  <c r="T150" i="1" s="1"/>
  <c r="T99" i="1" a="1"/>
  <c r="T99" i="1" s="1"/>
  <c r="T140" i="1" a="1"/>
  <c r="T140" i="1" s="1"/>
  <c r="T189" i="1" a="1"/>
  <c r="T189" i="1" s="1"/>
  <c r="M267" i="1"/>
  <c r="N14" i="1" a="1"/>
  <c r="N14" i="1" s="1"/>
  <c r="N168" i="1" a="1"/>
  <c r="N168" i="1" s="1"/>
  <c r="M274" i="1"/>
  <c r="M185" i="1"/>
  <c r="N38" i="1" a="1"/>
  <c r="N38" i="1" s="1"/>
  <c r="M239" i="1"/>
  <c r="N195" i="1" a="1"/>
  <c r="N195" i="1" s="1"/>
  <c r="N300" i="1" a="1"/>
  <c r="N300" i="1" s="1"/>
  <c r="M300" i="1"/>
  <c r="N284" i="1" a="1"/>
  <c r="N284" i="1" s="1"/>
  <c r="N298" i="1" a="1"/>
  <c r="N298" i="1" s="1"/>
  <c r="N286" i="1" a="1"/>
  <c r="N286" i="1" s="1"/>
  <c r="M217" i="1"/>
  <c r="N210" i="1" a="1"/>
  <c r="N210" i="1" s="1"/>
  <c r="M151" i="1"/>
  <c r="M98" i="1"/>
  <c r="M128" i="1"/>
  <c r="N6" i="1" a="1"/>
  <c r="N6" i="1" s="1"/>
  <c r="N10" i="1" a="1"/>
  <c r="N10" i="1" s="1"/>
  <c r="M175" i="1"/>
  <c r="N54" i="1" a="1"/>
  <c r="N54" i="1" s="1"/>
  <c r="N278" i="1" a="1"/>
  <c r="N278" i="1" s="1"/>
  <c r="N274" i="1" a="1"/>
  <c r="N274" i="1" s="1"/>
  <c r="N207" i="1" a="1"/>
  <c r="N207" i="1" s="1"/>
  <c r="N122" i="1" a="1"/>
  <c r="N122" i="1" s="1"/>
  <c r="M162" i="1"/>
  <c r="N104" i="1" a="1"/>
  <c r="N104" i="1" s="1"/>
  <c r="N283" i="1" a="1"/>
  <c r="N283" i="1" s="1"/>
  <c r="N130" i="1" a="1"/>
  <c r="N130" i="1" s="1"/>
  <c r="N124" i="1" a="1"/>
  <c r="N124" i="1" s="1"/>
  <c r="N117" i="1" a="1"/>
  <c r="N117" i="1" s="1"/>
  <c r="M134" i="1"/>
  <c r="M11" i="1"/>
  <c r="M272" i="1"/>
  <c r="M168" i="1"/>
  <c r="N163" i="1" a="1"/>
  <c r="N163" i="1" s="1"/>
  <c r="M225" i="1"/>
  <c r="M161" i="1"/>
  <c r="M294" i="1"/>
  <c r="N108" i="1" a="1"/>
  <c r="N108" i="1" s="1"/>
  <c r="M61" i="1"/>
  <c r="N229" i="1" a="1"/>
  <c r="N229" i="1" s="1"/>
  <c r="N209" i="1" a="1"/>
  <c r="N209" i="1" s="1"/>
  <c r="M114" i="1"/>
  <c r="M191" i="1"/>
  <c r="N74" i="1" a="1"/>
  <c r="N74" i="1" s="1"/>
  <c r="T5" i="1" a="1"/>
  <c r="T5" i="1" s="1"/>
  <c r="M196" i="1"/>
  <c r="N91" i="1" a="1"/>
  <c r="N91" i="1" s="1"/>
  <c r="M64" i="1"/>
  <c r="M93" i="1"/>
  <c r="M287" i="1"/>
  <c r="N221" i="1" a="1"/>
  <c r="N221" i="1" s="1"/>
  <c r="N25" i="1" a="1"/>
  <c r="N25" i="1" s="1"/>
  <c r="N230" i="1" a="1"/>
  <c r="N230" i="1" s="1"/>
  <c r="M242" i="1"/>
  <c r="N20" i="1" a="1"/>
  <c r="N20" i="1" s="1"/>
  <c r="M186" i="1"/>
  <c r="M211" i="1"/>
  <c r="N228" i="1" a="1"/>
  <c r="N228" i="1" s="1"/>
  <c r="N42" i="1" a="1"/>
  <c r="N42" i="1" s="1"/>
  <c r="M106" i="1"/>
  <c r="M173" i="1"/>
  <c r="M282" i="1"/>
  <c r="M7" i="1"/>
  <c r="M9" i="1"/>
  <c r="M230" i="1"/>
  <c r="M204" i="1"/>
  <c r="M27" i="1"/>
  <c r="M158" i="1"/>
  <c r="N252" i="1" a="1"/>
  <c r="N252" i="1" s="1"/>
  <c r="M34" i="1"/>
  <c r="N93" i="1" a="1"/>
  <c r="N93" i="1" s="1"/>
  <c r="N170" i="1" a="1"/>
  <c r="N170" i="1" s="1"/>
  <c r="N17" i="1" a="1"/>
  <c r="N17" i="1" s="1"/>
  <c r="M17" i="1"/>
  <c r="N295" i="1" a="1"/>
  <c r="N295" i="1" s="1"/>
  <c r="M295" i="1"/>
  <c r="N263" i="1" a="1"/>
  <c r="N263" i="1" s="1"/>
  <c r="M263" i="1"/>
  <c r="N262" i="1" a="1"/>
  <c r="N262" i="1" s="1"/>
  <c r="M262" i="1"/>
  <c r="N7" i="1" a="1"/>
  <c r="N7" i="1" s="1"/>
  <c r="M268" i="1"/>
  <c r="N268" i="1" a="1"/>
  <c r="N268" i="1" s="1"/>
  <c r="N40" i="1" a="1"/>
  <c r="N40" i="1" s="1"/>
  <c r="M40" i="1"/>
  <c r="M250" i="1"/>
  <c r="N250" i="1" a="1"/>
  <c r="N250" i="1" s="1"/>
  <c r="N251" i="1" a="1"/>
  <c r="N251" i="1" s="1"/>
  <c r="M251" i="1"/>
  <c r="N55" i="1" a="1"/>
  <c r="N55" i="1" s="1"/>
  <c r="M55" i="1"/>
  <c r="N11" i="1" a="1"/>
  <c r="N11" i="1" s="1"/>
  <c r="M139" i="1"/>
  <c r="N139" i="1" a="1"/>
  <c r="N139" i="1" s="1"/>
  <c r="N208" i="1" a="1"/>
  <c r="N208" i="1" s="1"/>
  <c r="M208" i="1"/>
  <c r="N53" i="1" a="1"/>
  <c r="N53" i="1" s="1"/>
  <c r="M53" i="1"/>
  <c r="N285" i="1" a="1"/>
  <c r="N285" i="1" s="1"/>
  <c r="M285" i="1"/>
  <c r="M241" i="1"/>
  <c r="N198" i="1" a="1"/>
  <c r="N198" i="1" s="1"/>
  <c r="M198" i="1"/>
  <c r="N186" i="1" a="1"/>
  <c r="N186" i="1" s="1"/>
  <c r="M31" i="1"/>
  <c r="M20" i="1"/>
  <c r="N132" i="1" a="1"/>
  <c r="N132" i="1" s="1"/>
  <c r="M132" i="1"/>
  <c r="N247" i="1" a="1"/>
  <c r="N247" i="1" s="1"/>
  <c r="N114" i="1" a="1"/>
  <c r="N114" i="1" s="1"/>
  <c r="N76" i="1" a="1"/>
  <c r="N76" i="1" s="1"/>
  <c r="M76" i="1"/>
  <c r="M292" i="1"/>
  <c r="N292" i="1" a="1"/>
  <c r="N292" i="1" s="1"/>
  <c r="M206" i="1"/>
  <c r="N206" i="1" a="1"/>
  <c r="N206" i="1" s="1"/>
  <c r="M296" i="1"/>
  <c r="N296" i="1" a="1"/>
  <c r="N296" i="1" s="1"/>
  <c r="M258" i="1"/>
  <c r="N258" i="1" a="1"/>
  <c r="N258" i="1" s="1"/>
  <c r="N219" i="1" a="1"/>
  <c r="N219" i="1" s="1"/>
  <c r="M219" i="1"/>
  <c r="N249" i="1" a="1"/>
  <c r="N249" i="1" s="1"/>
  <c r="M249" i="1"/>
  <c r="M246" i="1"/>
  <c r="N246" i="1" a="1"/>
  <c r="N246" i="1" s="1"/>
  <c r="M266" i="1"/>
  <c r="N100" i="1" a="1"/>
  <c r="N100" i="1" s="1"/>
  <c r="M100" i="1"/>
  <c r="M193" i="1"/>
  <c r="N193" i="1" a="1"/>
  <c r="N193" i="1" s="1"/>
  <c r="N71" i="1" a="1"/>
  <c r="N71" i="1" s="1"/>
  <c r="M71" i="1"/>
  <c r="M121" i="1"/>
  <c r="N121" i="1" a="1"/>
  <c r="N121" i="1" s="1"/>
  <c r="N83" i="1" a="1"/>
  <c r="N83" i="1" s="1"/>
  <c r="N109" i="1" a="1"/>
  <c r="N109" i="1" s="1"/>
  <c r="M109" i="1"/>
  <c r="M62" i="1"/>
  <c r="N62" i="1" a="1"/>
  <c r="N62" i="1" s="1"/>
  <c r="E5" i="1"/>
  <c r="N116" i="1" a="1"/>
  <c r="N116" i="1" s="1"/>
  <c r="M116" i="1"/>
  <c r="N30" i="1" a="1"/>
  <c r="N30" i="1" s="1"/>
  <c r="M30" i="1"/>
  <c r="M113" i="1"/>
  <c r="N113" i="1" a="1"/>
  <c r="N113" i="1" s="1"/>
  <c r="N272" i="1" a="1"/>
  <c r="N272" i="1" s="1"/>
  <c r="N111" i="1" a="1"/>
  <c r="N111" i="1" s="1"/>
  <c r="M23" i="1"/>
  <c r="N23" i="1" a="1"/>
  <c r="N23" i="1" s="1"/>
  <c r="M233" i="1"/>
  <c r="N233" i="1" a="1"/>
  <c r="N233" i="1" s="1"/>
  <c r="N24" i="1" a="1"/>
  <c r="N24" i="1" s="1"/>
  <c r="M24" i="1"/>
  <c r="N169" i="1" a="1"/>
  <c r="N169" i="1" s="1"/>
  <c r="M169" i="1"/>
  <c r="N205" i="1" a="1"/>
  <c r="N205" i="1" s="1"/>
  <c r="M205" i="1"/>
  <c r="N297" i="1" a="1"/>
  <c r="N297" i="1" s="1"/>
  <c r="M297" i="1"/>
  <c r="N293" i="1" a="1"/>
  <c r="N293" i="1" s="1"/>
  <c r="M293" i="1"/>
  <c r="M220" i="1"/>
  <c r="M228" i="1"/>
  <c r="M245" i="1"/>
  <c r="N245" i="1" a="1"/>
  <c r="N245" i="1" s="1"/>
  <c r="N146" i="1" a="1"/>
  <c r="N146" i="1" s="1"/>
  <c r="M146" i="1"/>
  <c r="M238" i="1"/>
  <c r="M178" i="1"/>
  <c r="N178" i="1" a="1"/>
  <c r="N178" i="1" s="1"/>
  <c r="N103" i="1" a="1"/>
  <c r="N103" i="1" s="1"/>
  <c r="N160" i="1" a="1"/>
  <c r="N160" i="1" s="1"/>
  <c r="M160" i="1"/>
  <c r="M216" i="1"/>
  <c r="N216" i="1" a="1"/>
  <c r="N216" i="1" s="1"/>
  <c r="M212" i="1"/>
  <c r="N212" i="1" a="1"/>
  <c r="N212" i="1" s="1"/>
  <c r="N187" i="1" a="1"/>
  <c r="N187" i="1" s="1"/>
  <c r="M187" i="1"/>
  <c r="N57" i="1" a="1"/>
  <c r="N57" i="1" s="1"/>
  <c r="M57" i="1"/>
  <c r="M252" i="1"/>
  <c r="M10" i="1"/>
  <c r="N45" i="1" a="1"/>
  <c r="N45" i="1" s="1"/>
  <c r="M45" i="1"/>
  <c r="M89" i="1"/>
  <c r="M43" i="1"/>
  <c r="N43" i="1" a="1"/>
  <c r="N43" i="1" s="1"/>
  <c r="C5" i="1"/>
  <c r="I5" i="1"/>
  <c r="M180" i="1"/>
  <c r="N240" i="1" a="1"/>
  <c r="N240" i="1" s="1"/>
  <c r="M240" i="1"/>
  <c r="N172" i="1" a="1"/>
  <c r="N172" i="1" s="1"/>
  <c r="M172" i="1"/>
  <c r="M188" i="1"/>
  <c r="N188" i="1" a="1"/>
  <c r="N188" i="1" s="1"/>
  <c r="M138" i="1"/>
  <c r="N138" i="1" a="1"/>
  <c r="N138" i="1" s="1"/>
  <c r="N199" i="1" a="1"/>
  <c r="N199" i="1" s="1"/>
  <c r="M199" i="1"/>
  <c r="M118" i="1"/>
  <c r="N118" i="1" a="1"/>
  <c r="N118" i="1" s="1"/>
  <c r="M13" i="1"/>
  <c r="N269" i="1" a="1"/>
  <c r="N269" i="1" s="1"/>
  <c r="M269" i="1"/>
  <c r="M298" i="1"/>
  <c r="N289" i="1" a="1"/>
  <c r="N289" i="1" s="1"/>
  <c r="M289" i="1"/>
  <c r="N277" i="1" a="1"/>
  <c r="N277" i="1" s="1"/>
  <c r="M277" i="1"/>
  <c r="M291" i="1"/>
  <c r="M210" i="1"/>
  <c r="N185" i="1" a="1"/>
  <c r="N185" i="1" s="1"/>
  <c r="N27" i="1" a="1"/>
  <c r="N27" i="1" s="1"/>
  <c r="N184" i="1" a="1"/>
  <c r="N184" i="1" s="1"/>
  <c r="M184" i="1"/>
  <c r="M166" i="1"/>
  <c r="N166" i="1" a="1"/>
  <c r="N166" i="1" s="1"/>
  <c r="N136" i="1" a="1"/>
  <c r="N136" i="1" s="1"/>
  <c r="M136" i="1"/>
  <c r="N196" i="1" a="1"/>
  <c r="N196" i="1" s="1"/>
  <c r="N177" i="1" a="1"/>
  <c r="N177" i="1" s="1"/>
  <c r="N148" i="1" a="1"/>
  <c r="N148" i="1" s="1"/>
  <c r="N133" i="1" a="1"/>
  <c r="N133" i="1" s="1"/>
  <c r="M133" i="1"/>
  <c r="N127" i="1" a="1"/>
  <c r="N127" i="1" s="1"/>
  <c r="N66" i="1" a="1"/>
  <c r="N66" i="1" s="1"/>
  <c r="M66" i="1"/>
  <c r="N67" i="1" a="1"/>
  <c r="N67" i="1" s="1"/>
  <c r="M84" i="1"/>
  <c r="N84" i="1" a="1"/>
  <c r="N84" i="1" s="1"/>
  <c r="F5" i="1"/>
  <c r="N151" i="1" a="1"/>
  <c r="N151" i="1" s="1"/>
  <c r="N157" i="1" a="1"/>
  <c r="N157" i="1" s="1"/>
  <c r="M117" i="1"/>
  <c r="M290" i="1"/>
  <c r="M281" i="1"/>
  <c r="N281" i="1" a="1"/>
  <c r="N281" i="1" s="1"/>
  <c r="M276" i="1"/>
  <c r="N276" i="1" a="1"/>
  <c r="N276" i="1" s="1"/>
  <c r="M278" i="1"/>
  <c r="M248" i="1"/>
  <c r="N248" i="1" a="1"/>
  <c r="N248" i="1" s="1"/>
  <c r="M214" i="1"/>
  <c r="N214" i="1" a="1"/>
  <c r="N214" i="1" s="1"/>
  <c r="M86" i="1"/>
  <c r="M223" i="1"/>
  <c r="N223" i="1" a="1"/>
  <c r="N223" i="1" s="1"/>
  <c r="M147" i="1"/>
  <c r="N147" i="1" a="1"/>
  <c r="N147" i="1" s="1"/>
  <c r="N179" i="1" a="1"/>
  <c r="N179" i="1" s="1"/>
  <c r="M179" i="1"/>
  <c r="N194" i="1" a="1"/>
  <c r="N194" i="1" s="1"/>
  <c r="M194" i="1"/>
  <c r="N131" i="1" a="1"/>
  <c r="N131" i="1" s="1"/>
  <c r="M131" i="1"/>
  <c r="N137" i="1" a="1"/>
  <c r="N137" i="1" s="1"/>
  <c r="M137" i="1"/>
  <c r="M95" i="1"/>
  <c r="N95" i="1" a="1"/>
  <c r="N95" i="1" s="1"/>
  <c r="N51" i="1" a="1"/>
  <c r="N51" i="1" s="1"/>
  <c r="N211" i="1" a="1"/>
  <c r="N211" i="1" s="1"/>
  <c r="N174" i="1" a="1"/>
  <c r="N174" i="1" s="1"/>
  <c r="M112" i="1"/>
  <c r="N112" i="1" a="1"/>
  <c r="N112" i="1" s="1"/>
  <c r="J5" i="1"/>
  <c r="N46" i="1" a="1"/>
  <c r="N46" i="1" s="1"/>
  <c r="M46" i="1"/>
  <c r="M122" i="1"/>
  <c r="N82" i="1" a="1"/>
  <c r="N82" i="1" s="1"/>
  <c r="M82" i="1"/>
  <c r="M79" i="1"/>
  <c r="N79" i="1" a="1"/>
  <c r="N79" i="1" s="1"/>
  <c r="M144" i="1"/>
  <c r="N144" i="1" a="1"/>
  <c r="N144" i="1" s="1"/>
  <c r="N267" i="1" a="1"/>
  <c r="N267" i="1" s="1"/>
  <c r="N265" i="1" a="1"/>
  <c r="N265" i="1" s="1"/>
  <c r="M265" i="1"/>
  <c r="N191" i="1" a="1"/>
  <c r="N191" i="1" s="1"/>
  <c r="N92" i="1" a="1"/>
  <c r="N92" i="1" s="1"/>
  <c r="M92" i="1"/>
  <c r="M119" i="1"/>
  <c r="N119" i="1" a="1"/>
  <c r="N119" i="1" s="1"/>
  <c r="M203" i="1"/>
  <c r="N203" i="1" a="1"/>
  <c r="N203" i="1" s="1"/>
  <c r="N39" i="1" a="1"/>
  <c r="N39" i="1" s="1"/>
  <c r="M150" i="1"/>
  <c r="M72" i="1"/>
  <c r="N72" i="1" a="1"/>
  <c r="N72" i="1" s="1"/>
  <c r="M104" i="1"/>
  <c r="M125" i="1"/>
  <c r="N125" i="1" a="1"/>
  <c r="N125" i="1" s="1"/>
  <c r="K5" i="1"/>
  <c r="M129" i="1"/>
  <c r="N129" i="1" a="1"/>
  <c r="N129" i="1" s="1"/>
  <c r="N31" i="1" a="1"/>
  <c r="N31" i="1" s="1"/>
  <c r="M47" i="1"/>
  <c r="M270" i="1"/>
  <c r="N270" i="1" a="1"/>
  <c r="N270" i="1" s="1"/>
  <c r="M226" i="1"/>
  <c r="N226" i="1" a="1"/>
  <c r="N226" i="1" s="1"/>
  <c r="N9" i="1" a="1"/>
  <c r="N9" i="1" s="1"/>
  <c r="M120" i="1"/>
  <c r="N120" i="1" a="1"/>
  <c r="N120" i="1" s="1"/>
  <c r="N61" i="1" a="1"/>
  <c r="N61" i="1" s="1"/>
  <c r="N44" i="1" a="1"/>
  <c r="N44" i="1" s="1"/>
  <c r="M44" i="1"/>
  <c r="N254" i="1" a="1"/>
  <c r="N254" i="1" s="1"/>
  <c r="M254" i="1"/>
  <c r="N232" i="1" a="1"/>
  <c r="N232" i="1" s="1"/>
  <c r="M232" i="1"/>
  <c r="M261" i="1"/>
  <c r="N261" i="1" a="1"/>
  <c r="N261" i="1" s="1"/>
  <c r="N271" i="1" a="1"/>
  <c r="N271" i="1" s="1"/>
  <c r="M271" i="1"/>
  <c r="M38" i="1"/>
  <c r="N224" i="1" a="1"/>
  <c r="N224" i="1" s="1"/>
  <c r="M224" i="1"/>
  <c r="N149" i="1" a="1"/>
  <c r="N149" i="1" s="1"/>
  <c r="M149" i="1"/>
  <c r="M189" i="1"/>
  <c r="N189" i="1" a="1"/>
  <c r="N189" i="1" s="1"/>
  <c r="N101" i="1" a="1"/>
  <c r="N101" i="1" s="1"/>
  <c r="M101" i="1"/>
  <c r="N227" i="1" a="1"/>
  <c r="N227" i="1" s="1"/>
  <c r="M227" i="1"/>
  <c r="M91" i="1"/>
  <c r="M96" i="1"/>
  <c r="M140" i="1"/>
  <c r="N140" i="1" a="1"/>
  <c r="N140" i="1" s="1"/>
  <c r="N141" i="1" a="1"/>
  <c r="N141" i="1" s="1"/>
  <c r="M141" i="1"/>
  <c r="N173" i="1" a="1"/>
  <c r="N173" i="1" s="1"/>
  <c r="N128" i="1" a="1"/>
  <c r="N128" i="1" s="1"/>
  <c r="M6" i="1"/>
  <c r="M222" i="1"/>
  <c r="N222" i="1" a="1"/>
  <c r="N222" i="1" s="1"/>
  <c r="M152" i="1"/>
  <c r="N152" i="1" a="1"/>
  <c r="N152" i="1" s="1"/>
  <c r="M286" i="1"/>
  <c r="N217" i="1" a="1"/>
  <c r="N217" i="1" s="1"/>
  <c r="M244" i="1"/>
  <c r="N244" i="1" a="1"/>
  <c r="N244" i="1" s="1"/>
  <c r="M237" i="1"/>
  <c r="N237" i="1" a="1"/>
  <c r="N237" i="1" s="1"/>
  <c r="M200" i="1"/>
  <c r="N200" i="1" a="1"/>
  <c r="N200" i="1" s="1"/>
  <c r="N154" i="1" a="1"/>
  <c r="N154" i="1" s="1"/>
  <c r="M154" i="1"/>
  <c r="N75" i="1" a="1"/>
  <c r="N75" i="1" s="1"/>
  <c r="M75" i="1"/>
  <c r="N176" i="1" a="1"/>
  <c r="N176" i="1" s="1"/>
  <c r="M176" i="1"/>
  <c r="M215" i="1"/>
  <c r="N215" i="1" a="1"/>
  <c r="N215" i="1" s="1"/>
  <c r="N256" i="1" a="1"/>
  <c r="N256" i="1" s="1"/>
  <c r="M256" i="1"/>
  <c r="N60" i="1" a="1"/>
  <c r="N60" i="1" s="1"/>
  <c r="M60" i="1"/>
  <c r="M167" i="1"/>
  <c r="N167" i="1" a="1"/>
  <c r="N167" i="1" s="1"/>
  <c r="M77" i="1"/>
  <c r="N77" i="1" a="1"/>
  <c r="N77" i="1" s="1"/>
  <c r="N63" i="1" a="1"/>
  <c r="N63" i="1" s="1"/>
  <c r="M63" i="1"/>
  <c r="N21" i="1" a="1"/>
  <c r="N21" i="1" s="1"/>
  <c r="M21" i="1"/>
  <c r="M26" i="1"/>
  <c r="M103" i="1"/>
  <c r="M108" i="1"/>
  <c r="M54" i="1"/>
  <c r="D5" i="1"/>
  <c r="M153" i="1"/>
  <c r="N153" i="1" a="1"/>
  <c r="N153" i="1" s="1"/>
  <c r="M192" i="1"/>
  <c r="N192" i="1" a="1"/>
  <c r="N192" i="1" s="1"/>
  <c r="M236" i="1"/>
  <c r="N236" i="1" a="1"/>
  <c r="N236" i="1" s="1"/>
  <c r="M15" i="1"/>
  <c r="N15" i="1" a="1"/>
  <c r="N15" i="1" s="1"/>
  <c r="N50" i="1" a="1"/>
  <c r="N50" i="1" s="1"/>
  <c r="M50" i="1"/>
  <c r="N142" i="1" a="1"/>
  <c r="N142" i="1" s="1"/>
  <c r="M142" i="1"/>
  <c r="M56" i="1"/>
  <c r="N56" i="1" a="1"/>
  <c r="N56" i="1" s="1"/>
  <c r="M88" i="1"/>
  <c r="N88" i="1" a="1"/>
  <c r="N88" i="1" s="1"/>
  <c r="M145" i="1"/>
  <c r="N145" i="1" a="1"/>
  <c r="N145" i="1" s="1"/>
  <c r="M182" i="1"/>
  <c r="N182" i="1" a="1"/>
  <c r="N182" i="1" s="1"/>
  <c r="N135" i="1" a="1"/>
  <c r="N135" i="1" s="1"/>
  <c r="M102" i="1"/>
  <c r="N102" i="1" a="1"/>
  <c r="N102" i="1" s="1"/>
  <c r="M221" i="1"/>
  <c r="N28" i="1" a="1"/>
  <c r="N28" i="1" s="1"/>
  <c r="N107" i="1" a="1"/>
  <c r="N107" i="1" s="1"/>
  <c r="M107" i="1"/>
  <c r="N159" i="1" a="1"/>
  <c r="N159" i="1" s="1"/>
  <c r="M159" i="1"/>
  <c r="O5" i="1"/>
  <c r="M14" i="1"/>
  <c r="M68" i="1"/>
  <c r="N68" i="1" a="1"/>
  <c r="N68" i="1" s="1"/>
  <c r="M39" i="1"/>
  <c r="N273" i="1" a="1"/>
  <c r="N273" i="1" s="1"/>
  <c r="M273" i="1"/>
  <c r="M52" i="1"/>
  <c r="N52" i="1" a="1"/>
  <c r="N52" i="1" s="1"/>
  <c r="M165" i="1"/>
  <c r="N165" i="1" a="1"/>
  <c r="N165" i="1" s="1"/>
  <c r="M80" i="1"/>
  <c r="N80" i="1" a="1"/>
  <c r="N80" i="1" s="1"/>
  <c r="N78" i="1" a="1"/>
  <c r="N78" i="1" s="1"/>
  <c r="M78" i="1"/>
  <c r="M234" i="1"/>
  <c r="N234" i="1" a="1"/>
  <c r="N234" i="1" s="1"/>
  <c r="M126" i="1"/>
  <c r="N126" i="1" a="1"/>
  <c r="N126" i="1" s="1"/>
  <c r="M74" i="1"/>
  <c r="M197" i="1"/>
  <c r="N197" i="1" a="1"/>
  <c r="N197" i="1" s="1"/>
  <c r="M65" i="1"/>
  <c r="N65" i="1" a="1"/>
  <c r="N65" i="1" s="1"/>
  <c r="M110" i="1"/>
  <c r="N110" i="1" a="1"/>
  <c r="N110" i="1" s="1"/>
  <c r="M19" i="1"/>
  <c r="N19" i="1" a="1"/>
  <c r="N19" i="1" s="1"/>
  <c r="N49" i="1" a="1"/>
  <c r="N49" i="1" s="1"/>
  <c r="M49" i="1"/>
  <c r="M35" i="1"/>
  <c r="N35" i="1" a="1"/>
  <c r="N35" i="1" s="1"/>
  <c r="N143" i="1" a="1"/>
  <c r="N143" i="1" s="1"/>
  <c r="M143" i="1"/>
  <c r="M5" i="1" l="1"/>
  <c r="N5" i="1" a="1"/>
  <c r="N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<sst xmlns="http://schemas.openxmlformats.org/spreadsheetml/2006/main" count="24" uniqueCount="24">
  <si>
    <t>Brand Permissions - can we sell this brand in this area?</t>
  </si>
  <si>
    <t>CAN SELL = in territory and not blacked out.  NOT IN TERRITORY = brand is not distributed in that area.  BLOCKED = in territory but an active blackout exists. Driven by Territory Definitions + Blackout Brand Fam Areas (Enc).</t>
  </si>
  <si>
    <t>Accounts in area &gt;</t>
  </si>
  <si>
    <t>PRODUCT DATA →</t>
  </si>
  <si>
    <t>Brand Family</t>
  </si>
  <si>
    <t>Brand Family Territory</t>
  </si>
  <si>
    <t>Bergen</t>
  </si>
  <si>
    <t>Passaic</t>
  </si>
  <si>
    <t>Passaic-FF</t>
  </si>
  <si>
    <t>Essex</t>
  </si>
  <si>
    <t>Hudson</t>
  </si>
  <si>
    <t>Union</t>
  </si>
  <si>
    <t>Sussex</t>
  </si>
  <si>
    <t>Morris 1</t>
  </si>
  <si>
    <t>Morris 2</t>
  </si>
  <si>
    <t>Morris 3</t>
  </si>
  <si>
    <t># Areas Can Sell</t>
  </si>
  <si>
    <t>Accounts Reachable</t>
  </si>
  <si>
    <t>Data Check</t>
  </si>
  <si>
    <t>Supplier</t>
  </si>
  <si>
    <t>Active SKUs</t>
  </si>
  <si>
    <t>Draft SKUs</t>
  </si>
  <si>
    <t>Package SKUs</t>
  </si>
  <si>
    <t>Sells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</si>
</sst>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;&quot;0&quot;"/>
    <numFmt numFmtId="165" formatCode="0;;&quot;-&quot;"/>
    <numFmt numFmtId="166" formatCode="#,##0;;&quot;-&quot;"/>
  </numFmts>
  <fonts count="12" x14ac:knownFonts="1">
    <font>
      <sz val="10"/>
      <color theme="1"/>
      <name val="Arial"/>
      <family val="2"/>
    </font>
    <font>
      <b/>
      <sz val="14"/>
      <color theme="1"/>
      <name val="Arial"/>
      <family val="2"/>
    </font>
    <font>
      <i/>
      <sz val="9"/>
      <color rgb="FF595959"/>
      <name val="Arial"/>
      <family val="2"/>
    </font>
    <font>
      <b/>
      <i/>
      <sz val="9"/>
      <color rgb="FF595959"/>
      <name val="Arial"/>
      <family val="2"/>
    </font>
    <font>
      <b/>
      <i/>
      <sz val="9"/>
      <color rgb="FFBF8F00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3F3000"/>
      <name val="Arial"/>
      <family val="2"/>
    </font>
    <font>
      <b/>
      <sz val="10"/>
      <color rgb="FF008000"/>
      <name val="Arial"/>
      <family val="2"/>
    </font>
    <font>
      <sz val="10"/>
      <color rgb="FF008000"/>
      <name val="Arial"/>
      <family val="2"/>
    </font>
    <font>
      <sz val="9"/>
      <color rgb="FF008000"/>
      <name val="Arial"/>
      <family val="2"/>
    </font>
    <font>
      <b/>
      <sz val="9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8E8E8"/>
      </bottom>
      <diagonal/>
    </border>
    <border>
      <left/>
      <right/>
      <top style="thin">
        <color rgb="FFE8E8E8"/>
      </top>
      <bottom style="thin">
        <color rgb="FFE8E8E8"/>
      </bottom>
      <diagonal/>
    </border>
    <border>
      <left/>
      <right/>
      <top style="thin">
        <color rgb="FFE8E8E8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164" fontId="2" fillId="0" borderId="0" xfId="0" applyNumberFormat="1" applyFont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7" fillId="3" borderId="0" xfId="0" applyFont="1" applyFill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165" fontId="9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0" fontId="11" fillId="0" borderId="0" xfId="0" applyFont="1"/>
    <xf numFmtId="0" fontId="0" fillId="0" borderId="1" xfId="0" applyBorder="1" applyAlignment="1">
      <alignment horizontal="left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/>
    </xf>
    <xf numFmtId="166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5">
    <dxf>
      <font>
        <color rgb="FF1F5C99"/>
      </font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A6A6A6"/>
      </font>
      <fill>
        <patternFill patternType="solid">
          <fgColor indexed="64"/>
          <bgColor rgb="FFF2F2F2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sharkey\Desktop\MY%20PROJECTS\Kohler%20Brands%20Rep%20Matrix.xlsx" TargetMode="External"/><Relationship Id="rId1" Type="http://schemas.openxmlformats.org/officeDocument/2006/relationships/externalLinkPath" Target="MY%20PROJECTS/Kohler%20Brands%20Rep%20Matri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Rep Brand Lookup"/>
      <sheetName val="Void Finder"/>
      <sheetName val="Brand Opportunity"/>
      <sheetName val="Brand Permissions"/>
      <sheetName val="Rep Routes"/>
      <sheetName val="Accounts"/>
      <sheetName val="Products"/>
      <sheetName val="Data Quality"/>
      <sheetName val="Territory Definitions"/>
      <sheetName val="Brand Family Territory (Enc)"/>
      <sheetName val="Brand_Fam_Territories (Enc)"/>
      <sheetName val="Blackout Brand Fam Areas (Enc)"/>
      <sheetName val="Kohler Product Universe (Enc)"/>
      <sheetName val="Kohler_Universe_YTD"/>
      <sheetName val="Entire_Core_Market_On_Prem"/>
      <sheetName val="Entire_Core_Market_Off_Prem"/>
      <sheetName val="Entire_Southern_District_On"/>
      <sheetName val="Entire_Southern_District_Off"/>
      <sheetName val="Brand x Account (Engine)"/>
      <sheetName val="Blackout Impact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J4" t="str">
            <v>Passaic</v>
          </cell>
        </row>
        <row r="5">
          <cell r="J5" t="str">
            <v>Passaic</v>
          </cell>
        </row>
        <row r="6">
          <cell r="J6" t="str">
            <v>Passaic</v>
          </cell>
        </row>
        <row r="7">
          <cell r="J7" t="str">
            <v>Passaic</v>
          </cell>
        </row>
        <row r="8">
          <cell r="J8" t="str">
            <v>Passaic</v>
          </cell>
        </row>
        <row r="9">
          <cell r="J9" t="str">
            <v>Passaic</v>
          </cell>
        </row>
        <row r="10">
          <cell r="J10" t="str">
            <v>Morris 1</v>
          </cell>
        </row>
        <row r="11">
          <cell r="J11" t="str">
            <v>Passaic</v>
          </cell>
        </row>
        <row r="12">
          <cell r="J12" t="str">
            <v>Passaic</v>
          </cell>
        </row>
        <row r="13">
          <cell r="J13" t="str">
            <v>Bergen</v>
          </cell>
        </row>
        <row r="14">
          <cell r="J14" t="str">
            <v>Bergen</v>
          </cell>
        </row>
        <row r="15">
          <cell r="J15" t="str">
            <v>Passaic</v>
          </cell>
        </row>
        <row r="16">
          <cell r="J16" t="str">
            <v>Bergen</v>
          </cell>
        </row>
        <row r="17">
          <cell r="J17" t="str">
            <v>Bergen</v>
          </cell>
        </row>
        <row r="18">
          <cell r="J18" t="str">
            <v>Bergen</v>
          </cell>
        </row>
        <row r="19">
          <cell r="J19" t="str">
            <v>Morris 3</v>
          </cell>
        </row>
        <row r="20">
          <cell r="J20" t="str">
            <v>Passaic</v>
          </cell>
        </row>
        <row r="21">
          <cell r="J21" t="str">
            <v>Passaic</v>
          </cell>
        </row>
        <row r="22">
          <cell r="J22" t="str">
            <v>Passaic</v>
          </cell>
        </row>
        <row r="23">
          <cell r="J23" t="str">
            <v>Passaic</v>
          </cell>
        </row>
        <row r="24">
          <cell r="J24" t="str">
            <v>Passaic</v>
          </cell>
        </row>
        <row r="25">
          <cell r="J25" t="str">
            <v>Passaic</v>
          </cell>
        </row>
        <row r="26">
          <cell r="J26" t="str">
            <v>Passaic-FF</v>
          </cell>
        </row>
        <row r="27">
          <cell r="J27" t="str">
            <v>Bergen</v>
          </cell>
        </row>
        <row r="28">
          <cell r="J28" t="str">
            <v>Bergen</v>
          </cell>
        </row>
        <row r="29">
          <cell r="J29" t="str">
            <v>Passaic</v>
          </cell>
        </row>
        <row r="30">
          <cell r="J30" t="str">
            <v>Sussex</v>
          </cell>
        </row>
        <row r="31">
          <cell r="J31" t="str">
            <v>Bergen</v>
          </cell>
        </row>
        <row r="32">
          <cell r="J32" t="str">
            <v>Bergen</v>
          </cell>
        </row>
        <row r="33">
          <cell r="J33" t="str">
            <v>Bergen</v>
          </cell>
        </row>
        <row r="34">
          <cell r="J34" t="str">
            <v>Morris 1</v>
          </cell>
        </row>
        <row r="35">
          <cell r="J35" t="str">
            <v>Passaic</v>
          </cell>
        </row>
        <row r="36">
          <cell r="J36" t="str">
            <v>Passaic</v>
          </cell>
        </row>
        <row r="37">
          <cell r="J37" t="str">
            <v>Passaic</v>
          </cell>
        </row>
        <row r="38">
          <cell r="J38" t="str">
            <v>Bergen</v>
          </cell>
        </row>
        <row r="39">
          <cell r="J39" t="str">
            <v>Passaic</v>
          </cell>
        </row>
        <row r="40">
          <cell r="J40" t="str">
            <v>Passaic</v>
          </cell>
        </row>
        <row r="41">
          <cell r="J41" t="str">
            <v>Bergen</v>
          </cell>
        </row>
        <row r="42">
          <cell r="J42" t="str">
            <v>Passaic-FF</v>
          </cell>
        </row>
        <row r="43">
          <cell r="J43" t="str">
            <v>Bergen</v>
          </cell>
        </row>
        <row r="44">
          <cell r="J44" t="str">
            <v>Bergen</v>
          </cell>
        </row>
        <row r="45">
          <cell r="J45" t="str">
            <v>Bergen</v>
          </cell>
        </row>
        <row r="46">
          <cell r="J46" t="str">
            <v>Passaic</v>
          </cell>
        </row>
        <row r="47">
          <cell r="J47" t="str">
            <v>Bergen</v>
          </cell>
        </row>
        <row r="48">
          <cell r="J48" t="str">
            <v>Passaic</v>
          </cell>
        </row>
        <row r="49">
          <cell r="J49" t="str">
            <v>Bergen</v>
          </cell>
        </row>
        <row r="50">
          <cell r="J50" t="str">
            <v>Sussex</v>
          </cell>
        </row>
        <row r="51">
          <cell r="J51" t="str">
            <v>Passaic</v>
          </cell>
        </row>
        <row r="52">
          <cell r="J52" t="str">
            <v>Passaic</v>
          </cell>
        </row>
        <row r="53">
          <cell r="J53" t="str">
            <v>Bergen</v>
          </cell>
        </row>
        <row r="54">
          <cell r="J54" t="str">
            <v>Bergen</v>
          </cell>
        </row>
        <row r="55">
          <cell r="J55" t="str">
            <v>Passaic</v>
          </cell>
        </row>
        <row r="56">
          <cell r="J56" t="str">
            <v>Passaic</v>
          </cell>
        </row>
        <row r="57">
          <cell r="J57" t="str">
            <v>Passaic</v>
          </cell>
        </row>
        <row r="58">
          <cell r="J58" t="str">
            <v>Passaic</v>
          </cell>
        </row>
        <row r="59">
          <cell r="J59" t="str">
            <v>Bergen</v>
          </cell>
        </row>
        <row r="60">
          <cell r="J60" t="str">
            <v>Sussex</v>
          </cell>
        </row>
        <row r="61">
          <cell r="J61" t="str">
            <v>Bergen</v>
          </cell>
        </row>
        <row r="62">
          <cell r="J62" t="str">
            <v>Passaic</v>
          </cell>
        </row>
        <row r="63">
          <cell r="J63" t="str">
            <v>Passaic</v>
          </cell>
        </row>
        <row r="64">
          <cell r="J64" t="str">
            <v>Passaic</v>
          </cell>
        </row>
        <row r="65">
          <cell r="J65" t="str">
            <v>Passaic</v>
          </cell>
        </row>
        <row r="66">
          <cell r="J66" t="str">
            <v>Passaic</v>
          </cell>
        </row>
        <row r="67">
          <cell r="J67" t="str">
            <v>Morris 1</v>
          </cell>
        </row>
        <row r="68">
          <cell r="J68" t="str">
            <v>Passaic</v>
          </cell>
        </row>
        <row r="69">
          <cell r="J69" t="str">
            <v>Bergen</v>
          </cell>
        </row>
        <row r="70">
          <cell r="J70" t="str">
            <v>Passaic</v>
          </cell>
        </row>
        <row r="71">
          <cell r="J71" t="str">
            <v>Bergen</v>
          </cell>
        </row>
        <row r="72">
          <cell r="J72" t="str">
            <v>Bergen</v>
          </cell>
        </row>
        <row r="73">
          <cell r="J73" t="str">
            <v>Passaic</v>
          </cell>
        </row>
        <row r="74">
          <cell r="J74" t="str">
            <v>Bergen</v>
          </cell>
        </row>
        <row r="75">
          <cell r="J75" t="str">
            <v>Passaic</v>
          </cell>
        </row>
        <row r="76">
          <cell r="J76" t="str">
            <v>Bergen</v>
          </cell>
        </row>
        <row r="77">
          <cell r="J77" t="str">
            <v>Passaic-FF</v>
          </cell>
        </row>
        <row r="78">
          <cell r="J78" t="str">
            <v>Passaic</v>
          </cell>
        </row>
        <row r="79">
          <cell r="J79" t="str">
            <v>Passaic</v>
          </cell>
        </row>
        <row r="80">
          <cell r="J80" t="str">
            <v>Passaic</v>
          </cell>
        </row>
        <row r="81">
          <cell r="J81" t="str">
            <v>Morris 1</v>
          </cell>
        </row>
        <row r="82">
          <cell r="J82" t="str">
            <v>Passaic-FF</v>
          </cell>
        </row>
        <row r="83">
          <cell r="J83" t="str">
            <v>Bergen</v>
          </cell>
        </row>
        <row r="84">
          <cell r="J84" t="str">
            <v>Passaic</v>
          </cell>
        </row>
        <row r="85">
          <cell r="J85" t="str">
            <v>Bergen</v>
          </cell>
        </row>
        <row r="86">
          <cell r="J86" t="str">
            <v>Bergen</v>
          </cell>
        </row>
        <row r="87">
          <cell r="J87" t="str">
            <v>Passaic-FF</v>
          </cell>
        </row>
        <row r="88">
          <cell r="J88" t="str">
            <v>Morris 1</v>
          </cell>
        </row>
        <row r="89">
          <cell r="J89" t="str">
            <v>Passaic-FF</v>
          </cell>
        </row>
        <row r="90">
          <cell r="J90" t="str">
            <v>Sussex</v>
          </cell>
        </row>
        <row r="91">
          <cell r="J91" t="str">
            <v>Bergen</v>
          </cell>
        </row>
        <row r="92">
          <cell r="J92" t="str">
            <v>Bergen</v>
          </cell>
        </row>
        <row r="93">
          <cell r="J93" t="str">
            <v>Passaic</v>
          </cell>
        </row>
        <row r="94">
          <cell r="J94" t="str">
            <v>Passaic</v>
          </cell>
        </row>
        <row r="95">
          <cell r="J95" t="str">
            <v>Sussex</v>
          </cell>
        </row>
        <row r="96">
          <cell r="J96" t="str">
            <v>Bergen</v>
          </cell>
        </row>
        <row r="97">
          <cell r="J97" t="str">
            <v>Bergen</v>
          </cell>
        </row>
        <row r="98">
          <cell r="J98" t="str">
            <v>Passaic</v>
          </cell>
        </row>
        <row r="99">
          <cell r="J99" t="str">
            <v>Bergen</v>
          </cell>
        </row>
        <row r="100">
          <cell r="J100" t="str">
            <v>Bergen</v>
          </cell>
        </row>
        <row r="101">
          <cell r="J101" t="str">
            <v>Passaic</v>
          </cell>
        </row>
        <row r="102">
          <cell r="J102" t="str">
            <v>Passaic</v>
          </cell>
        </row>
        <row r="103">
          <cell r="J103" t="str">
            <v>Passaic</v>
          </cell>
        </row>
        <row r="104">
          <cell r="J104" t="str">
            <v>Passaic</v>
          </cell>
        </row>
        <row r="105">
          <cell r="J105" t="str">
            <v>Bergen</v>
          </cell>
        </row>
        <row r="106">
          <cell r="J106" t="str">
            <v>Bergen</v>
          </cell>
        </row>
        <row r="107">
          <cell r="J107" t="str">
            <v>Bergen</v>
          </cell>
        </row>
        <row r="108">
          <cell r="J108" t="str">
            <v>Passaic</v>
          </cell>
        </row>
        <row r="109">
          <cell r="J109" t="str">
            <v>Passaic</v>
          </cell>
        </row>
        <row r="110">
          <cell r="J110" t="str">
            <v>Passaic</v>
          </cell>
        </row>
        <row r="111">
          <cell r="J111" t="str">
            <v>Passaic</v>
          </cell>
        </row>
        <row r="112">
          <cell r="J112" t="str">
            <v>Passaic</v>
          </cell>
        </row>
        <row r="113">
          <cell r="J113" t="str">
            <v>Bergen</v>
          </cell>
        </row>
        <row r="114">
          <cell r="J114" t="str">
            <v>Sussex</v>
          </cell>
        </row>
        <row r="115">
          <cell r="J115" t="str">
            <v>Bergen</v>
          </cell>
        </row>
        <row r="116">
          <cell r="J116" t="str">
            <v>Sussex</v>
          </cell>
        </row>
        <row r="117">
          <cell r="J117" t="str">
            <v>Bergen</v>
          </cell>
        </row>
        <row r="118">
          <cell r="J118" t="str">
            <v>Passaic</v>
          </cell>
        </row>
        <row r="119">
          <cell r="J119" t="str">
            <v>Bergen</v>
          </cell>
        </row>
        <row r="120">
          <cell r="J120" t="str">
            <v>Bergen</v>
          </cell>
        </row>
        <row r="121">
          <cell r="J121" t="str">
            <v>Sussex</v>
          </cell>
        </row>
        <row r="122">
          <cell r="J122" t="str">
            <v>Bergen</v>
          </cell>
        </row>
        <row r="123">
          <cell r="J123" t="str">
            <v>Morris 1</v>
          </cell>
        </row>
        <row r="124">
          <cell r="J124" t="str">
            <v>Passaic</v>
          </cell>
        </row>
        <row r="125">
          <cell r="J125" t="str">
            <v>Morris 1</v>
          </cell>
        </row>
        <row r="126">
          <cell r="J126" t="str">
            <v>Passaic-FF</v>
          </cell>
        </row>
        <row r="127">
          <cell r="J127" t="str">
            <v>Bergen</v>
          </cell>
        </row>
        <row r="128">
          <cell r="J128" t="str">
            <v>Morris 1</v>
          </cell>
        </row>
        <row r="129">
          <cell r="J129" t="str">
            <v>Passaic</v>
          </cell>
        </row>
        <row r="130">
          <cell r="J130" t="str">
            <v>Bergen</v>
          </cell>
        </row>
        <row r="131">
          <cell r="J131" t="str">
            <v>Bergen</v>
          </cell>
        </row>
        <row r="132">
          <cell r="J132" t="str">
            <v>Passaic</v>
          </cell>
        </row>
        <row r="133">
          <cell r="J133" t="str">
            <v>Bergen</v>
          </cell>
        </row>
        <row r="134">
          <cell r="J134" t="str">
            <v>Sussex</v>
          </cell>
        </row>
        <row r="135">
          <cell r="J135" t="str">
            <v>Bergen</v>
          </cell>
        </row>
        <row r="136">
          <cell r="J136" t="str">
            <v>Bergen</v>
          </cell>
        </row>
        <row r="137">
          <cell r="J137" t="str">
            <v>Bergen</v>
          </cell>
        </row>
        <row r="138">
          <cell r="J138" t="str">
            <v>Bergen</v>
          </cell>
        </row>
        <row r="139">
          <cell r="J139" t="str">
            <v>Passaic</v>
          </cell>
        </row>
        <row r="140">
          <cell r="J140" t="str">
            <v>Bergen</v>
          </cell>
        </row>
        <row r="141">
          <cell r="J141" t="str">
            <v>Morris 1</v>
          </cell>
        </row>
        <row r="142">
          <cell r="J142" t="str">
            <v>Passaic</v>
          </cell>
        </row>
        <row r="143">
          <cell r="J143" t="str">
            <v>Bergen</v>
          </cell>
        </row>
        <row r="144">
          <cell r="J144" t="str">
            <v>Passaic</v>
          </cell>
        </row>
        <row r="145">
          <cell r="J145" t="str">
            <v>Sussex</v>
          </cell>
        </row>
        <row r="146">
          <cell r="J146" t="str">
            <v>Passaic</v>
          </cell>
        </row>
        <row r="147">
          <cell r="J147" t="str">
            <v>Bergen</v>
          </cell>
        </row>
        <row r="148">
          <cell r="J148" t="str">
            <v>Bergen</v>
          </cell>
        </row>
        <row r="149">
          <cell r="J149" t="str">
            <v>Bergen</v>
          </cell>
        </row>
        <row r="150">
          <cell r="J150" t="str">
            <v>Bergen</v>
          </cell>
        </row>
        <row r="151">
          <cell r="J151" t="str">
            <v>Sussex</v>
          </cell>
        </row>
        <row r="152">
          <cell r="J152" t="str">
            <v>Bergen</v>
          </cell>
        </row>
        <row r="153">
          <cell r="J153" t="str">
            <v>Bergen</v>
          </cell>
        </row>
        <row r="154">
          <cell r="J154" t="str">
            <v>Morris 1</v>
          </cell>
        </row>
        <row r="155">
          <cell r="J155" t="str">
            <v>Bergen</v>
          </cell>
        </row>
        <row r="156">
          <cell r="J156" t="str">
            <v>Bergen</v>
          </cell>
        </row>
        <row r="157">
          <cell r="J157" t="str">
            <v>Bergen</v>
          </cell>
        </row>
        <row r="158">
          <cell r="J158" t="str">
            <v>Bergen</v>
          </cell>
        </row>
        <row r="159">
          <cell r="J159" t="str">
            <v>Morris 1</v>
          </cell>
        </row>
        <row r="160">
          <cell r="J160" t="str">
            <v>Bergen</v>
          </cell>
        </row>
        <row r="161">
          <cell r="J161" t="str">
            <v>Passaic</v>
          </cell>
        </row>
        <row r="162">
          <cell r="J162" t="str">
            <v>Passaic</v>
          </cell>
        </row>
        <row r="163">
          <cell r="J163" t="str">
            <v>Sussex</v>
          </cell>
        </row>
        <row r="164">
          <cell r="J164" t="str">
            <v>Bergen</v>
          </cell>
        </row>
        <row r="165">
          <cell r="J165" t="str">
            <v>Bergen</v>
          </cell>
        </row>
        <row r="166">
          <cell r="J166" t="str">
            <v>Passaic</v>
          </cell>
        </row>
        <row r="167">
          <cell r="J167" t="str">
            <v>Bergen</v>
          </cell>
        </row>
        <row r="168">
          <cell r="J168" t="str">
            <v>Morris 1</v>
          </cell>
        </row>
        <row r="169">
          <cell r="J169" t="str">
            <v>Bergen</v>
          </cell>
        </row>
        <row r="170">
          <cell r="J170" t="str">
            <v>Bergen</v>
          </cell>
        </row>
        <row r="171">
          <cell r="J171" t="str">
            <v>Bergen</v>
          </cell>
        </row>
        <row r="172">
          <cell r="J172" t="str">
            <v>Sussex</v>
          </cell>
        </row>
        <row r="173">
          <cell r="J173" t="str">
            <v>Bergen</v>
          </cell>
        </row>
        <row r="174">
          <cell r="J174" t="str">
            <v>Passaic</v>
          </cell>
        </row>
        <row r="175">
          <cell r="J175" t="str">
            <v>Morris 3</v>
          </cell>
        </row>
        <row r="176">
          <cell r="J176" t="str">
            <v>Bergen</v>
          </cell>
        </row>
        <row r="177">
          <cell r="J177" t="str">
            <v>Morris 3</v>
          </cell>
        </row>
        <row r="178">
          <cell r="J178" t="str">
            <v>Bergen</v>
          </cell>
        </row>
        <row r="179">
          <cell r="J179" t="str">
            <v>Bergen</v>
          </cell>
        </row>
        <row r="180">
          <cell r="J180" t="str">
            <v>Passaic</v>
          </cell>
        </row>
        <row r="181">
          <cell r="J181" t="str">
            <v>Morris 1</v>
          </cell>
        </row>
        <row r="182">
          <cell r="J182" t="str">
            <v>Passaic</v>
          </cell>
        </row>
        <row r="183">
          <cell r="J183" t="str">
            <v>Bergen</v>
          </cell>
        </row>
        <row r="184">
          <cell r="J184" t="str">
            <v>Passaic</v>
          </cell>
        </row>
        <row r="185">
          <cell r="J185" t="str">
            <v>Bergen</v>
          </cell>
        </row>
        <row r="186">
          <cell r="J186" t="str">
            <v>Bergen</v>
          </cell>
        </row>
        <row r="187">
          <cell r="J187" t="str">
            <v>Morris 1</v>
          </cell>
        </row>
        <row r="188">
          <cell r="J188" t="str">
            <v>Bergen</v>
          </cell>
        </row>
        <row r="189">
          <cell r="J189" t="str">
            <v>Bergen</v>
          </cell>
        </row>
        <row r="190">
          <cell r="J190" t="str">
            <v>Passaic</v>
          </cell>
        </row>
        <row r="191">
          <cell r="J191" t="str">
            <v>Passaic</v>
          </cell>
        </row>
        <row r="192">
          <cell r="J192" t="str">
            <v>Passaic-FF</v>
          </cell>
        </row>
        <row r="193">
          <cell r="J193" t="str">
            <v>Morris 1</v>
          </cell>
        </row>
        <row r="194">
          <cell r="J194" t="str">
            <v>Bergen</v>
          </cell>
        </row>
        <row r="195">
          <cell r="J195" t="str">
            <v>Bergen</v>
          </cell>
        </row>
        <row r="196">
          <cell r="J196" t="str">
            <v>Bergen</v>
          </cell>
        </row>
        <row r="197">
          <cell r="J197" t="str">
            <v>Bergen</v>
          </cell>
        </row>
        <row r="198">
          <cell r="J198" t="str">
            <v>Passaic</v>
          </cell>
        </row>
        <row r="199">
          <cell r="J199" t="str">
            <v>Bergen</v>
          </cell>
        </row>
        <row r="200">
          <cell r="J200" t="str">
            <v>Bergen</v>
          </cell>
        </row>
        <row r="201">
          <cell r="J201" t="str">
            <v>Morris 1</v>
          </cell>
        </row>
        <row r="202">
          <cell r="J202" t="str">
            <v>Bergen</v>
          </cell>
        </row>
        <row r="203">
          <cell r="J203" t="str">
            <v>Sussex</v>
          </cell>
        </row>
        <row r="204">
          <cell r="J204" t="str">
            <v>Morris 1</v>
          </cell>
        </row>
        <row r="205">
          <cell r="J205" t="str">
            <v>Passaic</v>
          </cell>
        </row>
        <row r="206">
          <cell r="J206" t="str">
            <v>Bergen</v>
          </cell>
        </row>
        <row r="207">
          <cell r="J207" t="str">
            <v>Passaic</v>
          </cell>
        </row>
        <row r="208">
          <cell r="J208" t="str">
            <v>Bergen</v>
          </cell>
        </row>
        <row r="209">
          <cell r="J209" t="str">
            <v>Morris 1</v>
          </cell>
        </row>
        <row r="210">
          <cell r="J210" t="str">
            <v>Morris 1</v>
          </cell>
        </row>
        <row r="211">
          <cell r="J211" t="str">
            <v>Bergen</v>
          </cell>
        </row>
        <row r="212">
          <cell r="J212" t="str">
            <v>Passaic</v>
          </cell>
        </row>
        <row r="213">
          <cell r="J213" t="str">
            <v>Sussex</v>
          </cell>
        </row>
        <row r="214">
          <cell r="J214" t="str">
            <v>Bergen</v>
          </cell>
        </row>
        <row r="215">
          <cell r="J215" t="str">
            <v>Bergen</v>
          </cell>
        </row>
        <row r="216">
          <cell r="J216" t="str">
            <v>Bergen</v>
          </cell>
        </row>
        <row r="217">
          <cell r="J217" t="str">
            <v>Bergen</v>
          </cell>
        </row>
        <row r="218">
          <cell r="J218" t="str">
            <v>Bergen</v>
          </cell>
        </row>
        <row r="219">
          <cell r="J219" t="str">
            <v>Bergen</v>
          </cell>
        </row>
        <row r="220">
          <cell r="J220" t="str">
            <v>Bergen</v>
          </cell>
        </row>
        <row r="221">
          <cell r="J221" t="str">
            <v>Morris 1</v>
          </cell>
        </row>
        <row r="222">
          <cell r="J222" t="str">
            <v>Passaic</v>
          </cell>
        </row>
        <row r="223">
          <cell r="J223" t="str">
            <v>Sussex</v>
          </cell>
        </row>
        <row r="224">
          <cell r="J224" t="str">
            <v>Passaic</v>
          </cell>
        </row>
        <row r="225">
          <cell r="J225" t="str">
            <v>Bergen</v>
          </cell>
        </row>
        <row r="226">
          <cell r="J226" t="str">
            <v>Bergen</v>
          </cell>
        </row>
        <row r="227">
          <cell r="J227" t="str">
            <v>Bergen</v>
          </cell>
        </row>
        <row r="228">
          <cell r="J228" t="str">
            <v>Bergen</v>
          </cell>
        </row>
        <row r="229">
          <cell r="J229" t="str">
            <v>Bergen</v>
          </cell>
        </row>
        <row r="230">
          <cell r="J230" t="str">
            <v>Bergen</v>
          </cell>
        </row>
        <row r="231">
          <cell r="J231" t="str">
            <v>Bergen</v>
          </cell>
        </row>
        <row r="232">
          <cell r="J232" t="str">
            <v>Bergen</v>
          </cell>
        </row>
        <row r="233">
          <cell r="J233" t="str">
            <v>Passaic</v>
          </cell>
        </row>
        <row r="234">
          <cell r="J234" t="str">
            <v>Passaic</v>
          </cell>
        </row>
        <row r="235">
          <cell r="J235" t="str">
            <v>Passaic-FF</v>
          </cell>
        </row>
        <row r="236">
          <cell r="J236" t="str">
            <v>Morris 3</v>
          </cell>
        </row>
        <row r="237">
          <cell r="J237" t="str">
            <v>Bergen</v>
          </cell>
        </row>
        <row r="238">
          <cell r="J238" t="str">
            <v>Bergen</v>
          </cell>
        </row>
        <row r="239">
          <cell r="J239" t="str">
            <v>Passaic</v>
          </cell>
        </row>
        <row r="240">
          <cell r="J240" t="str">
            <v>Bergen</v>
          </cell>
        </row>
        <row r="241">
          <cell r="J241" t="str">
            <v>Bergen</v>
          </cell>
        </row>
        <row r="242">
          <cell r="J242" t="str">
            <v>Morris 1</v>
          </cell>
        </row>
        <row r="243">
          <cell r="J243" t="str">
            <v>Bergen</v>
          </cell>
        </row>
        <row r="244">
          <cell r="J244" t="str">
            <v>Passaic</v>
          </cell>
        </row>
        <row r="245">
          <cell r="J245" t="str">
            <v>Bergen</v>
          </cell>
        </row>
        <row r="246">
          <cell r="J246" t="str">
            <v>Bergen</v>
          </cell>
        </row>
        <row r="247">
          <cell r="J247" t="str">
            <v>Passaic</v>
          </cell>
        </row>
        <row r="248">
          <cell r="J248" t="str">
            <v>Passaic</v>
          </cell>
        </row>
        <row r="249">
          <cell r="J249" t="str">
            <v>Bergen</v>
          </cell>
        </row>
        <row r="250">
          <cell r="J250" t="str">
            <v>Bergen</v>
          </cell>
        </row>
        <row r="251">
          <cell r="J251" t="str">
            <v>Bergen</v>
          </cell>
        </row>
        <row r="252">
          <cell r="J252" t="str">
            <v>Passaic</v>
          </cell>
        </row>
        <row r="253">
          <cell r="J253" t="str">
            <v>Bergen</v>
          </cell>
        </row>
        <row r="254">
          <cell r="J254" t="str">
            <v>Bergen</v>
          </cell>
        </row>
        <row r="255">
          <cell r="J255" t="str">
            <v>Sussex</v>
          </cell>
        </row>
        <row r="256">
          <cell r="J256" t="str">
            <v>Bergen</v>
          </cell>
        </row>
        <row r="257">
          <cell r="J257" t="str">
            <v>Bergen</v>
          </cell>
        </row>
        <row r="258">
          <cell r="J258" t="str">
            <v>Sussex</v>
          </cell>
        </row>
        <row r="259">
          <cell r="J259" t="str">
            <v>Passaic</v>
          </cell>
        </row>
        <row r="260">
          <cell r="J260" t="str">
            <v>Bergen</v>
          </cell>
        </row>
        <row r="261">
          <cell r="J261" t="str">
            <v>Sussex</v>
          </cell>
        </row>
        <row r="262">
          <cell r="J262" t="str">
            <v>Sussex</v>
          </cell>
        </row>
        <row r="263">
          <cell r="J263" t="str">
            <v>Bergen</v>
          </cell>
        </row>
        <row r="264">
          <cell r="J264" t="str">
            <v>Sussex</v>
          </cell>
        </row>
        <row r="265">
          <cell r="J265" t="str">
            <v>Bergen</v>
          </cell>
        </row>
        <row r="266">
          <cell r="J266" t="str">
            <v>Morris 1</v>
          </cell>
        </row>
        <row r="267">
          <cell r="J267" t="str">
            <v>Passaic</v>
          </cell>
        </row>
        <row r="268">
          <cell r="J268" t="str">
            <v>Passaic</v>
          </cell>
        </row>
        <row r="269">
          <cell r="J269" t="str">
            <v>Passaic</v>
          </cell>
        </row>
        <row r="270">
          <cell r="J270" t="str">
            <v>Bergen</v>
          </cell>
        </row>
        <row r="271">
          <cell r="J271" t="str">
            <v>Morris 1</v>
          </cell>
        </row>
        <row r="272">
          <cell r="J272" t="str">
            <v>Bergen</v>
          </cell>
        </row>
        <row r="273">
          <cell r="J273" t="str">
            <v>Bergen</v>
          </cell>
        </row>
        <row r="274">
          <cell r="J274" t="str">
            <v>Morris 1</v>
          </cell>
        </row>
        <row r="275">
          <cell r="J275" t="str">
            <v>Sussex</v>
          </cell>
        </row>
        <row r="276">
          <cell r="J276" t="str">
            <v>Morris 3</v>
          </cell>
        </row>
        <row r="277">
          <cell r="J277" t="str">
            <v>Passaic</v>
          </cell>
        </row>
        <row r="278">
          <cell r="J278" t="str">
            <v>Sussex</v>
          </cell>
        </row>
        <row r="279">
          <cell r="J279" t="str">
            <v>Bergen</v>
          </cell>
        </row>
        <row r="280">
          <cell r="J280" t="str">
            <v>Bergen</v>
          </cell>
        </row>
        <row r="281">
          <cell r="J281" t="str">
            <v>Passaic</v>
          </cell>
        </row>
        <row r="282">
          <cell r="J282" t="str">
            <v>Bergen</v>
          </cell>
        </row>
        <row r="283">
          <cell r="J283" t="str">
            <v>Passaic</v>
          </cell>
        </row>
        <row r="284">
          <cell r="J284" t="str">
            <v>Passaic</v>
          </cell>
        </row>
        <row r="285">
          <cell r="J285" t="str">
            <v>Bergen</v>
          </cell>
        </row>
        <row r="286">
          <cell r="J286" t="str">
            <v>Bergen</v>
          </cell>
        </row>
        <row r="287">
          <cell r="J287" t="str">
            <v>Bergen</v>
          </cell>
        </row>
        <row r="288">
          <cell r="J288" t="str">
            <v>Passaic</v>
          </cell>
        </row>
        <row r="289">
          <cell r="J289" t="str">
            <v>Bergen</v>
          </cell>
        </row>
        <row r="290">
          <cell r="J290" t="str">
            <v>Sussex</v>
          </cell>
        </row>
        <row r="291">
          <cell r="J291" t="str">
            <v>Passaic</v>
          </cell>
        </row>
        <row r="292">
          <cell r="J292" t="str">
            <v>Bergen</v>
          </cell>
        </row>
        <row r="293">
          <cell r="J293" t="str">
            <v>Bergen</v>
          </cell>
        </row>
        <row r="294">
          <cell r="J294" t="str">
            <v>Sussex</v>
          </cell>
        </row>
        <row r="295">
          <cell r="J295" t="str">
            <v>Bergen</v>
          </cell>
        </row>
        <row r="296">
          <cell r="J296" t="str">
            <v>Bergen</v>
          </cell>
        </row>
        <row r="297">
          <cell r="J297" t="str">
            <v>Bergen</v>
          </cell>
        </row>
        <row r="298">
          <cell r="J298" t="str">
            <v>Bergen</v>
          </cell>
        </row>
        <row r="299">
          <cell r="J299" t="str">
            <v>Passaic</v>
          </cell>
        </row>
        <row r="300">
          <cell r="J300" t="str">
            <v>Sussex</v>
          </cell>
        </row>
        <row r="301">
          <cell r="J301" t="str">
            <v>Bergen</v>
          </cell>
        </row>
        <row r="302">
          <cell r="J302" t="str">
            <v>Passaic</v>
          </cell>
        </row>
        <row r="303">
          <cell r="J303" t="str">
            <v>Sussex</v>
          </cell>
        </row>
        <row r="304">
          <cell r="J304" t="str">
            <v>Passaic</v>
          </cell>
        </row>
        <row r="305">
          <cell r="J305" t="str">
            <v>Bergen</v>
          </cell>
        </row>
        <row r="306">
          <cell r="J306" t="str">
            <v>Bergen</v>
          </cell>
        </row>
        <row r="307">
          <cell r="J307" t="str">
            <v>Bergen</v>
          </cell>
        </row>
        <row r="308">
          <cell r="J308" t="str">
            <v>Bergen</v>
          </cell>
        </row>
        <row r="309">
          <cell r="J309" t="str">
            <v>Sussex</v>
          </cell>
        </row>
        <row r="310">
          <cell r="J310" t="str">
            <v>Passaic</v>
          </cell>
        </row>
        <row r="311">
          <cell r="J311" t="str">
            <v>Bergen</v>
          </cell>
        </row>
        <row r="312">
          <cell r="J312" t="str">
            <v>Bergen</v>
          </cell>
        </row>
        <row r="313">
          <cell r="J313" t="str">
            <v>Bergen</v>
          </cell>
        </row>
        <row r="314">
          <cell r="J314" t="str">
            <v>Bergen</v>
          </cell>
        </row>
        <row r="315">
          <cell r="J315" t="str">
            <v>Passaic</v>
          </cell>
        </row>
        <row r="316">
          <cell r="J316" t="str">
            <v>Passaic</v>
          </cell>
        </row>
        <row r="317">
          <cell r="J317" t="str">
            <v>Bergen</v>
          </cell>
        </row>
        <row r="318">
          <cell r="J318" t="str">
            <v>Bergen</v>
          </cell>
        </row>
        <row r="319">
          <cell r="J319" t="str">
            <v>Bergen</v>
          </cell>
        </row>
        <row r="320">
          <cell r="J320" t="str">
            <v>Bergen</v>
          </cell>
        </row>
        <row r="321">
          <cell r="J321" t="str">
            <v>Bergen</v>
          </cell>
        </row>
        <row r="322">
          <cell r="J322" t="str">
            <v>Morris 1</v>
          </cell>
        </row>
        <row r="323">
          <cell r="J323" t="str">
            <v>Passaic</v>
          </cell>
        </row>
        <row r="324">
          <cell r="J324" t="str">
            <v>Passaic</v>
          </cell>
        </row>
        <row r="325">
          <cell r="J325" t="str">
            <v>Bergen</v>
          </cell>
        </row>
        <row r="326">
          <cell r="J326" t="str">
            <v>Passaic</v>
          </cell>
        </row>
        <row r="327">
          <cell r="J327" t="str">
            <v>Bergen</v>
          </cell>
        </row>
        <row r="328">
          <cell r="J328" t="str">
            <v>Bergen</v>
          </cell>
        </row>
        <row r="329">
          <cell r="J329" t="str">
            <v>Morris 1</v>
          </cell>
        </row>
        <row r="330">
          <cell r="J330" t="str">
            <v>Passaic</v>
          </cell>
        </row>
        <row r="331">
          <cell r="J331" t="str">
            <v>Sussex</v>
          </cell>
        </row>
        <row r="332">
          <cell r="J332" t="str">
            <v>Bergen</v>
          </cell>
        </row>
        <row r="333">
          <cell r="J333" t="str">
            <v>Sussex</v>
          </cell>
        </row>
        <row r="334">
          <cell r="J334" t="str">
            <v>Morris 1</v>
          </cell>
        </row>
        <row r="335">
          <cell r="J335" t="str">
            <v>Sussex</v>
          </cell>
        </row>
        <row r="336">
          <cell r="J336" t="str">
            <v>Passaic</v>
          </cell>
        </row>
        <row r="337">
          <cell r="J337" t="str">
            <v>Bergen</v>
          </cell>
        </row>
        <row r="338">
          <cell r="J338" t="str">
            <v>Passaic</v>
          </cell>
        </row>
        <row r="339">
          <cell r="J339" t="str">
            <v>Sussex</v>
          </cell>
        </row>
        <row r="340">
          <cell r="J340" t="str">
            <v>Passaic</v>
          </cell>
        </row>
        <row r="341">
          <cell r="J341" t="str">
            <v>Bergen</v>
          </cell>
        </row>
        <row r="342">
          <cell r="J342" t="str">
            <v>Bergen</v>
          </cell>
        </row>
        <row r="343">
          <cell r="J343" t="str">
            <v>Bergen</v>
          </cell>
        </row>
        <row r="344">
          <cell r="J344" t="str">
            <v>Bergen</v>
          </cell>
        </row>
        <row r="345">
          <cell r="J345" t="str">
            <v>Passaic</v>
          </cell>
        </row>
        <row r="346">
          <cell r="J346" t="str">
            <v>Sussex</v>
          </cell>
        </row>
        <row r="347">
          <cell r="J347" t="str">
            <v>Morris 1</v>
          </cell>
        </row>
        <row r="348">
          <cell r="J348" t="str">
            <v>Bergen</v>
          </cell>
        </row>
        <row r="349">
          <cell r="J349" t="str">
            <v>Bergen</v>
          </cell>
        </row>
        <row r="350">
          <cell r="J350" t="str">
            <v>Passaic</v>
          </cell>
        </row>
        <row r="351">
          <cell r="J351" t="str">
            <v>Morris 1</v>
          </cell>
        </row>
        <row r="352">
          <cell r="J352" t="str">
            <v>Passaic</v>
          </cell>
        </row>
        <row r="353">
          <cell r="J353" t="str">
            <v>Passaic</v>
          </cell>
        </row>
        <row r="354">
          <cell r="J354" t="str">
            <v>Bergen</v>
          </cell>
        </row>
        <row r="355">
          <cell r="J355" t="str">
            <v>Bergen</v>
          </cell>
        </row>
        <row r="356">
          <cell r="J356" t="str">
            <v>Sussex</v>
          </cell>
        </row>
        <row r="357">
          <cell r="J357" t="str">
            <v>Passaic-FF</v>
          </cell>
        </row>
        <row r="358">
          <cell r="J358" t="str">
            <v>Bergen</v>
          </cell>
        </row>
        <row r="359">
          <cell r="J359" t="str">
            <v>Bergen</v>
          </cell>
        </row>
        <row r="360">
          <cell r="J360" t="str">
            <v>Passaic</v>
          </cell>
        </row>
        <row r="361">
          <cell r="J361" t="str">
            <v>Bergen</v>
          </cell>
        </row>
        <row r="362">
          <cell r="J362" t="str">
            <v>Bergen</v>
          </cell>
        </row>
        <row r="363">
          <cell r="J363" t="str">
            <v>Sussex</v>
          </cell>
        </row>
        <row r="364">
          <cell r="J364" t="str">
            <v>Bergen</v>
          </cell>
        </row>
        <row r="365">
          <cell r="J365" t="str">
            <v>Passaic</v>
          </cell>
        </row>
        <row r="366">
          <cell r="J366" t="str">
            <v>Bergen</v>
          </cell>
        </row>
        <row r="367">
          <cell r="J367" t="str">
            <v>Bergen</v>
          </cell>
        </row>
        <row r="368">
          <cell r="J368" t="str">
            <v>Passaic</v>
          </cell>
        </row>
        <row r="369">
          <cell r="J369" t="str">
            <v>Morris 1</v>
          </cell>
        </row>
        <row r="370">
          <cell r="J370" t="str">
            <v>Morris 1</v>
          </cell>
        </row>
        <row r="371">
          <cell r="J371" t="str">
            <v>Sussex</v>
          </cell>
        </row>
        <row r="372">
          <cell r="J372" t="str">
            <v>Passaic</v>
          </cell>
        </row>
        <row r="373">
          <cell r="J373" t="str">
            <v>Passaic</v>
          </cell>
        </row>
        <row r="374">
          <cell r="J374" t="str">
            <v>Bergen</v>
          </cell>
        </row>
        <row r="375">
          <cell r="J375" t="str">
            <v>Passaic</v>
          </cell>
        </row>
        <row r="376">
          <cell r="J376" t="str">
            <v>Passaic</v>
          </cell>
        </row>
        <row r="377">
          <cell r="J377" t="str">
            <v>Sussex</v>
          </cell>
        </row>
        <row r="378">
          <cell r="J378" t="str">
            <v>Bergen</v>
          </cell>
        </row>
        <row r="379">
          <cell r="J379" t="str">
            <v>Morris 3</v>
          </cell>
        </row>
        <row r="380">
          <cell r="J380" t="str">
            <v>Passaic-FF</v>
          </cell>
        </row>
        <row r="381">
          <cell r="J381" t="str">
            <v>Bergen</v>
          </cell>
        </row>
        <row r="382">
          <cell r="J382" t="str">
            <v>Sussex</v>
          </cell>
        </row>
        <row r="383">
          <cell r="J383" t="str">
            <v>Passaic</v>
          </cell>
        </row>
        <row r="384">
          <cell r="J384" t="str">
            <v>Passaic</v>
          </cell>
        </row>
        <row r="385">
          <cell r="J385" t="str">
            <v>Bergen</v>
          </cell>
        </row>
        <row r="386">
          <cell r="J386" t="str">
            <v>Sussex</v>
          </cell>
        </row>
        <row r="387">
          <cell r="J387" t="str">
            <v>Bergen</v>
          </cell>
        </row>
        <row r="388">
          <cell r="J388" t="str">
            <v>Passaic</v>
          </cell>
        </row>
        <row r="389">
          <cell r="J389" t="str">
            <v>Passaic</v>
          </cell>
        </row>
        <row r="390">
          <cell r="J390" t="str">
            <v>Bergen</v>
          </cell>
        </row>
        <row r="391">
          <cell r="J391" t="str">
            <v>Bergen</v>
          </cell>
        </row>
        <row r="392">
          <cell r="J392" t="str">
            <v>Bergen</v>
          </cell>
        </row>
        <row r="393">
          <cell r="J393" t="str">
            <v>Bergen</v>
          </cell>
        </row>
        <row r="394">
          <cell r="J394" t="str">
            <v>Passaic</v>
          </cell>
        </row>
        <row r="395">
          <cell r="J395" t="str">
            <v>Passaic</v>
          </cell>
        </row>
        <row r="396">
          <cell r="J396" t="str">
            <v>Bergen</v>
          </cell>
        </row>
        <row r="397">
          <cell r="J397" t="str">
            <v>Bergen</v>
          </cell>
        </row>
        <row r="398">
          <cell r="J398" t="str">
            <v>Passaic</v>
          </cell>
        </row>
        <row r="399">
          <cell r="J399" t="str">
            <v>Sussex</v>
          </cell>
        </row>
        <row r="400">
          <cell r="J400" t="str">
            <v>Bergen</v>
          </cell>
        </row>
        <row r="401">
          <cell r="J401" t="str">
            <v>Morris 1</v>
          </cell>
        </row>
        <row r="402">
          <cell r="J402" t="str">
            <v>Bergen</v>
          </cell>
        </row>
        <row r="403">
          <cell r="J403" t="str">
            <v>Morris 1</v>
          </cell>
        </row>
        <row r="404">
          <cell r="J404" t="str">
            <v>Bergen</v>
          </cell>
        </row>
        <row r="405">
          <cell r="J405" t="str">
            <v>Bergen</v>
          </cell>
        </row>
        <row r="406">
          <cell r="J406" t="str">
            <v>Bergen</v>
          </cell>
        </row>
        <row r="407">
          <cell r="J407" t="str">
            <v>Bergen</v>
          </cell>
        </row>
        <row r="408">
          <cell r="J408" t="str">
            <v>Bergen</v>
          </cell>
        </row>
        <row r="409">
          <cell r="J409" t="str">
            <v>Passaic</v>
          </cell>
        </row>
        <row r="410">
          <cell r="J410" t="str">
            <v>Bergen</v>
          </cell>
        </row>
        <row r="411">
          <cell r="J411" t="str">
            <v>Sussex</v>
          </cell>
        </row>
        <row r="412">
          <cell r="J412" t="str">
            <v>Passaic</v>
          </cell>
        </row>
        <row r="413">
          <cell r="J413" t="str">
            <v>Sussex</v>
          </cell>
        </row>
        <row r="414">
          <cell r="J414" t="str">
            <v>Passaic</v>
          </cell>
        </row>
        <row r="415">
          <cell r="J415" t="str">
            <v>Bergen</v>
          </cell>
        </row>
        <row r="416">
          <cell r="J416" t="str">
            <v>Passaic</v>
          </cell>
        </row>
        <row r="417">
          <cell r="J417" t="str">
            <v>Bergen</v>
          </cell>
        </row>
        <row r="418">
          <cell r="J418" t="str">
            <v>Passaic</v>
          </cell>
        </row>
        <row r="419">
          <cell r="J419" t="str">
            <v>Bergen</v>
          </cell>
        </row>
        <row r="420">
          <cell r="J420" t="str">
            <v>Morris 1</v>
          </cell>
        </row>
        <row r="421">
          <cell r="J421" t="str">
            <v>Bergen</v>
          </cell>
        </row>
        <row r="422">
          <cell r="J422" t="str">
            <v>Bergen</v>
          </cell>
        </row>
        <row r="423">
          <cell r="J423" t="str">
            <v>Bergen</v>
          </cell>
        </row>
        <row r="424">
          <cell r="J424" t="str">
            <v>Bergen</v>
          </cell>
        </row>
        <row r="425">
          <cell r="J425" t="str">
            <v>Bergen</v>
          </cell>
        </row>
        <row r="426">
          <cell r="J426" t="str">
            <v>Morris 1</v>
          </cell>
        </row>
        <row r="427">
          <cell r="J427" t="str">
            <v>Bergen</v>
          </cell>
        </row>
        <row r="428">
          <cell r="J428" t="str">
            <v>Morris 1</v>
          </cell>
        </row>
        <row r="429">
          <cell r="J429" t="str">
            <v>Passaic</v>
          </cell>
        </row>
        <row r="430">
          <cell r="J430" t="str">
            <v>Bergen</v>
          </cell>
        </row>
        <row r="431">
          <cell r="J431" t="str">
            <v>Bergen</v>
          </cell>
        </row>
        <row r="432">
          <cell r="J432" t="str">
            <v>Passaic</v>
          </cell>
        </row>
        <row r="433">
          <cell r="J433" t="str">
            <v>Bergen</v>
          </cell>
        </row>
        <row r="434">
          <cell r="J434" t="str">
            <v>Passaic</v>
          </cell>
        </row>
        <row r="435">
          <cell r="J435" t="str">
            <v>Bergen</v>
          </cell>
        </row>
        <row r="436">
          <cell r="J436" t="str">
            <v>Bergen</v>
          </cell>
        </row>
        <row r="437">
          <cell r="J437" t="str">
            <v>Passaic</v>
          </cell>
        </row>
        <row r="438">
          <cell r="J438" t="str">
            <v>Bergen</v>
          </cell>
        </row>
        <row r="439">
          <cell r="J439" t="str">
            <v>Bergen</v>
          </cell>
        </row>
        <row r="440">
          <cell r="J440" t="str">
            <v>Bergen</v>
          </cell>
        </row>
        <row r="441">
          <cell r="J441" t="str">
            <v>Morris 1</v>
          </cell>
        </row>
        <row r="442">
          <cell r="J442" t="str">
            <v>Bergen</v>
          </cell>
        </row>
        <row r="443">
          <cell r="J443" t="str">
            <v>Passaic</v>
          </cell>
        </row>
        <row r="444">
          <cell r="J444" t="str">
            <v>Morris 1</v>
          </cell>
        </row>
        <row r="445">
          <cell r="J445" t="str">
            <v>Bergen</v>
          </cell>
        </row>
        <row r="446">
          <cell r="J446" t="str">
            <v>Morris 1</v>
          </cell>
        </row>
        <row r="447">
          <cell r="J447" t="str">
            <v>Morris 1</v>
          </cell>
        </row>
        <row r="448">
          <cell r="J448" t="str">
            <v>Morris 3</v>
          </cell>
        </row>
        <row r="449">
          <cell r="J449" t="str">
            <v>Sussex</v>
          </cell>
        </row>
        <row r="450">
          <cell r="J450" t="str">
            <v>Bergen</v>
          </cell>
        </row>
        <row r="451">
          <cell r="J451" t="str">
            <v>Bergen</v>
          </cell>
        </row>
        <row r="452">
          <cell r="J452" t="str">
            <v>Morris 1</v>
          </cell>
        </row>
        <row r="453">
          <cell r="J453" t="str">
            <v>Morris 1</v>
          </cell>
        </row>
        <row r="454">
          <cell r="J454" t="str">
            <v>Passaic</v>
          </cell>
        </row>
        <row r="455">
          <cell r="J455" t="str">
            <v>Bergen</v>
          </cell>
        </row>
        <row r="456">
          <cell r="J456" t="str">
            <v>Bergen</v>
          </cell>
        </row>
        <row r="457">
          <cell r="J457" t="str">
            <v>Passaic</v>
          </cell>
        </row>
        <row r="458">
          <cell r="J458" t="str">
            <v>Passaic</v>
          </cell>
        </row>
        <row r="459">
          <cell r="J459" t="str">
            <v>Bergen</v>
          </cell>
        </row>
        <row r="460">
          <cell r="J460" t="str">
            <v>Passaic</v>
          </cell>
        </row>
        <row r="461">
          <cell r="J461" t="str">
            <v>Morris 1</v>
          </cell>
        </row>
        <row r="462">
          <cell r="J462" t="str">
            <v>Bergen</v>
          </cell>
        </row>
        <row r="463">
          <cell r="J463" t="str">
            <v>Sussex</v>
          </cell>
        </row>
        <row r="464">
          <cell r="J464" t="str">
            <v>Morris 3</v>
          </cell>
        </row>
        <row r="465">
          <cell r="J465" t="str">
            <v>Sussex</v>
          </cell>
        </row>
        <row r="466">
          <cell r="J466" t="str">
            <v>Bergen</v>
          </cell>
        </row>
        <row r="467">
          <cell r="J467" t="str">
            <v>Bergen</v>
          </cell>
        </row>
        <row r="468">
          <cell r="J468" t="str">
            <v>Bergen</v>
          </cell>
        </row>
        <row r="469">
          <cell r="J469" t="str">
            <v>Bergen</v>
          </cell>
        </row>
        <row r="470">
          <cell r="J470" t="str">
            <v>Passaic-FF</v>
          </cell>
        </row>
        <row r="471">
          <cell r="J471" t="str">
            <v>Sussex</v>
          </cell>
        </row>
        <row r="472">
          <cell r="J472" t="str">
            <v>Morris 1</v>
          </cell>
        </row>
        <row r="473">
          <cell r="J473" t="str">
            <v>Sussex</v>
          </cell>
        </row>
        <row r="474">
          <cell r="J474" t="str">
            <v>Sussex</v>
          </cell>
        </row>
        <row r="475">
          <cell r="J475" t="str">
            <v>Bergen</v>
          </cell>
        </row>
        <row r="476">
          <cell r="J476" t="str">
            <v>Passaic</v>
          </cell>
        </row>
        <row r="477">
          <cell r="J477" t="str">
            <v>Passaic</v>
          </cell>
        </row>
        <row r="478">
          <cell r="J478" t="str">
            <v>Morris 1</v>
          </cell>
        </row>
        <row r="479">
          <cell r="J479" t="str">
            <v>Bergen</v>
          </cell>
        </row>
        <row r="480">
          <cell r="J480" t="str">
            <v>Bergen</v>
          </cell>
        </row>
        <row r="481">
          <cell r="J481" t="str">
            <v>Passaic</v>
          </cell>
        </row>
        <row r="482">
          <cell r="J482" t="str">
            <v>Bergen</v>
          </cell>
        </row>
        <row r="483">
          <cell r="J483" t="str">
            <v>Morris 1</v>
          </cell>
        </row>
        <row r="484">
          <cell r="J484" t="str">
            <v>Bergen</v>
          </cell>
        </row>
        <row r="485">
          <cell r="J485" t="str">
            <v>Passaic</v>
          </cell>
        </row>
        <row r="486">
          <cell r="J486" t="str">
            <v>Bergen</v>
          </cell>
        </row>
        <row r="487">
          <cell r="J487" t="str">
            <v>Bergen</v>
          </cell>
        </row>
        <row r="488">
          <cell r="J488" t="str">
            <v>Bergen</v>
          </cell>
        </row>
        <row r="489">
          <cell r="J489" t="str">
            <v>Bergen</v>
          </cell>
        </row>
        <row r="490">
          <cell r="J490" t="str">
            <v>Sussex</v>
          </cell>
        </row>
        <row r="491">
          <cell r="J491" t="str">
            <v>Bergen</v>
          </cell>
        </row>
        <row r="492">
          <cell r="J492" t="str">
            <v>Bergen</v>
          </cell>
        </row>
        <row r="493">
          <cell r="J493" t="str">
            <v>Passaic</v>
          </cell>
        </row>
        <row r="494">
          <cell r="J494" t="str">
            <v>Bergen</v>
          </cell>
        </row>
        <row r="495">
          <cell r="J495" t="str">
            <v>Bergen</v>
          </cell>
        </row>
        <row r="496">
          <cell r="J496" t="str">
            <v>Sussex</v>
          </cell>
        </row>
        <row r="497">
          <cell r="J497" t="str">
            <v>Bergen</v>
          </cell>
        </row>
        <row r="498">
          <cell r="J498" t="str">
            <v>Passaic</v>
          </cell>
        </row>
        <row r="499">
          <cell r="J499" t="str">
            <v>Passaic</v>
          </cell>
        </row>
        <row r="500">
          <cell r="J500" t="str">
            <v>Morris 1</v>
          </cell>
        </row>
        <row r="501">
          <cell r="J501" t="str">
            <v>Passaic</v>
          </cell>
        </row>
        <row r="502">
          <cell r="J502" t="str">
            <v>Passaic</v>
          </cell>
        </row>
        <row r="503">
          <cell r="J503" t="str">
            <v>Bergen</v>
          </cell>
        </row>
        <row r="504">
          <cell r="J504" t="str">
            <v>Passaic-FF</v>
          </cell>
        </row>
        <row r="505">
          <cell r="J505" t="str">
            <v>Bergen</v>
          </cell>
        </row>
        <row r="506">
          <cell r="J506" t="str">
            <v>Bergen</v>
          </cell>
        </row>
        <row r="507">
          <cell r="J507" t="str">
            <v>Passaic</v>
          </cell>
        </row>
        <row r="508">
          <cell r="J508" t="str">
            <v>Morris 1</v>
          </cell>
        </row>
        <row r="509">
          <cell r="J509" t="str">
            <v>Bergen</v>
          </cell>
        </row>
        <row r="510">
          <cell r="J510" t="str">
            <v>Bergen</v>
          </cell>
        </row>
        <row r="511">
          <cell r="J511" t="str">
            <v>Bergen</v>
          </cell>
        </row>
        <row r="512">
          <cell r="J512" t="str">
            <v>Bergen</v>
          </cell>
        </row>
        <row r="513">
          <cell r="J513" t="str">
            <v>Passaic</v>
          </cell>
        </row>
        <row r="514">
          <cell r="J514" t="str">
            <v>Morris 1</v>
          </cell>
        </row>
        <row r="515">
          <cell r="J515" t="str">
            <v>Bergen</v>
          </cell>
        </row>
        <row r="516">
          <cell r="J516" t="str">
            <v>Passaic</v>
          </cell>
        </row>
        <row r="517">
          <cell r="J517" t="str">
            <v>Bergen</v>
          </cell>
        </row>
        <row r="518">
          <cell r="J518" t="str">
            <v>Passaic</v>
          </cell>
        </row>
        <row r="519">
          <cell r="J519" t="str">
            <v>Morris 1</v>
          </cell>
        </row>
        <row r="520">
          <cell r="J520" t="str">
            <v>Bergen</v>
          </cell>
        </row>
        <row r="521">
          <cell r="J521" t="str">
            <v>Bergen</v>
          </cell>
        </row>
        <row r="522">
          <cell r="J522" t="str">
            <v>Passaic</v>
          </cell>
        </row>
        <row r="523">
          <cell r="J523" t="str">
            <v>Passaic</v>
          </cell>
        </row>
        <row r="524">
          <cell r="J524" t="str">
            <v>Morris 1</v>
          </cell>
        </row>
        <row r="525">
          <cell r="J525" t="str">
            <v>Passaic</v>
          </cell>
        </row>
        <row r="526">
          <cell r="J526" t="str">
            <v>Bergen</v>
          </cell>
        </row>
        <row r="527">
          <cell r="J527" t="str">
            <v>Morris 3</v>
          </cell>
        </row>
        <row r="528">
          <cell r="J528" t="str">
            <v>Morris 3</v>
          </cell>
        </row>
        <row r="529">
          <cell r="J529" t="str">
            <v>Bergen</v>
          </cell>
        </row>
        <row r="530">
          <cell r="J530" t="str">
            <v>Morris 1</v>
          </cell>
        </row>
        <row r="531">
          <cell r="J531" t="str">
            <v>Bergen</v>
          </cell>
        </row>
        <row r="532">
          <cell r="J532" t="str">
            <v>Passaic</v>
          </cell>
        </row>
        <row r="533">
          <cell r="J533" t="str">
            <v>Bergen</v>
          </cell>
        </row>
        <row r="534">
          <cell r="J534" t="str">
            <v>Sussex</v>
          </cell>
        </row>
        <row r="535">
          <cell r="J535" t="str">
            <v>Morris 1</v>
          </cell>
        </row>
        <row r="536">
          <cell r="J536" t="str">
            <v>Sussex</v>
          </cell>
        </row>
        <row r="537">
          <cell r="J537" t="str">
            <v>Bergen</v>
          </cell>
        </row>
        <row r="538">
          <cell r="J538" t="str">
            <v>Morris 1</v>
          </cell>
        </row>
        <row r="539">
          <cell r="J539" t="str">
            <v>Bergen</v>
          </cell>
        </row>
        <row r="540">
          <cell r="J540" t="str">
            <v>Bergen</v>
          </cell>
        </row>
        <row r="541">
          <cell r="J541" t="str">
            <v>Bergen</v>
          </cell>
        </row>
        <row r="542">
          <cell r="J542" t="str">
            <v>Bergen</v>
          </cell>
        </row>
        <row r="543">
          <cell r="J543" t="str">
            <v>Bergen</v>
          </cell>
        </row>
        <row r="544">
          <cell r="J544" t="str">
            <v>Bergen</v>
          </cell>
        </row>
        <row r="545">
          <cell r="J545" t="str">
            <v>Bergen</v>
          </cell>
        </row>
        <row r="546">
          <cell r="J546" t="str">
            <v>Passaic</v>
          </cell>
        </row>
        <row r="547">
          <cell r="J547" t="str">
            <v>Passaic</v>
          </cell>
        </row>
        <row r="548">
          <cell r="J548" t="str">
            <v>Bergen</v>
          </cell>
        </row>
        <row r="549">
          <cell r="J549" t="str">
            <v>Morris 1</v>
          </cell>
        </row>
        <row r="550">
          <cell r="J550" t="str">
            <v>Passaic</v>
          </cell>
        </row>
        <row r="551">
          <cell r="J551" t="str">
            <v>Bergen</v>
          </cell>
        </row>
        <row r="552">
          <cell r="J552" t="str">
            <v>Bergen</v>
          </cell>
        </row>
        <row r="553">
          <cell r="J553" t="str">
            <v>Bergen</v>
          </cell>
        </row>
        <row r="554">
          <cell r="J554" t="str">
            <v>Sussex</v>
          </cell>
        </row>
        <row r="555">
          <cell r="J555" t="str">
            <v>Passaic</v>
          </cell>
        </row>
        <row r="556">
          <cell r="J556" t="str">
            <v>Bergen</v>
          </cell>
        </row>
        <row r="557">
          <cell r="J557" t="str">
            <v>Bergen</v>
          </cell>
        </row>
        <row r="558">
          <cell r="J558" t="str">
            <v>Morris 1</v>
          </cell>
        </row>
        <row r="559">
          <cell r="J559" t="str">
            <v>Bergen</v>
          </cell>
        </row>
        <row r="560">
          <cell r="J560" t="str">
            <v>Bergen</v>
          </cell>
        </row>
        <row r="561">
          <cell r="J561" t="str">
            <v>Bergen</v>
          </cell>
        </row>
        <row r="562">
          <cell r="J562" t="str">
            <v>Bergen</v>
          </cell>
        </row>
        <row r="563">
          <cell r="J563" t="str">
            <v>Bergen</v>
          </cell>
        </row>
        <row r="564">
          <cell r="J564" t="str">
            <v>Sussex</v>
          </cell>
        </row>
        <row r="565">
          <cell r="J565" t="str">
            <v>Bergen</v>
          </cell>
        </row>
        <row r="566">
          <cell r="J566" t="str">
            <v>Bergen</v>
          </cell>
        </row>
        <row r="567">
          <cell r="J567" t="str">
            <v>Bergen</v>
          </cell>
        </row>
        <row r="568">
          <cell r="J568" t="str">
            <v>Bergen</v>
          </cell>
        </row>
        <row r="569">
          <cell r="J569" t="str">
            <v>Sussex</v>
          </cell>
        </row>
        <row r="570">
          <cell r="J570" t="str">
            <v>Sussex</v>
          </cell>
        </row>
        <row r="571">
          <cell r="J571" t="str">
            <v>Bergen</v>
          </cell>
        </row>
        <row r="572">
          <cell r="J572" t="str">
            <v>Bergen</v>
          </cell>
        </row>
        <row r="573">
          <cell r="J573" t="str">
            <v>Bergen</v>
          </cell>
        </row>
        <row r="574">
          <cell r="J574" t="str">
            <v>Bergen</v>
          </cell>
        </row>
        <row r="575">
          <cell r="J575" t="str">
            <v>Bergen</v>
          </cell>
        </row>
        <row r="576">
          <cell r="J576" t="str">
            <v>Morris 3</v>
          </cell>
        </row>
        <row r="577">
          <cell r="J577" t="str">
            <v>Passaic</v>
          </cell>
        </row>
        <row r="578">
          <cell r="J578" t="str">
            <v>Bergen</v>
          </cell>
        </row>
        <row r="579">
          <cell r="J579" t="str">
            <v>Bergen</v>
          </cell>
        </row>
        <row r="580">
          <cell r="J580" t="str">
            <v>Bergen</v>
          </cell>
        </row>
        <row r="581">
          <cell r="J581" t="str">
            <v>Sussex</v>
          </cell>
        </row>
        <row r="582">
          <cell r="J582" t="str">
            <v>Bergen</v>
          </cell>
        </row>
        <row r="583">
          <cell r="J583" t="str">
            <v>Bergen</v>
          </cell>
        </row>
        <row r="584">
          <cell r="J584" t="str">
            <v>Passaic</v>
          </cell>
        </row>
        <row r="585">
          <cell r="J585" t="str">
            <v>Bergen</v>
          </cell>
        </row>
        <row r="586">
          <cell r="J586" t="str">
            <v>Bergen</v>
          </cell>
        </row>
        <row r="587">
          <cell r="J587" t="str">
            <v>Bergen</v>
          </cell>
        </row>
        <row r="588">
          <cell r="J588" t="str">
            <v>Passaic</v>
          </cell>
        </row>
        <row r="589">
          <cell r="J589" t="str">
            <v>Bergen</v>
          </cell>
        </row>
        <row r="590">
          <cell r="J590" t="str">
            <v>Passaic</v>
          </cell>
        </row>
        <row r="591">
          <cell r="J591" t="str">
            <v>Bergen</v>
          </cell>
        </row>
        <row r="592">
          <cell r="J592" t="str">
            <v>Bergen</v>
          </cell>
        </row>
        <row r="593">
          <cell r="J593" t="str">
            <v>Passaic</v>
          </cell>
        </row>
        <row r="594">
          <cell r="J594" t="str">
            <v>Passaic</v>
          </cell>
        </row>
        <row r="595">
          <cell r="J595" t="str">
            <v>Morris 1</v>
          </cell>
        </row>
        <row r="596">
          <cell r="J596" t="str">
            <v>Bergen</v>
          </cell>
        </row>
        <row r="597">
          <cell r="J597" t="str">
            <v>Bergen</v>
          </cell>
        </row>
        <row r="598">
          <cell r="J598" t="str">
            <v>Passaic</v>
          </cell>
        </row>
        <row r="599">
          <cell r="J599" t="str">
            <v>Passaic</v>
          </cell>
        </row>
        <row r="600">
          <cell r="J600" t="str">
            <v>Bergen</v>
          </cell>
        </row>
        <row r="601">
          <cell r="J601" t="str">
            <v>Morris 1</v>
          </cell>
        </row>
        <row r="602">
          <cell r="J602" t="str">
            <v>Bergen</v>
          </cell>
        </row>
        <row r="603">
          <cell r="J603" t="str">
            <v>Morris 1</v>
          </cell>
        </row>
        <row r="604">
          <cell r="J604" t="str">
            <v>Bergen</v>
          </cell>
        </row>
        <row r="605">
          <cell r="J605" t="str">
            <v>Passaic</v>
          </cell>
        </row>
        <row r="606">
          <cell r="J606" t="str">
            <v>Bergen</v>
          </cell>
        </row>
        <row r="607">
          <cell r="J607" t="str">
            <v>Morris 3</v>
          </cell>
        </row>
        <row r="608">
          <cell r="J608" t="str">
            <v>Bergen</v>
          </cell>
        </row>
        <row r="609">
          <cell r="J609" t="str">
            <v>Bergen</v>
          </cell>
        </row>
        <row r="610">
          <cell r="J610" t="str">
            <v>Bergen</v>
          </cell>
        </row>
        <row r="611">
          <cell r="J611" t="str">
            <v>Bergen</v>
          </cell>
        </row>
        <row r="612">
          <cell r="J612" t="str">
            <v>Morris 1</v>
          </cell>
        </row>
        <row r="613">
          <cell r="J613" t="str">
            <v>Passaic-FF</v>
          </cell>
        </row>
        <row r="614">
          <cell r="J614" t="str">
            <v>Passaic-FF</v>
          </cell>
        </row>
        <row r="615">
          <cell r="J615" t="str">
            <v>Bergen</v>
          </cell>
        </row>
        <row r="616">
          <cell r="J616" t="str">
            <v>Sussex</v>
          </cell>
        </row>
        <row r="617">
          <cell r="J617" t="str">
            <v>Morris 3</v>
          </cell>
        </row>
        <row r="618">
          <cell r="J618" t="str">
            <v>Bergen</v>
          </cell>
        </row>
        <row r="619">
          <cell r="J619" t="str">
            <v>Morris 1</v>
          </cell>
        </row>
        <row r="620">
          <cell r="J620" t="str">
            <v>Bergen</v>
          </cell>
        </row>
        <row r="621">
          <cell r="J621" t="str">
            <v>Passaic</v>
          </cell>
        </row>
        <row r="622">
          <cell r="J622" t="str">
            <v>Passaic</v>
          </cell>
        </row>
        <row r="623">
          <cell r="J623" t="str">
            <v>Passaic</v>
          </cell>
        </row>
        <row r="624">
          <cell r="J624" t="str">
            <v>Passaic</v>
          </cell>
        </row>
        <row r="625">
          <cell r="J625" t="str">
            <v>Passaic</v>
          </cell>
        </row>
        <row r="626">
          <cell r="J626" t="str">
            <v>Bergen</v>
          </cell>
        </row>
        <row r="627">
          <cell r="J627" t="str">
            <v>Bergen</v>
          </cell>
        </row>
        <row r="628">
          <cell r="J628" t="str">
            <v>Bergen</v>
          </cell>
        </row>
        <row r="629">
          <cell r="J629" t="str">
            <v>Morris 3</v>
          </cell>
        </row>
        <row r="630">
          <cell r="J630" t="str">
            <v>Bergen</v>
          </cell>
        </row>
        <row r="631">
          <cell r="J631" t="str">
            <v>Bergen</v>
          </cell>
        </row>
        <row r="632">
          <cell r="J632" t="str">
            <v>Bergen</v>
          </cell>
        </row>
        <row r="633">
          <cell r="J633" t="str">
            <v>Morris 3</v>
          </cell>
        </row>
        <row r="634">
          <cell r="J634" t="str">
            <v>Bergen</v>
          </cell>
        </row>
        <row r="635">
          <cell r="J635" t="str">
            <v>Bergen</v>
          </cell>
        </row>
        <row r="636">
          <cell r="J636" t="str">
            <v>Bergen</v>
          </cell>
        </row>
        <row r="637">
          <cell r="J637" t="str">
            <v>Sussex</v>
          </cell>
        </row>
        <row r="638">
          <cell r="J638" t="str">
            <v>Passaic</v>
          </cell>
        </row>
        <row r="639">
          <cell r="J639" t="str">
            <v>Bergen</v>
          </cell>
        </row>
        <row r="640">
          <cell r="J640" t="str">
            <v>Bergen</v>
          </cell>
        </row>
        <row r="641">
          <cell r="J641" t="str">
            <v>Bergen</v>
          </cell>
        </row>
        <row r="642">
          <cell r="J642" t="str">
            <v>Passaic</v>
          </cell>
        </row>
        <row r="643">
          <cell r="J643" t="str">
            <v>Morris 3</v>
          </cell>
        </row>
        <row r="644">
          <cell r="J644" t="str">
            <v>Bergen</v>
          </cell>
        </row>
        <row r="645">
          <cell r="J645" t="str">
            <v>Bergen</v>
          </cell>
        </row>
        <row r="646">
          <cell r="J646" t="str">
            <v>Passaic</v>
          </cell>
        </row>
        <row r="647">
          <cell r="J647" t="str">
            <v>Sussex</v>
          </cell>
        </row>
        <row r="648">
          <cell r="J648" t="str">
            <v>Sussex</v>
          </cell>
        </row>
        <row r="649">
          <cell r="J649" t="str">
            <v>Bergen</v>
          </cell>
        </row>
        <row r="650">
          <cell r="J650" t="str">
            <v>Bergen</v>
          </cell>
        </row>
        <row r="651">
          <cell r="J651" t="str">
            <v>Bergen</v>
          </cell>
        </row>
        <row r="652">
          <cell r="J652" t="str">
            <v>Bergen</v>
          </cell>
        </row>
        <row r="653">
          <cell r="J653" t="str">
            <v>Bergen</v>
          </cell>
        </row>
        <row r="654">
          <cell r="J654" t="str">
            <v>Sussex</v>
          </cell>
        </row>
        <row r="655">
          <cell r="J655" t="str">
            <v>Bergen</v>
          </cell>
        </row>
        <row r="656">
          <cell r="J656" t="str">
            <v>Bergen</v>
          </cell>
        </row>
        <row r="657">
          <cell r="J657" t="str">
            <v>Bergen</v>
          </cell>
        </row>
        <row r="658">
          <cell r="J658" t="str">
            <v>Bergen</v>
          </cell>
        </row>
        <row r="659">
          <cell r="J659" t="str">
            <v>Bergen</v>
          </cell>
        </row>
        <row r="660">
          <cell r="J660" t="str">
            <v>Bergen</v>
          </cell>
        </row>
        <row r="661">
          <cell r="J661" t="str">
            <v>Bergen</v>
          </cell>
        </row>
        <row r="662">
          <cell r="J662" t="str">
            <v>Bergen</v>
          </cell>
        </row>
        <row r="663">
          <cell r="J663" t="str">
            <v>Morris 3</v>
          </cell>
        </row>
        <row r="664">
          <cell r="J664" t="str">
            <v>Sussex</v>
          </cell>
        </row>
        <row r="665">
          <cell r="J665" t="str">
            <v>Bergen</v>
          </cell>
        </row>
        <row r="666">
          <cell r="J666" t="str">
            <v>Bergen</v>
          </cell>
        </row>
        <row r="667">
          <cell r="J667" t="str">
            <v>Bergen</v>
          </cell>
        </row>
        <row r="668">
          <cell r="J668" t="str">
            <v>Passaic</v>
          </cell>
        </row>
        <row r="669">
          <cell r="J669" t="str">
            <v>Passaic</v>
          </cell>
        </row>
        <row r="670">
          <cell r="J670" t="str">
            <v>Bergen</v>
          </cell>
        </row>
        <row r="671">
          <cell r="J671" t="str">
            <v>Bergen</v>
          </cell>
        </row>
        <row r="672">
          <cell r="J672" t="str">
            <v>Morris 1</v>
          </cell>
        </row>
        <row r="673">
          <cell r="J673" t="str">
            <v>Morris 1</v>
          </cell>
        </row>
        <row r="674">
          <cell r="J674" t="str">
            <v>Bergen</v>
          </cell>
        </row>
        <row r="675">
          <cell r="J675" t="str">
            <v>Bergen</v>
          </cell>
        </row>
        <row r="676">
          <cell r="J676" t="str">
            <v>Bergen</v>
          </cell>
        </row>
        <row r="677">
          <cell r="J677" t="str">
            <v>Bergen</v>
          </cell>
        </row>
        <row r="678">
          <cell r="J678" t="str">
            <v>Passaic</v>
          </cell>
        </row>
        <row r="679">
          <cell r="J679" t="str">
            <v>Bergen</v>
          </cell>
        </row>
        <row r="680">
          <cell r="J680" t="str">
            <v>Bergen</v>
          </cell>
        </row>
        <row r="681">
          <cell r="J681" t="str">
            <v>Bergen</v>
          </cell>
        </row>
        <row r="682">
          <cell r="J682" t="str">
            <v>Bergen</v>
          </cell>
        </row>
        <row r="683">
          <cell r="J683" t="str">
            <v>Passaic</v>
          </cell>
        </row>
        <row r="684">
          <cell r="J684" t="str">
            <v>Passaic</v>
          </cell>
        </row>
        <row r="685">
          <cell r="J685" t="str">
            <v>Passaic</v>
          </cell>
        </row>
        <row r="686">
          <cell r="J686" t="str">
            <v>Passaic</v>
          </cell>
        </row>
        <row r="687">
          <cell r="J687" t="str">
            <v>Sussex</v>
          </cell>
        </row>
        <row r="688">
          <cell r="J688" t="str">
            <v>Sussex</v>
          </cell>
        </row>
        <row r="689">
          <cell r="J689" t="str">
            <v>Bergen</v>
          </cell>
        </row>
        <row r="690">
          <cell r="J690" t="str">
            <v>Sussex</v>
          </cell>
        </row>
        <row r="691">
          <cell r="J691" t="str">
            <v>Bergen</v>
          </cell>
        </row>
        <row r="692">
          <cell r="J692" t="str">
            <v>Sussex</v>
          </cell>
        </row>
        <row r="693">
          <cell r="J693" t="str">
            <v>Bergen</v>
          </cell>
        </row>
        <row r="694">
          <cell r="J694" t="str">
            <v>Morris 1</v>
          </cell>
        </row>
        <row r="695">
          <cell r="J695" t="str">
            <v>Passaic</v>
          </cell>
        </row>
        <row r="696">
          <cell r="J696" t="str">
            <v>Sussex</v>
          </cell>
        </row>
        <row r="697">
          <cell r="J697" t="str">
            <v>Passaic</v>
          </cell>
        </row>
        <row r="698">
          <cell r="J698" t="str">
            <v>Bergen</v>
          </cell>
        </row>
        <row r="699">
          <cell r="J699" t="str">
            <v>Morris 3</v>
          </cell>
        </row>
        <row r="700">
          <cell r="J700" t="str">
            <v>Morris 3</v>
          </cell>
        </row>
        <row r="701">
          <cell r="J701" t="str">
            <v>Morris 1</v>
          </cell>
        </row>
        <row r="702">
          <cell r="J702" t="str">
            <v>Bergen</v>
          </cell>
        </row>
        <row r="703">
          <cell r="J703" t="str">
            <v>Bergen</v>
          </cell>
        </row>
        <row r="704">
          <cell r="J704" t="str">
            <v>Bergen</v>
          </cell>
        </row>
        <row r="705">
          <cell r="J705" t="str">
            <v>Morris 3</v>
          </cell>
        </row>
        <row r="706">
          <cell r="J706" t="str">
            <v>Passaic-FF</v>
          </cell>
        </row>
        <row r="707">
          <cell r="J707" t="str">
            <v>Bergen</v>
          </cell>
        </row>
        <row r="708">
          <cell r="J708" t="str">
            <v>Morris 1</v>
          </cell>
        </row>
        <row r="709">
          <cell r="J709" t="str">
            <v>Passaic</v>
          </cell>
        </row>
        <row r="710">
          <cell r="J710" t="str">
            <v>Bergen</v>
          </cell>
        </row>
        <row r="711">
          <cell r="J711" t="str">
            <v>Morris 1</v>
          </cell>
        </row>
        <row r="712">
          <cell r="J712" t="str">
            <v>Bergen</v>
          </cell>
        </row>
        <row r="713">
          <cell r="J713" t="str">
            <v>Bergen</v>
          </cell>
        </row>
        <row r="714">
          <cell r="J714" t="str">
            <v>Bergen</v>
          </cell>
        </row>
        <row r="715">
          <cell r="J715" t="str">
            <v>Morris 3</v>
          </cell>
        </row>
        <row r="716">
          <cell r="J716" t="str">
            <v>Bergen</v>
          </cell>
        </row>
        <row r="717">
          <cell r="J717" t="str">
            <v>Bergen</v>
          </cell>
        </row>
        <row r="718">
          <cell r="J718" t="str">
            <v>Passaic</v>
          </cell>
        </row>
        <row r="719">
          <cell r="J719" t="str">
            <v>Bergen</v>
          </cell>
        </row>
        <row r="720">
          <cell r="J720" t="str">
            <v>Bergen</v>
          </cell>
        </row>
        <row r="721">
          <cell r="J721" t="str">
            <v>Bergen</v>
          </cell>
        </row>
        <row r="722">
          <cell r="J722" t="str">
            <v>Bergen</v>
          </cell>
        </row>
        <row r="723">
          <cell r="J723" t="str">
            <v>Bergen</v>
          </cell>
        </row>
        <row r="724">
          <cell r="J724" t="str">
            <v>Passaic</v>
          </cell>
        </row>
        <row r="725">
          <cell r="J725" t="str">
            <v>Bergen</v>
          </cell>
        </row>
        <row r="726">
          <cell r="J726" t="str">
            <v>Bergen</v>
          </cell>
        </row>
        <row r="727">
          <cell r="J727" t="str">
            <v>Bergen</v>
          </cell>
        </row>
        <row r="728">
          <cell r="J728" t="str">
            <v>Passaic</v>
          </cell>
        </row>
        <row r="729">
          <cell r="J729" t="str">
            <v>Bergen</v>
          </cell>
        </row>
        <row r="730">
          <cell r="J730" t="str">
            <v>Morris 1</v>
          </cell>
        </row>
        <row r="731">
          <cell r="J731" t="str">
            <v>Bergen</v>
          </cell>
        </row>
        <row r="732">
          <cell r="J732" t="str">
            <v>Morris 1</v>
          </cell>
        </row>
        <row r="733">
          <cell r="J733" t="str">
            <v>Sussex</v>
          </cell>
        </row>
        <row r="734">
          <cell r="J734" t="str">
            <v>Passaic</v>
          </cell>
        </row>
        <row r="735">
          <cell r="J735" t="str">
            <v>Morris 1</v>
          </cell>
        </row>
        <row r="736">
          <cell r="J736" t="str">
            <v>Passaic</v>
          </cell>
        </row>
        <row r="737">
          <cell r="J737" t="str">
            <v>Passaic</v>
          </cell>
        </row>
        <row r="738">
          <cell r="J738" t="str">
            <v>Bergen</v>
          </cell>
        </row>
        <row r="739">
          <cell r="J739" t="str">
            <v>Morris 1</v>
          </cell>
        </row>
        <row r="740">
          <cell r="J740" t="str">
            <v>Morris 1</v>
          </cell>
        </row>
        <row r="741">
          <cell r="J741" t="str">
            <v>Passaic</v>
          </cell>
        </row>
        <row r="742">
          <cell r="J742" t="str">
            <v>Bergen</v>
          </cell>
        </row>
        <row r="743">
          <cell r="J743" t="str">
            <v>Bergen</v>
          </cell>
        </row>
        <row r="744">
          <cell r="J744" t="str">
            <v>Bergen</v>
          </cell>
        </row>
        <row r="745">
          <cell r="J745" t="str">
            <v>Bergen</v>
          </cell>
        </row>
        <row r="746">
          <cell r="J746" t="str">
            <v>Bergen</v>
          </cell>
        </row>
        <row r="747">
          <cell r="J747" t="str">
            <v>Bergen</v>
          </cell>
        </row>
        <row r="748">
          <cell r="J748" t="str">
            <v>Sussex</v>
          </cell>
        </row>
        <row r="749">
          <cell r="J749" t="str">
            <v>Morris 1</v>
          </cell>
        </row>
        <row r="750">
          <cell r="J750" t="str">
            <v>Bergen</v>
          </cell>
        </row>
        <row r="751">
          <cell r="J751" t="str">
            <v>Bergen</v>
          </cell>
        </row>
        <row r="752">
          <cell r="J752" t="str">
            <v>Bergen</v>
          </cell>
        </row>
        <row r="753">
          <cell r="J753" t="str">
            <v>Bergen</v>
          </cell>
        </row>
        <row r="754">
          <cell r="J754" t="str">
            <v>Bergen</v>
          </cell>
        </row>
        <row r="755">
          <cell r="J755" t="str">
            <v>Passaic</v>
          </cell>
        </row>
        <row r="756">
          <cell r="J756" t="str">
            <v>Bergen</v>
          </cell>
        </row>
        <row r="757">
          <cell r="J757" t="str">
            <v>Sussex</v>
          </cell>
        </row>
        <row r="758">
          <cell r="J758" t="str">
            <v>Bergen</v>
          </cell>
        </row>
        <row r="759">
          <cell r="J759" t="str">
            <v>Passaic</v>
          </cell>
        </row>
        <row r="760">
          <cell r="J760" t="str">
            <v>Bergen</v>
          </cell>
        </row>
        <row r="761">
          <cell r="J761" t="str">
            <v>Bergen</v>
          </cell>
        </row>
        <row r="762">
          <cell r="J762" t="str">
            <v>Bergen</v>
          </cell>
        </row>
        <row r="763">
          <cell r="J763" t="str">
            <v>Sussex</v>
          </cell>
        </row>
        <row r="764">
          <cell r="J764" t="str">
            <v>Sussex</v>
          </cell>
        </row>
        <row r="765">
          <cell r="J765" t="str">
            <v>Bergen</v>
          </cell>
        </row>
        <row r="766">
          <cell r="J766" t="str">
            <v>Sussex</v>
          </cell>
        </row>
        <row r="767">
          <cell r="J767" t="str">
            <v>Bergen</v>
          </cell>
        </row>
        <row r="768">
          <cell r="J768" t="str">
            <v>Passaic-FF</v>
          </cell>
        </row>
        <row r="769">
          <cell r="J769" t="str">
            <v>Bergen</v>
          </cell>
        </row>
        <row r="770">
          <cell r="J770" t="str">
            <v>Passaic</v>
          </cell>
        </row>
        <row r="771">
          <cell r="J771" t="str">
            <v>Morris 1</v>
          </cell>
        </row>
        <row r="772">
          <cell r="J772" t="str">
            <v>Bergen</v>
          </cell>
        </row>
        <row r="773">
          <cell r="J773" t="str">
            <v>Passaic</v>
          </cell>
        </row>
        <row r="774">
          <cell r="J774" t="str">
            <v>Passaic</v>
          </cell>
        </row>
        <row r="775">
          <cell r="J775" t="str">
            <v>Bergen</v>
          </cell>
        </row>
        <row r="776">
          <cell r="J776" t="str">
            <v>Bergen</v>
          </cell>
        </row>
        <row r="777">
          <cell r="J777" t="str">
            <v>Bergen</v>
          </cell>
        </row>
        <row r="778">
          <cell r="J778" t="str">
            <v>Bergen</v>
          </cell>
        </row>
        <row r="779">
          <cell r="J779" t="str">
            <v>Passaic</v>
          </cell>
        </row>
        <row r="780">
          <cell r="J780" t="str">
            <v>Bergen</v>
          </cell>
        </row>
        <row r="781">
          <cell r="J781" t="str">
            <v>Bergen</v>
          </cell>
        </row>
        <row r="782">
          <cell r="J782" t="str">
            <v>Bergen</v>
          </cell>
        </row>
        <row r="783">
          <cell r="J783" t="str">
            <v>Sussex</v>
          </cell>
        </row>
        <row r="784">
          <cell r="J784" t="str">
            <v>Sussex</v>
          </cell>
        </row>
        <row r="785">
          <cell r="J785" t="str">
            <v>Bergen</v>
          </cell>
        </row>
        <row r="786">
          <cell r="J786" t="str">
            <v>Bergen</v>
          </cell>
        </row>
        <row r="787">
          <cell r="J787" t="str">
            <v>Sussex</v>
          </cell>
        </row>
        <row r="788">
          <cell r="J788" t="str">
            <v>Bergen</v>
          </cell>
        </row>
        <row r="789">
          <cell r="J789" t="str">
            <v>Passaic-FF</v>
          </cell>
        </row>
        <row r="790">
          <cell r="J790" t="str">
            <v>Bergen</v>
          </cell>
        </row>
        <row r="791">
          <cell r="J791" t="str">
            <v>Bergen</v>
          </cell>
        </row>
        <row r="792">
          <cell r="J792" t="str">
            <v>Bergen</v>
          </cell>
        </row>
        <row r="793">
          <cell r="J793" t="str">
            <v>Bergen</v>
          </cell>
        </row>
        <row r="794">
          <cell r="J794" t="str">
            <v>Morris 1</v>
          </cell>
        </row>
        <row r="795">
          <cell r="J795" t="str">
            <v>Sussex</v>
          </cell>
        </row>
        <row r="796">
          <cell r="J796" t="str">
            <v>Morris 3</v>
          </cell>
        </row>
        <row r="797">
          <cell r="J797" t="str">
            <v>Bergen</v>
          </cell>
        </row>
        <row r="798">
          <cell r="J798" t="str">
            <v>Bergen</v>
          </cell>
        </row>
        <row r="799">
          <cell r="J799" t="str">
            <v>Bergen</v>
          </cell>
        </row>
        <row r="800">
          <cell r="J800" t="str">
            <v>Bergen</v>
          </cell>
        </row>
        <row r="801">
          <cell r="J801" t="str">
            <v>Morris 1</v>
          </cell>
        </row>
        <row r="802">
          <cell r="J802" t="str">
            <v>Morris 1</v>
          </cell>
        </row>
        <row r="803">
          <cell r="J803" t="str">
            <v>Bergen</v>
          </cell>
        </row>
        <row r="804">
          <cell r="J804" t="str">
            <v>Bergen</v>
          </cell>
        </row>
        <row r="805">
          <cell r="J805" t="str">
            <v>Passaic</v>
          </cell>
        </row>
        <row r="806">
          <cell r="J806" t="str">
            <v>Bergen</v>
          </cell>
        </row>
        <row r="807">
          <cell r="J807" t="str">
            <v>Passaic-FF</v>
          </cell>
        </row>
        <row r="808">
          <cell r="J808" t="str">
            <v>Morris 1</v>
          </cell>
        </row>
        <row r="809">
          <cell r="J809" t="str">
            <v>Morris 1</v>
          </cell>
        </row>
        <row r="810">
          <cell r="J810" t="str">
            <v>Bergen</v>
          </cell>
        </row>
        <row r="811">
          <cell r="J811" t="str">
            <v>Sussex</v>
          </cell>
        </row>
        <row r="812">
          <cell r="J812" t="str">
            <v>Bergen</v>
          </cell>
        </row>
        <row r="813">
          <cell r="J813" t="str">
            <v>Bergen</v>
          </cell>
        </row>
        <row r="814">
          <cell r="J814" t="str">
            <v>Bergen</v>
          </cell>
        </row>
        <row r="815">
          <cell r="J815" t="str">
            <v>Bergen</v>
          </cell>
        </row>
        <row r="816">
          <cell r="J816" t="str">
            <v>Bergen</v>
          </cell>
        </row>
        <row r="817">
          <cell r="J817" t="str">
            <v>Bergen</v>
          </cell>
        </row>
        <row r="818">
          <cell r="J818" t="str">
            <v>Bergen</v>
          </cell>
        </row>
        <row r="819">
          <cell r="J819" t="str">
            <v>Bergen</v>
          </cell>
        </row>
        <row r="820">
          <cell r="J820" t="str">
            <v>Bergen</v>
          </cell>
        </row>
        <row r="821">
          <cell r="J821" t="str">
            <v>Bergen</v>
          </cell>
        </row>
        <row r="822">
          <cell r="J822" t="str">
            <v>Passaic</v>
          </cell>
        </row>
        <row r="823">
          <cell r="J823" t="str">
            <v>Bergen</v>
          </cell>
        </row>
        <row r="824">
          <cell r="J824" t="str">
            <v>Bergen</v>
          </cell>
        </row>
        <row r="825">
          <cell r="J825" t="str">
            <v>Morris 1</v>
          </cell>
        </row>
        <row r="826">
          <cell r="J826" t="str">
            <v>Bergen</v>
          </cell>
        </row>
        <row r="827">
          <cell r="J827" t="str">
            <v>Morris 1</v>
          </cell>
        </row>
        <row r="828">
          <cell r="J828" t="str">
            <v>Sussex</v>
          </cell>
        </row>
        <row r="829">
          <cell r="J829" t="str">
            <v>Morris 1</v>
          </cell>
        </row>
        <row r="830">
          <cell r="J830" t="str">
            <v>Bergen</v>
          </cell>
        </row>
        <row r="831">
          <cell r="J831" t="str">
            <v>Bergen</v>
          </cell>
        </row>
        <row r="832">
          <cell r="J832" t="str">
            <v>Passaic</v>
          </cell>
        </row>
        <row r="833">
          <cell r="J833" t="str">
            <v>Bergen</v>
          </cell>
        </row>
        <row r="834">
          <cell r="J834" t="str">
            <v>Bergen</v>
          </cell>
        </row>
        <row r="835">
          <cell r="J835" t="str">
            <v>Morris 1</v>
          </cell>
        </row>
        <row r="836">
          <cell r="J836" t="str">
            <v>Morris 1</v>
          </cell>
        </row>
        <row r="837">
          <cell r="J837" t="str">
            <v>Bergen</v>
          </cell>
        </row>
        <row r="838">
          <cell r="J838" t="str">
            <v>Bergen</v>
          </cell>
        </row>
        <row r="839">
          <cell r="J839" t="str">
            <v>Sussex</v>
          </cell>
        </row>
        <row r="840">
          <cell r="J840" t="str">
            <v>Passaic</v>
          </cell>
        </row>
        <row r="841">
          <cell r="J841" t="str">
            <v>Bergen</v>
          </cell>
        </row>
        <row r="842">
          <cell r="J842" t="str">
            <v>Passaic-FF</v>
          </cell>
        </row>
        <row r="843">
          <cell r="J843" t="str">
            <v>Passaic</v>
          </cell>
        </row>
        <row r="844">
          <cell r="J844" t="str">
            <v>Passaic</v>
          </cell>
        </row>
        <row r="845">
          <cell r="J845" t="str">
            <v>Morris 1</v>
          </cell>
        </row>
        <row r="846">
          <cell r="J846" t="str">
            <v>Bergen</v>
          </cell>
        </row>
        <row r="847">
          <cell r="J847" t="str">
            <v>Bergen</v>
          </cell>
        </row>
        <row r="848">
          <cell r="J848" t="str">
            <v>Bergen</v>
          </cell>
        </row>
        <row r="849">
          <cell r="J849" t="str">
            <v>Bergen</v>
          </cell>
        </row>
        <row r="850">
          <cell r="J850" t="str">
            <v>Passaic</v>
          </cell>
        </row>
        <row r="851">
          <cell r="J851" t="str">
            <v>Passaic</v>
          </cell>
        </row>
        <row r="852">
          <cell r="J852" t="str">
            <v>Bergen</v>
          </cell>
        </row>
        <row r="853">
          <cell r="J853" t="str">
            <v>Passaic-FF</v>
          </cell>
        </row>
        <row r="854">
          <cell r="J854" t="str">
            <v>Sussex</v>
          </cell>
        </row>
        <row r="855">
          <cell r="J855" t="str">
            <v>Bergen</v>
          </cell>
        </row>
        <row r="856">
          <cell r="J856" t="str">
            <v>Bergen</v>
          </cell>
        </row>
        <row r="857">
          <cell r="J857" t="str">
            <v>Bergen</v>
          </cell>
        </row>
        <row r="858">
          <cell r="J858" t="str">
            <v>Bergen</v>
          </cell>
        </row>
        <row r="859">
          <cell r="J859" t="str">
            <v>Bergen</v>
          </cell>
        </row>
        <row r="860">
          <cell r="J860" t="str">
            <v>Bergen</v>
          </cell>
        </row>
        <row r="861">
          <cell r="J861" t="str">
            <v>Bergen</v>
          </cell>
        </row>
        <row r="862">
          <cell r="J862" t="str">
            <v>Bergen</v>
          </cell>
        </row>
        <row r="863">
          <cell r="J863" t="str">
            <v>Bergen</v>
          </cell>
        </row>
        <row r="864">
          <cell r="J864" t="str">
            <v>Bergen</v>
          </cell>
        </row>
        <row r="865">
          <cell r="J865" t="str">
            <v>Sussex</v>
          </cell>
        </row>
        <row r="866">
          <cell r="J866" t="str">
            <v>Bergen</v>
          </cell>
        </row>
        <row r="867">
          <cell r="J867" t="str">
            <v>Sussex</v>
          </cell>
        </row>
        <row r="868">
          <cell r="J868" t="str">
            <v>Sussex</v>
          </cell>
        </row>
        <row r="869">
          <cell r="J869" t="str">
            <v>Bergen</v>
          </cell>
        </row>
        <row r="870">
          <cell r="J870" t="str">
            <v>Bergen</v>
          </cell>
        </row>
        <row r="871">
          <cell r="J871" t="str">
            <v>Bergen</v>
          </cell>
        </row>
        <row r="872">
          <cell r="J872" t="str">
            <v>Passaic</v>
          </cell>
        </row>
        <row r="873">
          <cell r="J873" t="str">
            <v>Bergen</v>
          </cell>
        </row>
        <row r="874">
          <cell r="J874" t="str">
            <v>Bergen</v>
          </cell>
        </row>
        <row r="875">
          <cell r="J875" t="str">
            <v>Sussex</v>
          </cell>
        </row>
        <row r="876">
          <cell r="J876" t="str">
            <v>Bergen</v>
          </cell>
        </row>
        <row r="877">
          <cell r="J877" t="str">
            <v>Bergen</v>
          </cell>
        </row>
        <row r="878">
          <cell r="J878" t="str">
            <v>Bergen</v>
          </cell>
        </row>
        <row r="879">
          <cell r="J879" t="str">
            <v>Bergen</v>
          </cell>
        </row>
        <row r="880">
          <cell r="J880" t="str">
            <v>Passaic</v>
          </cell>
        </row>
        <row r="881">
          <cell r="J881" t="str">
            <v>Bergen</v>
          </cell>
        </row>
        <row r="882">
          <cell r="J882" t="str">
            <v>Bergen</v>
          </cell>
        </row>
        <row r="883">
          <cell r="J883" t="str">
            <v>Bergen</v>
          </cell>
        </row>
        <row r="884">
          <cell r="J884" t="str">
            <v>Bergen</v>
          </cell>
        </row>
        <row r="885">
          <cell r="J885" t="str">
            <v>Passaic</v>
          </cell>
        </row>
        <row r="886">
          <cell r="J886" t="str">
            <v>Passaic</v>
          </cell>
        </row>
        <row r="887">
          <cell r="J887" t="str">
            <v>Bergen</v>
          </cell>
        </row>
        <row r="888">
          <cell r="J888" t="str">
            <v>Bergen</v>
          </cell>
        </row>
        <row r="889">
          <cell r="J889" t="str">
            <v>Bergen</v>
          </cell>
        </row>
        <row r="890">
          <cell r="J890" t="str">
            <v>Bergen</v>
          </cell>
        </row>
        <row r="891">
          <cell r="J891" t="str">
            <v>Bergen</v>
          </cell>
        </row>
        <row r="892">
          <cell r="J892" t="str">
            <v>Passaic</v>
          </cell>
        </row>
        <row r="893">
          <cell r="J893" t="str">
            <v>Bergen</v>
          </cell>
        </row>
        <row r="894">
          <cell r="J894" t="str">
            <v>Passaic</v>
          </cell>
        </row>
        <row r="895">
          <cell r="J895" t="str">
            <v>Morris 1</v>
          </cell>
        </row>
        <row r="896">
          <cell r="J896" t="str">
            <v>Passaic</v>
          </cell>
        </row>
        <row r="897">
          <cell r="J897" t="str">
            <v>Bergen</v>
          </cell>
        </row>
        <row r="898">
          <cell r="J898" t="str">
            <v>Sussex</v>
          </cell>
        </row>
        <row r="899">
          <cell r="J899" t="str">
            <v>Bergen</v>
          </cell>
        </row>
        <row r="900">
          <cell r="J900" t="str">
            <v>Bergen</v>
          </cell>
        </row>
        <row r="901">
          <cell r="J901" t="str">
            <v>Morris 3</v>
          </cell>
        </row>
        <row r="902">
          <cell r="J902" t="str">
            <v>Bergen</v>
          </cell>
        </row>
        <row r="903">
          <cell r="J903" t="str">
            <v>Passaic</v>
          </cell>
        </row>
        <row r="904">
          <cell r="J904" t="str">
            <v>Bergen</v>
          </cell>
        </row>
        <row r="905">
          <cell r="J905" t="str">
            <v>Bergen</v>
          </cell>
        </row>
        <row r="906">
          <cell r="J906" t="str">
            <v>Passaic-FF</v>
          </cell>
        </row>
        <row r="907">
          <cell r="J907" t="str">
            <v>Sussex</v>
          </cell>
        </row>
        <row r="908">
          <cell r="J908" t="str">
            <v>Morris 1</v>
          </cell>
        </row>
        <row r="909">
          <cell r="J909" t="str">
            <v>Bergen</v>
          </cell>
        </row>
        <row r="910">
          <cell r="J910" t="str">
            <v>Bergen</v>
          </cell>
        </row>
        <row r="911">
          <cell r="J911" t="str">
            <v>Passaic</v>
          </cell>
        </row>
        <row r="912">
          <cell r="J912" t="str">
            <v>Bergen</v>
          </cell>
        </row>
        <row r="913">
          <cell r="J913" t="str">
            <v>Bergen</v>
          </cell>
        </row>
        <row r="914">
          <cell r="J914" t="str">
            <v>Bergen</v>
          </cell>
        </row>
        <row r="915">
          <cell r="J915" t="str">
            <v>Sussex</v>
          </cell>
        </row>
        <row r="916">
          <cell r="J916" t="str">
            <v>Bergen</v>
          </cell>
        </row>
        <row r="917">
          <cell r="J917" t="str">
            <v>Bergen</v>
          </cell>
        </row>
        <row r="918">
          <cell r="J918" t="str">
            <v>Bergen</v>
          </cell>
        </row>
        <row r="919">
          <cell r="J919" t="str">
            <v>Bergen</v>
          </cell>
        </row>
        <row r="920">
          <cell r="J920" t="str">
            <v>Bergen</v>
          </cell>
        </row>
        <row r="921">
          <cell r="J921" t="str">
            <v>Bergen</v>
          </cell>
        </row>
        <row r="922">
          <cell r="J922" t="str">
            <v>Sussex</v>
          </cell>
        </row>
        <row r="923">
          <cell r="J923" t="str">
            <v>Bergen</v>
          </cell>
        </row>
        <row r="924">
          <cell r="J924" t="str">
            <v>Bergen</v>
          </cell>
        </row>
        <row r="925">
          <cell r="J925" t="str">
            <v>Passaic</v>
          </cell>
        </row>
        <row r="926">
          <cell r="J926" t="str">
            <v>Morris 1</v>
          </cell>
        </row>
        <row r="927">
          <cell r="J927" t="str">
            <v>Bergen</v>
          </cell>
        </row>
        <row r="928">
          <cell r="J928" t="str">
            <v>Bergen</v>
          </cell>
        </row>
        <row r="929">
          <cell r="J929" t="str">
            <v>Bergen</v>
          </cell>
        </row>
        <row r="930">
          <cell r="J930" t="str">
            <v>Bergen</v>
          </cell>
        </row>
        <row r="931">
          <cell r="J931" t="str">
            <v>Bergen</v>
          </cell>
        </row>
        <row r="932">
          <cell r="J932" t="str">
            <v>Bergen</v>
          </cell>
        </row>
        <row r="933">
          <cell r="J933" t="str">
            <v>Bergen</v>
          </cell>
        </row>
        <row r="934">
          <cell r="J934" t="str">
            <v>Passaic</v>
          </cell>
        </row>
        <row r="935">
          <cell r="J935" t="str">
            <v>Bergen</v>
          </cell>
        </row>
        <row r="936">
          <cell r="J936" t="str">
            <v>Passaic</v>
          </cell>
        </row>
        <row r="937">
          <cell r="J937" t="str">
            <v>Passaic</v>
          </cell>
        </row>
        <row r="938">
          <cell r="J938" t="str">
            <v>Passaic</v>
          </cell>
        </row>
        <row r="939">
          <cell r="J939" t="str">
            <v>Morris 1</v>
          </cell>
        </row>
        <row r="940">
          <cell r="J940" t="str">
            <v>Bergen</v>
          </cell>
        </row>
        <row r="941">
          <cell r="J941" t="str">
            <v>Bergen</v>
          </cell>
        </row>
        <row r="942">
          <cell r="J942" t="str">
            <v>Morris 3</v>
          </cell>
        </row>
        <row r="943">
          <cell r="J943" t="str">
            <v>Bergen</v>
          </cell>
        </row>
        <row r="944">
          <cell r="J944" t="str">
            <v>Bergen</v>
          </cell>
        </row>
        <row r="945">
          <cell r="J945" t="str">
            <v>Morris 1</v>
          </cell>
        </row>
        <row r="946">
          <cell r="J946" t="str">
            <v>Bergen</v>
          </cell>
        </row>
        <row r="947">
          <cell r="J947" t="str">
            <v>Morris 1</v>
          </cell>
        </row>
        <row r="948">
          <cell r="J948" t="str">
            <v>Bergen</v>
          </cell>
        </row>
        <row r="949">
          <cell r="J949" t="str">
            <v>Sussex</v>
          </cell>
        </row>
        <row r="950">
          <cell r="J950" t="str">
            <v>Bergen</v>
          </cell>
        </row>
        <row r="951">
          <cell r="J951" t="str">
            <v>Bergen</v>
          </cell>
        </row>
        <row r="952">
          <cell r="J952" t="str">
            <v>Bergen</v>
          </cell>
        </row>
        <row r="953">
          <cell r="J953" t="str">
            <v>Bergen</v>
          </cell>
        </row>
        <row r="954">
          <cell r="J954" t="str">
            <v>Bergen</v>
          </cell>
        </row>
        <row r="955">
          <cell r="J955" t="str">
            <v>Bergen</v>
          </cell>
        </row>
        <row r="956">
          <cell r="J956" t="str">
            <v>Bergen</v>
          </cell>
        </row>
        <row r="957">
          <cell r="J957" t="str">
            <v>Passaic</v>
          </cell>
        </row>
        <row r="958">
          <cell r="J958" t="str">
            <v>Bergen</v>
          </cell>
        </row>
        <row r="959">
          <cell r="J959" t="str">
            <v>Passaic</v>
          </cell>
        </row>
        <row r="960">
          <cell r="J960" t="str">
            <v>Bergen</v>
          </cell>
        </row>
        <row r="961">
          <cell r="J961" t="str">
            <v>Bergen</v>
          </cell>
        </row>
        <row r="962">
          <cell r="J962" t="str">
            <v>Bergen</v>
          </cell>
        </row>
        <row r="963">
          <cell r="J963" t="str">
            <v>Bergen</v>
          </cell>
        </row>
        <row r="964">
          <cell r="J964" t="str">
            <v>Bergen</v>
          </cell>
        </row>
        <row r="965">
          <cell r="J965" t="str">
            <v>Passaic</v>
          </cell>
        </row>
        <row r="966">
          <cell r="J966" t="str">
            <v>Bergen</v>
          </cell>
        </row>
        <row r="967">
          <cell r="J967" t="str">
            <v>Bergen</v>
          </cell>
        </row>
        <row r="968">
          <cell r="J968" t="str">
            <v>Bergen</v>
          </cell>
        </row>
        <row r="969">
          <cell r="J969" t="str">
            <v>Morris 1</v>
          </cell>
        </row>
        <row r="970">
          <cell r="J970" t="str">
            <v>Bergen</v>
          </cell>
        </row>
        <row r="971">
          <cell r="J971" t="str">
            <v>Bergen</v>
          </cell>
        </row>
        <row r="972">
          <cell r="J972" t="str">
            <v>Morris 1</v>
          </cell>
        </row>
        <row r="973">
          <cell r="J973" t="str">
            <v>Morris 1</v>
          </cell>
        </row>
        <row r="974">
          <cell r="J974" t="str">
            <v>Passaic</v>
          </cell>
        </row>
        <row r="975">
          <cell r="J975" t="str">
            <v>Bergen</v>
          </cell>
        </row>
        <row r="976">
          <cell r="J976" t="str">
            <v>Passaic</v>
          </cell>
        </row>
        <row r="977">
          <cell r="J977" t="str">
            <v>Sussex</v>
          </cell>
        </row>
        <row r="978">
          <cell r="J978" t="str">
            <v>Bergen</v>
          </cell>
        </row>
        <row r="979">
          <cell r="J979" t="str">
            <v>Bergen</v>
          </cell>
        </row>
        <row r="980">
          <cell r="J980" t="str">
            <v>Passaic</v>
          </cell>
        </row>
        <row r="981">
          <cell r="J981" t="str">
            <v>Bergen</v>
          </cell>
        </row>
        <row r="982">
          <cell r="J982" t="str">
            <v>Bergen</v>
          </cell>
        </row>
        <row r="983">
          <cell r="J983" t="str">
            <v>Passaic</v>
          </cell>
        </row>
        <row r="984">
          <cell r="J984" t="str">
            <v>Passaic</v>
          </cell>
        </row>
        <row r="985">
          <cell r="J985" t="str">
            <v>Bergen</v>
          </cell>
        </row>
        <row r="986">
          <cell r="J986" t="str">
            <v>Bergen</v>
          </cell>
        </row>
        <row r="987">
          <cell r="J987" t="str">
            <v>Morris 3</v>
          </cell>
        </row>
        <row r="988">
          <cell r="J988" t="str">
            <v>Bergen</v>
          </cell>
        </row>
        <row r="989">
          <cell r="J989" t="str">
            <v>Passaic</v>
          </cell>
        </row>
        <row r="990">
          <cell r="J990" t="str">
            <v>Passaic</v>
          </cell>
        </row>
        <row r="991">
          <cell r="J991" t="str">
            <v>Bergen</v>
          </cell>
        </row>
        <row r="992">
          <cell r="J992" t="str">
            <v>Passaic</v>
          </cell>
        </row>
        <row r="993">
          <cell r="J993" t="str">
            <v>Passaic</v>
          </cell>
        </row>
        <row r="994">
          <cell r="J994" t="str">
            <v>Bergen</v>
          </cell>
        </row>
        <row r="995">
          <cell r="J995" t="str">
            <v>Passaic-FF</v>
          </cell>
        </row>
        <row r="996">
          <cell r="J996" t="str">
            <v>Passaic</v>
          </cell>
        </row>
        <row r="997">
          <cell r="J997" t="str">
            <v>Passaic</v>
          </cell>
        </row>
        <row r="998">
          <cell r="J998" t="str">
            <v>Passaic</v>
          </cell>
        </row>
        <row r="999">
          <cell r="J999" t="str">
            <v>Passaic</v>
          </cell>
        </row>
        <row r="1000">
          <cell r="J1000" t="str">
            <v>Passaic</v>
          </cell>
        </row>
        <row r="1001">
          <cell r="J1001" t="str">
            <v>Passaic</v>
          </cell>
        </row>
        <row r="1002">
          <cell r="J1002" t="str">
            <v>Passaic</v>
          </cell>
        </row>
        <row r="1003">
          <cell r="J1003" t="str">
            <v>Passaic</v>
          </cell>
        </row>
        <row r="1004">
          <cell r="J1004" t="str">
            <v>Passaic</v>
          </cell>
        </row>
        <row r="1005">
          <cell r="J1005" t="str">
            <v>Passaic</v>
          </cell>
        </row>
        <row r="1006">
          <cell r="J1006" t="str">
            <v>Passaic</v>
          </cell>
        </row>
        <row r="1007">
          <cell r="J1007" t="str">
            <v>Passaic</v>
          </cell>
        </row>
        <row r="1008">
          <cell r="J1008" t="str">
            <v>Passaic</v>
          </cell>
        </row>
        <row r="1009">
          <cell r="J1009" t="str">
            <v>Passaic</v>
          </cell>
        </row>
        <row r="1010">
          <cell r="J1010" t="str">
            <v>Passaic</v>
          </cell>
        </row>
        <row r="1011">
          <cell r="J1011" t="str">
            <v>Passaic</v>
          </cell>
        </row>
        <row r="1012">
          <cell r="J1012" t="str">
            <v>Passaic</v>
          </cell>
        </row>
        <row r="1013">
          <cell r="J1013" t="str">
            <v>Passaic</v>
          </cell>
        </row>
        <row r="1014">
          <cell r="J1014" t="str">
            <v>Passaic</v>
          </cell>
        </row>
        <row r="1015">
          <cell r="J1015" t="str">
            <v>Passaic</v>
          </cell>
        </row>
        <row r="1016">
          <cell r="J1016" t="str">
            <v>Passaic</v>
          </cell>
        </row>
        <row r="1017">
          <cell r="J1017" t="str">
            <v>Bergen</v>
          </cell>
        </row>
        <row r="1018">
          <cell r="J1018" t="str">
            <v>Bergen</v>
          </cell>
        </row>
        <row r="1019">
          <cell r="J1019" t="str">
            <v>Bergen</v>
          </cell>
        </row>
        <row r="1020">
          <cell r="J1020" t="str">
            <v>Bergen</v>
          </cell>
        </row>
        <row r="1021">
          <cell r="J1021" t="str">
            <v>Bergen</v>
          </cell>
        </row>
        <row r="1022">
          <cell r="J1022" t="str">
            <v>Bergen</v>
          </cell>
        </row>
        <row r="1023">
          <cell r="J1023" t="str">
            <v>Bergen</v>
          </cell>
        </row>
        <row r="1024">
          <cell r="J1024" t="str">
            <v>Bergen</v>
          </cell>
        </row>
        <row r="1025">
          <cell r="J1025" t="str">
            <v>Bergen</v>
          </cell>
        </row>
        <row r="1026">
          <cell r="J1026" t="str">
            <v>Bergen</v>
          </cell>
        </row>
        <row r="1027">
          <cell r="J1027" t="str">
            <v>Bergen</v>
          </cell>
        </row>
        <row r="1028">
          <cell r="J1028" t="str">
            <v>Bergen</v>
          </cell>
        </row>
        <row r="1029">
          <cell r="J1029" t="str">
            <v>Bergen</v>
          </cell>
        </row>
        <row r="1030">
          <cell r="J1030" t="str">
            <v>Bergen</v>
          </cell>
        </row>
        <row r="1031">
          <cell r="J1031" t="str">
            <v>Bergen</v>
          </cell>
        </row>
        <row r="1032">
          <cell r="J1032" t="str">
            <v>Bergen</v>
          </cell>
        </row>
        <row r="1033">
          <cell r="J1033" t="str">
            <v>Bergen</v>
          </cell>
        </row>
        <row r="1034">
          <cell r="J1034" t="str">
            <v>Bergen</v>
          </cell>
        </row>
        <row r="1035">
          <cell r="J1035" t="str">
            <v>Bergen</v>
          </cell>
        </row>
        <row r="1036">
          <cell r="J1036" t="str">
            <v>Bergen</v>
          </cell>
        </row>
        <row r="1037">
          <cell r="J1037" t="str">
            <v>Bergen</v>
          </cell>
        </row>
        <row r="1038">
          <cell r="J1038" t="str">
            <v>Bergen</v>
          </cell>
        </row>
        <row r="1039">
          <cell r="J1039" t="str">
            <v>Bergen</v>
          </cell>
        </row>
        <row r="1040">
          <cell r="J1040" t="str">
            <v>Bergen</v>
          </cell>
        </row>
        <row r="1041">
          <cell r="J1041" t="str">
            <v>Bergen</v>
          </cell>
        </row>
        <row r="1042">
          <cell r="J1042" t="str">
            <v>Bergen</v>
          </cell>
        </row>
        <row r="1043">
          <cell r="J1043" t="str">
            <v>Bergen</v>
          </cell>
        </row>
        <row r="1044">
          <cell r="J1044" t="str">
            <v>Bergen</v>
          </cell>
        </row>
        <row r="1045">
          <cell r="J1045" t="str">
            <v>Bergen</v>
          </cell>
        </row>
        <row r="1046">
          <cell r="J1046" t="str">
            <v>Bergen</v>
          </cell>
        </row>
        <row r="1047">
          <cell r="J1047" t="str">
            <v>Bergen</v>
          </cell>
        </row>
        <row r="1048">
          <cell r="J1048" t="str">
            <v>Bergen</v>
          </cell>
        </row>
        <row r="1049">
          <cell r="J1049" t="str">
            <v>Bergen</v>
          </cell>
        </row>
        <row r="1050">
          <cell r="J1050" t="str">
            <v>Bergen</v>
          </cell>
        </row>
        <row r="1051">
          <cell r="J1051" t="str">
            <v>Bergen</v>
          </cell>
        </row>
        <row r="1052">
          <cell r="J1052" t="str">
            <v>Bergen</v>
          </cell>
        </row>
        <row r="1053">
          <cell r="J1053" t="str">
            <v>Bergen</v>
          </cell>
        </row>
        <row r="1054">
          <cell r="J1054" t="str">
            <v>Bergen</v>
          </cell>
        </row>
        <row r="1055">
          <cell r="J1055" t="str">
            <v>Bergen</v>
          </cell>
        </row>
        <row r="1056">
          <cell r="J1056" t="str">
            <v>Bergen</v>
          </cell>
        </row>
        <row r="1057">
          <cell r="J1057" t="str">
            <v>Bergen</v>
          </cell>
        </row>
        <row r="1058">
          <cell r="J1058" t="str">
            <v>Bergen</v>
          </cell>
        </row>
        <row r="1059">
          <cell r="J1059" t="str">
            <v>Bergen</v>
          </cell>
        </row>
        <row r="1060">
          <cell r="J1060" t="str">
            <v>Bergen</v>
          </cell>
        </row>
        <row r="1061">
          <cell r="J1061" t="str">
            <v>Bergen</v>
          </cell>
        </row>
        <row r="1062">
          <cell r="J1062" t="str">
            <v>Bergen</v>
          </cell>
        </row>
        <row r="1063">
          <cell r="J1063" t="str">
            <v>Sussex</v>
          </cell>
        </row>
        <row r="1064">
          <cell r="J1064" t="str">
            <v>Sussex</v>
          </cell>
        </row>
        <row r="1065">
          <cell r="J1065" t="str">
            <v>Sussex</v>
          </cell>
        </row>
        <row r="1066">
          <cell r="J1066" t="str">
            <v>Sussex</v>
          </cell>
        </row>
        <row r="1067">
          <cell r="J1067" t="str">
            <v>Morris 1</v>
          </cell>
        </row>
        <row r="1068">
          <cell r="J1068" t="str">
            <v>Morris 1</v>
          </cell>
        </row>
        <row r="1069">
          <cell r="J1069" t="str">
            <v>Morris 1</v>
          </cell>
        </row>
        <row r="1070">
          <cell r="J1070" t="str">
            <v>Morris 1</v>
          </cell>
        </row>
        <row r="1071">
          <cell r="J1071" t="str">
            <v>Morris 1</v>
          </cell>
        </row>
        <row r="1072">
          <cell r="J1072" t="str">
            <v>Morris 1</v>
          </cell>
        </row>
        <row r="1073">
          <cell r="J1073" t="str">
            <v>Morris 1</v>
          </cell>
        </row>
        <row r="1074">
          <cell r="J1074" t="str">
            <v>Morris 1</v>
          </cell>
        </row>
        <row r="1075">
          <cell r="J1075" t="str">
            <v>Bergen</v>
          </cell>
        </row>
        <row r="1076">
          <cell r="J1076" t="str">
            <v>Passaic</v>
          </cell>
        </row>
        <row r="1077">
          <cell r="J1077" t="str">
            <v>Bergen</v>
          </cell>
        </row>
        <row r="1078">
          <cell r="J1078" t="str">
            <v>Passaic</v>
          </cell>
        </row>
        <row r="1079">
          <cell r="J1079" t="str">
            <v>Passaic</v>
          </cell>
        </row>
        <row r="1080">
          <cell r="J1080" t="str">
            <v>Passaic</v>
          </cell>
        </row>
        <row r="1081">
          <cell r="J1081" t="str">
            <v>Morris 1</v>
          </cell>
        </row>
        <row r="1082">
          <cell r="J1082" t="str">
            <v>Bergen</v>
          </cell>
        </row>
        <row r="1083">
          <cell r="J1083" t="str">
            <v>Passaic</v>
          </cell>
        </row>
        <row r="1084">
          <cell r="J1084" t="str">
            <v>Passaic</v>
          </cell>
        </row>
        <row r="1085">
          <cell r="J1085" t="str">
            <v>Bergen</v>
          </cell>
        </row>
        <row r="1086">
          <cell r="J1086" t="str">
            <v>Bergen</v>
          </cell>
        </row>
        <row r="1087">
          <cell r="J1087" t="str">
            <v>Passaic</v>
          </cell>
        </row>
        <row r="1088">
          <cell r="J1088" t="str">
            <v>Bergen</v>
          </cell>
        </row>
        <row r="1089">
          <cell r="J1089" t="str">
            <v>Passaic</v>
          </cell>
        </row>
        <row r="1090">
          <cell r="J1090" t="str">
            <v>Passaic</v>
          </cell>
        </row>
        <row r="1091">
          <cell r="J1091" t="str">
            <v>Passaic</v>
          </cell>
        </row>
        <row r="1092">
          <cell r="J1092" t="str">
            <v>Bergen</v>
          </cell>
        </row>
        <row r="1093">
          <cell r="J1093" t="str">
            <v>Bergen</v>
          </cell>
        </row>
        <row r="1094">
          <cell r="J1094" t="str">
            <v>Passaic</v>
          </cell>
        </row>
        <row r="1095">
          <cell r="J1095" t="str">
            <v>Bergen</v>
          </cell>
        </row>
        <row r="1096">
          <cell r="J1096" t="str">
            <v>Passaic</v>
          </cell>
        </row>
        <row r="1097">
          <cell r="J1097" t="str">
            <v>Bergen</v>
          </cell>
        </row>
        <row r="1098">
          <cell r="J1098" t="str">
            <v>Passaic</v>
          </cell>
        </row>
        <row r="1099">
          <cell r="J1099" t="str">
            <v>Passaic</v>
          </cell>
        </row>
        <row r="1100">
          <cell r="J1100" t="str">
            <v>Passaic</v>
          </cell>
        </row>
        <row r="1101">
          <cell r="J1101" t="str">
            <v>Bergen</v>
          </cell>
        </row>
        <row r="1102">
          <cell r="J1102" t="str">
            <v>Passaic</v>
          </cell>
        </row>
        <row r="1103">
          <cell r="J1103" t="str">
            <v>Bergen</v>
          </cell>
        </row>
        <row r="1104">
          <cell r="J1104" t="str">
            <v>Passaic</v>
          </cell>
        </row>
        <row r="1105">
          <cell r="J1105" t="str">
            <v>Passaic</v>
          </cell>
        </row>
        <row r="1106">
          <cell r="J1106" t="str">
            <v>Morris 3</v>
          </cell>
        </row>
        <row r="1107">
          <cell r="J1107" t="str">
            <v>Passaic</v>
          </cell>
        </row>
        <row r="1108">
          <cell r="J1108" t="str">
            <v>Morris 1</v>
          </cell>
        </row>
        <row r="1109">
          <cell r="J1109" t="str">
            <v>Bergen</v>
          </cell>
        </row>
        <row r="1110">
          <cell r="J1110" t="str">
            <v>Passaic</v>
          </cell>
        </row>
        <row r="1111">
          <cell r="J1111" t="str">
            <v>Passaic</v>
          </cell>
        </row>
        <row r="1112">
          <cell r="J1112" t="str">
            <v>Bergen</v>
          </cell>
        </row>
        <row r="1113">
          <cell r="J1113" t="str">
            <v>Passaic</v>
          </cell>
        </row>
        <row r="1114">
          <cell r="J1114" t="str">
            <v>Bergen</v>
          </cell>
        </row>
        <row r="1115">
          <cell r="J1115" t="str">
            <v>Morris 1</v>
          </cell>
        </row>
        <row r="1116">
          <cell r="J1116" t="str">
            <v>Passaic</v>
          </cell>
        </row>
        <row r="1117">
          <cell r="J1117" t="str">
            <v>Passaic</v>
          </cell>
        </row>
        <row r="1118">
          <cell r="J1118" t="str">
            <v>Bergen</v>
          </cell>
        </row>
        <row r="1119">
          <cell r="J1119" t="str">
            <v>Bergen</v>
          </cell>
        </row>
        <row r="1120">
          <cell r="J1120" t="str">
            <v>Bergen</v>
          </cell>
        </row>
        <row r="1121">
          <cell r="J1121" t="str">
            <v>Passaic</v>
          </cell>
        </row>
        <row r="1122">
          <cell r="J1122" t="str">
            <v>Sussex</v>
          </cell>
        </row>
        <row r="1123">
          <cell r="J1123" t="str">
            <v>Bergen</v>
          </cell>
        </row>
        <row r="1124">
          <cell r="J1124" t="str">
            <v>Sussex</v>
          </cell>
        </row>
        <row r="1125">
          <cell r="J1125" t="str">
            <v>Passaic</v>
          </cell>
        </row>
        <row r="1126">
          <cell r="J1126" t="str">
            <v>Sussex</v>
          </cell>
        </row>
        <row r="1127">
          <cell r="J1127" t="str">
            <v>Sussex</v>
          </cell>
        </row>
        <row r="1128">
          <cell r="J1128" t="str">
            <v>Bergen</v>
          </cell>
        </row>
        <row r="1129">
          <cell r="J1129" t="str">
            <v>Bergen</v>
          </cell>
        </row>
        <row r="1130">
          <cell r="J1130" t="str">
            <v>Morris 1</v>
          </cell>
        </row>
        <row r="1131">
          <cell r="J1131" t="str">
            <v>Morris 1</v>
          </cell>
        </row>
        <row r="1132">
          <cell r="J1132" t="str">
            <v>Bergen</v>
          </cell>
        </row>
        <row r="1133">
          <cell r="J1133" t="str">
            <v>Passaic</v>
          </cell>
        </row>
        <row r="1134">
          <cell r="J1134" t="str">
            <v>Bergen</v>
          </cell>
        </row>
        <row r="1135">
          <cell r="J1135" t="str">
            <v>Bergen</v>
          </cell>
        </row>
        <row r="1136">
          <cell r="J1136" t="str">
            <v>Bergen</v>
          </cell>
        </row>
        <row r="1137">
          <cell r="J1137" t="str">
            <v>Passaic</v>
          </cell>
        </row>
        <row r="1138">
          <cell r="J1138" t="str">
            <v>Passaic</v>
          </cell>
        </row>
        <row r="1139">
          <cell r="J1139" t="str">
            <v>Bergen</v>
          </cell>
        </row>
        <row r="1140">
          <cell r="J1140" t="str">
            <v>Sussex</v>
          </cell>
        </row>
        <row r="1141">
          <cell r="J1141" t="str">
            <v>Passaic-FF</v>
          </cell>
        </row>
        <row r="1142">
          <cell r="J1142" t="str">
            <v>Bergen</v>
          </cell>
        </row>
        <row r="1143">
          <cell r="J1143" t="str">
            <v>Bergen</v>
          </cell>
        </row>
        <row r="1144">
          <cell r="J1144" t="str">
            <v>Bergen</v>
          </cell>
        </row>
        <row r="1145">
          <cell r="J1145" t="str">
            <v>Passaic</v>
          </cell>
        </row>
        <row r="1146">
          <cell r="J1146" t="str">
            <v>Bergen</v>
          </cell>
        </row>
        <row r="1147">
          <cell r="J1147" t="str">
            <v>Bergen</v>
          </cell>
        </row>
        <row r="1148">
          <cell r="J1148" t="str">
            <v>Bergen</v>
          </cell>
        </row>
        <row r="1149">
          <cell r="J1149" t="str">
            <v>Bergen</v>
          </cell>
        </row>
        <row r="1150">
          <cell r="J1150" t="str">
            <v>Passaic-FF</v>
          </cell>
        </row>
        <row r="1151">
          <cell r="J1151" t="str">
            <v>Bergen</v>
          </cell>
        </row>
        <row r="1152">
          <cell r="J1152" t="str">
            <v>Bergen</v>
          </cell>
        </row>
        <row r="1153">
          <cell r="J1153" t="str">
            <v>Passaic</v>
          </cell>
        </row>
        <row r="1154">
          <cell r="J1154" t="str">
            <v>Bergen</v>
          </cell>
        </row>
        <row r="1155">
          <cell r="J1155" t="str">
            <v>Sussex</v>
          </cell>
        </row>
        <row r="1156">
          <cell r="J1156" t="str">
            <v>Bergen</v>
          </cell>
        </row>
        <row r="1157">
          <cell r="J1157" t="str">
            <v>Passaic</v>
          </cell>
        </row>
        <row r="1158">
          <cell r="J1158" t="str">
            <v>Passaic</v>
          </cell>
        </row>
        <row r="1159">
          <cell r="J1159" t="str">
            <v>Bergen</v>
          </cell>
        </row>
        <row r="1160">
          <cell r="J1160" t="str">
            <v>Morris 3</v>
          </cell>
        </row>
        <row r="1161">
          <cell r="J1161" t="str">
            <v>Bergen</v>
          </cell>
        </row>
        <row r="1162">
          <cell r="J1162" t="str">
            <v>Sussex</v>
          </cell>
        </row>
        <row r="1163">
          <cell r="J1163" t="str">
            <v>Bergen</v>
          </cell>
        </row>
        <row r="1164">
          <cell r="J1164" t="str">
            <v>Bergen</v>
          </cell>
        </row>
        <row r="1165">
          <cell r="J1165" t="str">
            <v>Morris 1</v>
          </cell>
        </row>
        <row r="1166">
          <cell r="J1166" t="str">
            <v>Passaic</v>
          </cell>
        </row>
        <row r="1167">
          <cell r="J1167" t="str">
            <v>Sussex</v>
          </cell>
        </row>
        <row r="1168">
          <cell r="J1168" t="str">
            <v>Passaic</v>
          </cell>
        </row>
        <row r="1169">
          <cell r="J1169" t="str">
            <v>Passaic</v>
          </cell>
        </row>
        <row r="1170">
          <cell r="J1170" t="str">
            <v>Sussex</v>
          </cell>
        </row>
        <row r="1171">
          <cell r="J1171" t="str">
            <v>Passaic</v>
          </cell>
        </row>
        <row r="1172">
          <cell r="J1172" t="str">
            <v>Bergen</v>
          </cell>
        </row>
        <row r="1173">
          <cell r="J1173" t="str">
            <v>Passaic</v>
          </cell>
        </row>
        <row r="1174">
          <cell r="J1174" t="str">
            <v>Bergen</v>
          </cell>
        </row>
        <row r="1175">
          <cell r="J1175" t="str">
            <v>Bergen</v>
          </cell>
        </row>
        <row r="1176">
          <cell r="J1176" t="str">
            <v>Bergen</v>
          </cell>
        </row>
        <row r="1177">
          <cell r="J1177" t="str">
            <v>Passaic</v>
          </cell>
        </row>
        <row r="1178">
          <cell r="J1178" t="str">
            <v>Morris 3</v>
          </cell>
        </row>
        <row r="1179">
          <cell r="J1179" t="str">
            <v>Bergen</v>
          </cell>
        </row>
        <row r="1180">
          <cell r="J1180" t="str">
            <v>Passaic</v>
          </cell>
        </row>
        <row r="1181">
          <cell r="J1181" t="str">
            <v>Passaic</v>
          </cell>
        </row>
        <row r="1182">
          <cell r="J1182" t="str">
            <v>Passaic</v>
          </cell>
        </row>
        <row r="1183">
          <cell r="J1183" t="str">
            <v>Bergen</v>
          </cell>
        </row>
        <row r="1184">
          <cell r="J1184" t="str">
            <v>Passaic</v>
          </cell>
        </row>
        <row r="1185">
          <cell r="J1185" t="str">
            <v>Passaic</v>
          </cell>
        </row>
        <row r="1186">
          <cell r="J1186" t="str">
            <v>Morris 3</v>
          </cell>
        </row>
        <row r="1187">
          <cell r="J1187" t="str">
            <v>Passaic</v>
          </cell>
        </row>
        <row r="1188">
          <cell r="J1188" t="str">
            <v>Passaic</v>
          </cell>
        </row>
        <row r="1189">
          <cell r="J1189" t="str">
            <v>Passaic</v>
          </cell>
        </row>
        <row r="1190">
          <cell r="J1190" t="str">
            <v>Passaic</v>
          </cell>
        </row>
        <row r="1191">
          <cell r="J1191" t="str">
            <v>Passaic</v>
          </cell>
        </row>
        <row r="1192">
          <cell r="J1192" t="str">
            <v>Bergen</v>
          </cell>
        </row>
        <row r="1193">
          <cell r="J1193" t="str">
            <v>Sussex</v>
          </cell>
        </row>
        <row r="1194">
          <cell r="J1194" t="str">
            <v>Morris 1</v>
          </cell>
        </row>
        <row r="1195">
          <cell r="J1195" t="str">
            <v>Passaic</v>
          </cell>
        </row>
        <row r="1196">
          <cell r="J1196" t="str">
            <v>Passaic</v>
          </cell>
        </row>
        <row r="1197">
          <cell r="J1197" t="str">
            <v>Passaic</v>
          </cell>
        </row>
        <row r="1198">
          <cell r="J1198" t="str">
            <v>Bergen</v>
          </cell>
        </row>
        <row r="1199">
          <cell r="J1199" t="str">
            <v>Bergen</v>
          </cell>
        </row>
        <row r="1200">
          <cell r="J1200" t="str">
            <v>Passaic</v>
          </cell>
        </row>
        <row r="1201">
          <cell r="J1201" t="str">
            <v>Passaic-FF</v>
          </cell>
        </row>
        <row r="1202">
          <cell r="J1202" t="str">
            <v>Passaic</v>
          </cell>
        </row>
        <row r="1203">
          <cell r="J1203" t="str">
            <v>Bergen</v>
          </cell>
        </row>
        <row r="1204">
          <cell r="J1204" t="str">
            <v>Passaic</v>
          </cell>
        </row>
        <row r="1205">
          <cell r="J1205" t="str">
            <v>Passaic</v>
          </cell>
        </row>
        <row r="1206">
          <cell r="J1206" t="str">
            <v>Passaic</v>
          </cell>
        </row>
        <row r="1207">
          <cell r="J1207" t="str">
            <v>Bergen</v>
          </cell>
        </row>
        <row r="1208">
          <cell r="J1208" t="str">
            <v>Bergen</v>
          </cell>
        </row>
        <row r="1209">
          <cell r="J1209" t="str">
            <v>Passaic</v>
          </cell>
        </row>
        <row r="1210">
          <cell r="J1210" t="str">
            <v>Bergen</v>
          </cell>
        </row>
        <row r="1211">
          <cell r="J1211" t="str">
            <v>Bergen</v>
          </cell>
        </row>
        <row r="1212">
          <cell r="J1212" t="str">
            <v>Bergen</v>
          </cell>
        </row>
        <row r="1213">
          <cell r="J1213" t="str">
            <v>Passaic</v>
          </cell>
        </row>
        <row r="1214">
          <cell r="J1214" t="str">
            <v>Bergen</v>
          </cell>
        </row>
        <row r="1215">
          <cell r="J1215" t="str">
            <v>Bergen</v>
          </cell>
        </row>
        <row r="1216">
          <cell r="J1216" t="str">
            <v>Bergen</v>
          </cell>
        </row>
        <row r="1217">
          <cell r="J1217" t="str">
            <v>Bergen</v>
          </cell>
        </row>
        <row r="1218">
          <cell r="J1218" t="str">
            <v>Passaic</v>
          </cell>
        </row>
        <row r="1219">
          <cell r="J1219" t="str">
            <v>Morris 3</v>
          </cell>
        </row>
        <row r="1220">
          <cell r="J1220" t="str">
            <v>Sussex</v>
          </cell>
        </row>
        <row r="1221">
          <cell r="J1221" t="str">
            <v>Bergen</v>
          </cell>
        </row>
        <row r="1222">
          <cell r="J1222" t="str">
            <v>Bergen</v>
          </cell>
        </row>
        <row r="1223">
          <cell r="J1223" t="str">
            <v>Bergen</v>
          </cell>
        </row>
        <row r="1224">
          <cell r="J1224" t="str">
            <v>Passaic</v>
          </cell>
        </row>
        <row r="1225">
          <cell r="J1225" t="str">
            <v>Passaic</v>
          </cell>
        </row>
        <row r="1226">
          <cell r="J1226" t="str">
            <v>Bergen</v>
          </cell>
        </row>
        <row r="1227">
          <cell r="J1227" t="str">
            <v>Passaic</v>
          </cell>
        </row>
        <row r="1228">
          <cell r="J1228" t="str">
            <v>Passaic</v>
          </cell>
        </row>
        <row r="1229">
          <cell r="J1229" t="str">
            <v>Sussex</v>
          </cell>
        </row>
        <row r="1230">
          <cell r="J1230" t="str">
            <v>Morris 1</v>
          </cell>
        </row>
        <row r="1231">
          <cell r="J1231" t="str">
            <v>Passaic</v>
          </cell>
        </row>
        <row r="1232">
          <cell r="J1232" t="str">
            <v>Passaic</v>
          </cell>
        </row>
        <row r="1233">
          <cell r="J1233" t="str">
            <v>Passaic</v>
          </cell>
        </row>
        <row r="1234">
          <cell r="J1234" t="str">
            <v>Morris 1</v>
          </cell>
        </row>
        <row r="1235">
          <cell r="J1235" t="str">
            <v>Passaic</v>
          </cell>
        </row>
        <row r="1236">
          <cell r="J1236" t="str">
            <v>Morris 1</v>
          </cell>
        </row>
        <row r="1237">
          <cell r="J1237" t="str">
            <v>Passaic-FF</v>
          </cell>
        </row>
        <row r="1238">
          <cell r="J1238" t="str">
            <v>Morris 1</v>
          </cell>
        </row>
        <row r="1239">
          <cell r="J1239" t="str">
            <v>Passaic</v>
          </cell>
        </row>
        <row r="1240">
          <cell r="J1240" t="str">
            <v>Passaic</v>
          </cell>
        </row>
        <row r="1241">
          <cell r="J1241" t="str">
            <v>Passaic</v>
          </cell>
        </row>
        <row r="1242">
          <cell r="J1242" t="str">
            <v>Bergen</v>
          </cell>
        </row>
        <row r="1243">
          <cell r="J1243" t="str">
            <v>Passaic-FF</v>
          </cell>
        </row>
        <row r="1244">
          <cell r="J1244" t="str">
            <v>Bergen</v>
          </cell>
        </row>
        <row r="1245">
          <cell r="J1245" t="str">
            <v>Bergen</v>
          </cell>
        </row>
        <row r="1246">
          <cell r="J1246" t="str">
            <v>Morris 1</v>
          </cell>
        </row>
        <row r="1247">
          <cell r="J1247" t="str">
            <v>Passaic</v>
          </cell>
        </row>
        <row r="1248">
          <cell r="J1248" t="str">
            <v>Passaic</v>
          </cell>
        </row>
        <row r="1249">
          <cell r="J1249" t="str">
            <v>Passaic</v>
          </cell>
        </row>
        <row r="1250">
          <cell r="J1250" t="str">
            <v>Sussex</v>
          </cell>
        </row>
        <row r="1251">
          <cell r="J1251" t="str">
            <v>Passaic</v>
          </cell>
        </row>
        <row r="1252">
          <cell r="J1252" t="str">
            <v>Passaic</v>
          </cell>
        </row>
        <row r="1253">
          <cell r="J1253" t="str">
            <v>Sussex</v>
          </cell>
        </row>
        <row r="1254">
          <cell r="J1254" t="str">
            <v>Sussex</v>
          </cell>
        </row>
        <row r="1255">
          <cell r="J1255" t="str">
            <v>Passaic</v>
          </cell>
        </row>
        <row r="1256">
          <cell r="J1256" t="str">
            <v>Bergen</v>
          </cell>
        </row>
        <row r="1257">
          <cell r="J1257" t="str">
            <v>Passaic</v>
          </cell>
        </row>
        <row r="1258">
          <cell r="J1258" t="str">
            <v>Bergen</v>
          </cell>
        </row>
        <row r="1259">
          <cell r="J1259" t="str">
            <v>Passaic</v>
          </cell>
        </row>
        <row r="1260">
          <cell r="J1260" t="str">
            <v>Bergen</v>
          </cell>
        </row>
        <row r="1261">
          <cell r="J1261" t="str">
            <v>Bergen</v>
          </cell>
        </row>
        <row r="1262">
          <cell r="J1262" t="str">
            <v>Bergen</v>
          </cell>
        </row>
        <row r="1263">
          <cell r="J1263" t="str">
            <v>Bergen</v>
          </cell>
        </row>
        <row r="1264">
          <cell r="J1264" t="str">
            <v>Bergen</v>
          </cell>
        </row>
        <row r="1265">
          <cell r="J1265" t="str">
            <v>Morris 3</v>
          </cell>
        </row>
        <row r="1266">
          <cell r="J1266" t="str">
            <v>Bergen</v>
          </cell>
        </row>
        <row r="1267">
          <cell r="J1267" t="str">
            <v>Bergen</v>
          </cell>
        </row>
        <row r="1268">
          <cell r="J1268" t="str">
            <v>Passaic</v>
          </cell>
        </row>
        <row r="1269">
          <cell r="J1269" t="str">
            <v>Passaic</v>
          </cell>
        </row>
        <row r="1270">
          <cell r="J1270" t="str">
            <v>Morris 1</v>
          </cell>
        </row>
        <row r="1271">
          <cell r="J1271" t="str">
            <v>Passaic</v>
          </cell>
        </row>
        <row r="1272">
          <cell r="J1272" t="str">
            <v>Passaic</v>
          </cell>
        </row>
        <row r="1273">
          <cell r="J1273" t="str">
            <v>Passaic</v>
          </cell>
        </row>
        <row r="1274">
          <cell r="J1274" t="str">
            <v>Bergen</v>
          </cell>
        </row>
        <row r="1275">
          <cell r="J1275" t="str">
            <v>Passaic</v>
          </cell>
        </row>
        <row r="1276">
          <cell r="J1276" t="str">
            <v>Passaic</v>
          </cell>
        </row>
        <row r="1277">
          <cell r="J1277" t="str">
            <v>Bergen</v>
          </cell>
        </row>
        <row r="1278">
          <cell r="J1278" t="str">
            <v>Bergen</v>
          </cell>
        </row>
        <row r="1279">
          <cell r="J1279" t="str">
            <v>Bergen</v>
          </cell>
        </row>
        <row r="1280">
          <cell r="J1280" t="str">
            <v>Sussex</v>
          </cell>
        </row>
        <row r="1281">
          <cell r="J1281" t="str">
            <v>Passaic</v>
          </cell>
        </row>
        <row r="1282">
          <cell r="J1282" t="str">
            <v>Bergen</v>
          </cell>
        </row>
        <row r="1283">
          <cell r="J1283" t="str">
            <v>Bergen</v>
          </cell>
        </row>
        <row r="1284">
          <cell r="J1284" t="str">
            <v>Passaic</v>
          </cell>
        </row>
        <row r="1285">
          <cell r="J1285" t="str">
            <v>Passaic</v>
          </cell>
        </row>
        <row r="1286">
          <cell r="J1286" t="str">
            <v>Passaic</v>
          </cell>
        </row>
        <row r="1287">
          <cell r="J1287" t="str">
            <v>Sussex</v>
          </cell>
        </row>
        <row r="1288">
          <cell r="J1288" t="str">
            <v>Morris 1</v>
          </cell>
        </row>
        <row r="1289">
          <cell r="J1289" t="str">
            <v>Bergen</v>
          </cell>
        </row>
        <row r="1290">
          <cell r="J1290" t="str">
            <v>Passaic</v>
          </cell>
        </row>
        <row r="1291">
          <cell r="J1291" t="str">
            <v>Passaic</v>
          </cell>
        </row>
        <row r="1292">
          <cell r="J1292" t="str">
            <v>Passaic</v>
          </cell>
        </row>
        <row r="1293">
          <cell r="J1293" t="str">
            <v>Passaic</v>
          </cell>
        </row>
        <row r="1294">
          <cell r="J1294" t="str">
            <v>Bergen</v>
          </cell>
        </row>
        <row r="1295">
          <cell r="J1295" t="str">
            <v>Bergen</v>
          </cell>
        </row>
        <row r="1296">
          <cell r="J1296" t="str">
            <v>Bergen</v>
          </cell>
        </row>
        <row r="1297">
          <cell r="J1297" t="str">
            <v>Passaic</v>
          </cell>
        </row>
        <row r="1298">
          <cell r="J1298" t="str">
            <v>Passaic</v>
          </cell>
        </row>
        <row r="1299">
          <cell r="J1299" t="str">
            <v>Passaic</v>
          </cell>
        </row>
        <row r="1300">
          <cell r="J1300" t="str">
            <v>Passaic</v>
          </cell>
        </row>
        <row r="1301">
          <cell r="J1301" t="str">
            <v>Bergen</v>
          </cell>
        </row>
        <row r="1302">
          <cell r="J1302" t="str">
            <v>Morris 3</v>
          </cell>
        </row>
        <row r="1303">
          <cell r="J1303" t="str">
            <v>Passaic</v>
          </cell>
        </row>
        <row r="1304">
          <cell r="J1304" t="str">
            <v>Passaic</v>
          </cell>
        </row>
        <row r="1305">
          <cell r="J1305" t="str">
            <v>Morris 1</v>
          </cell>
        </row>
        <row r="1306">
          <cell r="J1306" t="str">
            <v>Bergen</v>
          </cell>
        </row>
        <row r="1307">
          <cell r="J1307" t="str">
            <v>Bergen</v>
          </cell>
        </row>
        <row r="1308">
          <cell r="J1308" t="str">
            <v>Bergen</v>
          </cell>
        </row>
        <row r="1309">
          <cell r="J1309" t="str">
            <v>Passaic-FF</v>
          </cell>
        </row>
        <row r="1310">
          <cell r="J1310" t="str">
            <v>Passaic</v>
          </cell>
        </row>
        <row r="1311">
          <cell r="J1311" t="str">
            <v>Morris 1</v>
          </cell>
        </row>
        <row r="1312">
          <cell r="J1312" t="str">
            <v>Passaic</v>
          </cell>
        </row>
        <row r="1313">
          <cell r="J1313" t="str">
            <v>Bergen</v>
          </cell>
        </row>
        <row r="1314">
          <cell r="J1314" t="str">
            <v>Bergen</v>
          </cell>
        </row>
        <row r="1315">
          <cell r="J1315" t="str">
            <v>Passaic</v>
          </cell>
        </row>
        <row r="1316">
          <cell r="J1316" t="str">
            <v>Passaic</v>
          </cell>
        </row>
        <row r="1317">
          <cell r="J1317" t="str">
            <v>Passaic</v>
          </cell>
        </row>
        <row r="1318">
          <cell r="J1318" t="str">
            <v>Passaic</v>
          </cell>
        </row>
        <row r="1319">
          <cell r="J1319" t="str">
            <v>Bergen</v>
          </cell>
        </row>
        <row r="1320">
          <cell r="J1320" t="str">
            <v>Bergen</v>
          </cell>
        </row>
        <row r="1321">
          <cell r="J1321" t="str">
            <v>Morris 3</v>
          </cell>
        </row>
        <row r="1322">
          <cell r="J1322" t="str">
            <v>Bergen</v>
          </cell>
        </row>
        <row r="1323">
          <cell r="J1323" t="str">
            <v>Sussex</v>
          </cell>
        </row>
        <row r="1324">
          <cell r="J1324" t="str">
            <v>Bergen</v>
          </cell>
        </row>
        <row r="1325">
          <cell r="J1325" t="str">
            <v>Morris 1</v>
          </cell>
        </row>
        <row r="1326">
          <cell r="J1326" t="str">
            <v>Bergen</v>
          </cell>
        </row>
        <row r="1327">
          <cell r="J1327" t="str">
            <v>Passaic</v>
          </cell>
        </row>
        <row r="1328">
          <cell r="J1328" t="str">
            <v>Passaic-FF</v>
          </cell>
        </row>
        <row r="1329">
          <cell r="J1329" t="str">
            <v>Morris 1</v>
          </cell>
        </row>
        <row r="1330">
          <cell r="J1330" t="str">
            <v>Morris 1</v>
          </cell>
        </row>
        <row r="1331">
          <cell r="J1331" t="str">
            <v>Passaic</v>
          </cell>
        </row>
        <row r="1332">
          <cell r="J1332" t="str">
            <v>Passaic</v>
          </cell>
        </row>
        <row r="1333">
          <cell r="J1333" t="str">
            <v>Morris 3</v>
          </cell>
        </row>
        <row r="1334">
          <cell r="J1334" t="str">
            <v>Bergen</v>
          </cell>
        </row>
        <row r="1335">
          <cell r="J1335" t="str">
            <v>Passaic</v>
          </cell>
        </row>
        <row r="1336">
          <cell r="J1336" t="str">
            <v>Bergen</v>
          </cell>
        </row>
        <row r="1337">
          <cell r="J1337" t="str">
            <v>Bergen</v>
          </cell>
        </row>
        <row r="1338">
          <cell r="J1338" t="str">
            <v>Bergen</v>
          </cell>
        </row>
        <row r="1339">
          <cell r="J1339" t="str">
            <v>Bergen</v>
          </cell>
        </row>
        <row r="1340">
          <cell r="J1340" t="str">
            <v>Bergen</v>
          </cell>
        </row>
        <row r="1341">
          <cell r="J1341" t="str">
            <v>Bergen</v>
          </cell>
        </row>
        <row r="1342">
          <cell r="J1342" t="str">
            <v>Passaic</v>
          </cell>
        </row>
        <row r="1343">
          <cell r="J1343" t="str">
            <v>Bergen</v>
          </cell>
        </row>
        <row r="1344">
          <cell r="J1344" t="str">
            <v>Passaic</v>
          </cell>
        </row>
        <row r="1345">
          <cell r="J1345" t="str">
            <v>Bergen</v>
          </cell>
        </row>
        <row r="1346">
          <cell r="J1346" t="str">
            <v>Bergen</v>
          </cell>
        </row>
        <row r="1347">
          <cell r="J1347" t="str">
            <v>Morris 1</v>
          </cell>
        </row>
        <row r="1348">
          <cell r="J1348" t="str">
            <v>Sussex</v>
          </cell>
        </row>
        <row r="1349">
          <cell r="J1349" t="str">
            <v>Bergen</v>
          </cell>
        </row>
        <row r="1350">
          <cell r="J1350" t="str">
            <v>Bergen</v>
          </cell>
        </row>
        <row r="1351">
          <cell r="J1351" t="str">
            <v>Bergen</v>
          </cell>
        </row>
        <row r="1352">
          <cell r="J1352" t="str">
            <v>Sussex</v>
          </cell>
        </row>
        <row r="1353">
          <cell r="J1353" t="str">
            <v>Bergen</v>
          </cell>
        </row>
        <row r="1354">
          <cell r="J1354" t="str">
            <v>Morris 3</v>
          </cell>
        </row>
        <row r="1355">
          <cell r="J1355" t="str">
            <v>Bergen</v>
          </cell>
        </row>
        <row r="1356">
          <cell r="J1356" t="str">
            <v>Morris 1</v>
          </cell>
        </row>
        <row r="1357">
          <cell r="J1357" t="str">
            <v>Passaic</v>
          </cell>
        </row>
        <row r="1358">
          <cell r="J1358" t="str">
            <v>Bergen</v>
          </cell>
        </row>
        <row r="1359">
          <cell r="J1359" t="str">
            <v>Bergen</v>
          </cell>
        </row>
        <row r="1360">
          <cell r="J1360" t="str">
            <v>Bergen</v>
          </cell>
        </row>
        <row r="1361">
          <cell r="J1361" t="str">
            <v>Passaic</v>
          </cell>
        </row>
        <row r="1362">
          <cell r="J1362" t="str">
            <v>Morris 1</v>
          </cell>
        </row>
        <row r="1363">
          <cell r="J1363" t="str">
            <v>Passaic-FF</v>
          </cell>
        </row>
        <row r="1364">
          <cell r="J1364" t="str">
            <v>Passaic</v>
          </cell>
        </row>
        <row r="1365">
          <cell r="J1365" t="str">
            <v>Passaic</v>
          </cell>
        </row>
        <row r="1366">
          <cell r="J1366" t="str">
            <v>Bergen</v>
          </cell>
        </row>
        <row r="1367">
          <cell r="J1367" t="str">
            <v>Bergen</v>
          </cell>
        </row>
        <row r="1368">
          <cell r="J1368" t="str">
            <v>Bergen</v>
          </cell>
        </row>
        <row r="1369">
          <cell r="J1369" t="str">
            <v>Bergen</v>
          </cell>
        </row>
        <row r="1370">
          <cell r="J1370" t="str">
            <v>Passaic</v>
          </cell>
        </row>
        <row r="1371">
          <cell r="J1371" t="str">
            <v>Bergen</v>
          </cell>
        </row>
        <row r="1372">
          <cell r="J1372" t="str">
            <v>Passaic</v>
          </cell>
        </row>
        <row r="1373">
          <cell r="J1373" t="str">
            <v>Bergen</v>
          </cell>
        </row>
        <row r="1374">
          <cell r="J1374" t="str">
            <v>Bergen</v>
          </cell>
        </row>
        <row r="1375">
          <cell r="J1375" t="str">
            <v>Passaic</v>
          </cell>
        </row>
        <row r="1376">
          <cell r="J1376" t="str">
            <v>Bergen</v>
          </cell>
        </row>
        <row r="1377">
          <cell r="J1377" t="str">
            <v>Passaic</v>
          </cell>
        </row>
        <row r="1378">
          <cell r="J1378" t="str">
            <v>Sussex</v>
          </cell>
        </row>
        <row r="1379">
          <cell r="J1379" t="str">
            <v>Passaic-FF</v>
          </cell>
        </row>
        <row r="1380">
          <cell r="J1380" t="str">
            <v>Bergen</v>
          </cell>
        </row>
        <row r="1381">
          <cell r="J1381" t="str">
            <v>Bergen</v>
          </cell>
        </row>
        <row r="1382">
          <cell r="J1382" t="str">
            <v>Bergen</v>
          </cell>
        </row>
        <row r="1383">
          <cell r="J1383" t="str">
            <v>Sussex</v>
          </cell>
        </row>
        <row r="1384">
          <cell r="J1384" t="str">
            <v>Bergen</v>
          </cell>
        </row>
        <row r="1385">
          <cell r="J1385" t="str">
            <v>Bergen</v>
          </cell>
        </row>
        <row r="1386">
          <cell r="J1386" t="str">
            <v>Sussex</v>
          </cell>
        </row>
        <row r="1387">
          <cell r="J1387" t="str">
            <v>Passaic</v>
          </cell>
        </row>
        <row r="1388">
          <cell r="J1388" t="str">
            <v>Morris 1</v>
          </cell>
        </row>
        <row r="1389">
          <cell r="J1389" t="str">
            <v>Sussex</v>
          </cell>
        </row>
        <row r="1390">
          <cell r="J1390" t="str">
            <v>Bergen</v>
          </cell>
        </row>
        <row r="1391">
          <cell r="J1391" t="str">
            <v>Passaic</v>
          </cell>
        </row>
        <row r="1392">
          <cell r="J1392" t="str">
            <v>Passaic</v>
          </cell>
        </row>
        <row r="1393">
          <cell r="J1393" t="str">
            <v>Passaic</v>
          </cell>
        </row>
        <row r="1394">
          <cell r="J1394" t="str">
            <v>Sussex</v>
          </cell>
        </row>
        <row r="1395">
          <cell r="J1395" t="str">
            <v>Morris 1</v>
          </cell>
        </row>
        <row r="1396">
          <cell r="J1396" t="str">
            <v>Bergen</v>
          </cell>
        </row>
        <row r="1397">
          <cell r="J1397" t="str">
            <v>Bergen</v>
          </cell>
        </row>
        <row r="1398">
          <cell r="J1398" t="str">
            <v>Sussex</v>
          </cell>
        </row>
        <row r="1399">
          <cell r="J1399" t="str">
            <v>Sussex</v>
          </cell>
        </row>
        <row r="1400">
          <cell r="J1400" t="str">
            <v>Bergen</v>
          </cell>
        </row>
        <row r="1401">
          <cell r="J1401" t="str">
            <v>Passaic</v>
          </cell>
        </row>
        <row r="1402">
          <cell r="J1402" t="str">
            <v>Sussex</v>
          </cell>
        </row>
        <row r="1403">
          <cell r="J1403" t="str">
            <v>Bergen</v>
          </cell>
        </row>
        <row r="1404">
          <cell r="J1404" t="str">
            <v>Bergen</v>
          </cell>
        </row>
        <row r="1405">
          <cell r="J1405" t="str">
            <v>Passaic</v>
          </cell>
        </row>
        <row r="1406">
          <cell r="J1406" t="str">
            <v>Bergen</v>
          </cell>
        </row>
        <row r="1407">
          <cell r="J1407" t="str">
            <v>Bergen</v>
          </cell>
        </row>
        <row r="1408">
          <cell r="J1408" t="str">
            <v>Bergen</v>
          </cell>
        </row>
        <row r="1409">
          <cell r="J1409" t="str">
            <v>Bergen</v>
          </cell>
        </row>
        <row r="1410">
          <cell r="J1410" t="str">
            <v>Bergen</v>
          </cell>
        </row>
        <row r="1411">
          <cell r="J1411" t="str">
            <v>Bergen</v>
          </cell>
        </row>
        <row r="1412">
          <cell r="J1412" t="str">
            <v>Bergen</v>
          </cell>
        </row>
        <row r="1413">
          <cell r="J1413" t="str">
            <v>Bergen</v>
          </cell>
        </row>
        <row r="1414">
          <cell r="J1414" t="str">
            <v>Sussex</v>
          </cell>
        </row>
        <row r="1415">
          <cell r="J1415" t="str">
            <v>Passaic</v>
          </cell>
        </row>
        <row r="1416">
          <cell r="J1416" t="str">
            <v>Passaic-FF</v>
          </cell>
        </row>
        <row r="1417">
          <cell r="J1417" t="str">
            <v>Bergen</v>
          </cell>
        </row>
        <row r="1418">
          <cell r="J1418" t="str">
            <v>Passaic</v>
          </cell>
        </row>
        <row r="1419">
          <cell r="J1419" t="str">
            <v>Bergen</v>
          </cell>
        </row>
        <row r="1420">
          <cell r="J1420" t="str">
            <v>Bergen</v>
          </cell>
        </row>
        <row r="1421">
          <cell r="J1421" t="str">
            <v>Passaic</v>
          </cell>
        </row>
        <row r="1422">
          <cell r="J1422" t="str">
            <v>Bergen</v>
          </cell>
        </row>
        <row r="1423">
          <cell r="J1423" t="str">
            <v>Bergen</v>
          </cell>
        </row>
        <row r="1424">
          <cell r="J1424" t="str">
            <v>Bergen</v>
          </cell>
        </row>
        <row r="1425">
          <cell r="J1425" t="str">
            <v>Bergen</v>
          </cell>
        </row>
        <row r="1426">
          <cell r="J1426" t="str">
            <v>Bergen</v>
          </cell>
        </row>
        <row r="1427">
          <cell r="J1427" t="str">
            <v>Bergen</v>
          </cell>
        </row>
        <row r="1428">
          <cell r="J1428" t="str">
            <v>Bergen</v>
          </cell>
        </row>
        <row r="1429">
          <cell r="J1429" t="str">
            <v>Bergen</v>
          </cell>
        </row>
        <row r="1430">
          <cell r="J1430" t="str">
            <v>Bergen</v>
          </cell>
        </row>
        <row r="1431">
          <cell r="J1431" t="str">
            <v>Bergen</v>
          </cell>
        </row>
        <row r="1432">
          <cell r="J1432" t="str">
            <v>Bergen</v>
          </cell>
        </row>
        <row r="1433">
          <cell r="J1433" t="str">
            <v>Bergen</v>
          </cell>
        </row>
        <row r="1434">
          <cell r="J1434" t="str">
            <v>Passaic</v>
          </cell>
        </row>
        <row r="1435">
          <cell r="J1435" t="str">
            <v>Bergen</v>
          </cell>
        </row>
        <row r="1436">
          <cell r="J1436" t="str">
            <v>Bergen</v>
          </cell>
        </row>
        <row r="1437">
          <cell r="J1437" t="str">
            <v>Bergen</v>
          </cell>
        </row>
        <row r="1438">
          <cell r="J1438" t="str">
            <v>Sussex</v>
          </cell>
        </row>
        <row r="1439">
          <cell r="J1439" t="str">
            <v>Bergen</v>
          </cell>
        </row>
        <row r="1440">
          <cell r="J1440" t="str">
            <v>Passaic</v>
          </cell>
        </row>
        <row r="1441">
          <cell r="J1441" t="str">
            <v>Bergen</v>
          </cell>
        </row>
        <row r="1442">
          <cell r="J1442" t="str">
            <v>Bergen</v>
          </cell>
        </row>
        <row r="1443">
          <cell r="J1443" t="str">
            <v>Passaic-FF</v>
          </cell>
        </row>
        <row r="1444">
          <cell r="J1444" t="str">
            <v>Bergen</v>
          </cell>
        </row>
        <row r="1445">
          <cell r="J1445" t="str">
            <v>Bergen</v>
          </cell>
        </row>
        <row r="1446">
          <cell r="J1446" t="str">
            <v>Bergen</v>
          </cell>
        </row>
        <row r="1447">
          <cell r="J1447" t="str">
            <v>Bergen</v>
          </cell>
        </row>
        <row r="1448">
          <cell r="J1448" t="str">
            <v>Bergen</v>
          </cell>
        </row>
        <row r="1449">
          <cell r="J1449" t="str">
            <v>Passaic</v>
          </cell>
        </row>
        <row r="1450">
          <cell r="J1450" t="str">
            <v>Bergen</v>
          </cell>
        </row>
        <row r="1451">
          <cell r="J1451" t="str">
            <v>Bergen</v>
          </cell>
        </row>
        <row r="1452">
          <cell r="J1452" t="str">
            <v>Bergen</v>
          </cell>
        </row>
        <row r="1453">
          <cell r="J1453" t="str">
            <v>Bergen</v>
          </cell>
        </row>
        <row r="1454">
          <cell r="J1454" t="str">
            <v>Bergen</v>
          </cell>
        </row>
        <row r="1455">
          <cell r="J1455" t="str">
            <v>Bergen</v>
          </cell>
        </row>
        <row r="1456">
          <cell r="J1456" t="str">
            <v>Bergen</v>
          </cell>
        </row>
        <row r="1457">
          <cell r="J1457" t="str">
            <v>Bergen</v>
          </cell>
        </row>
        <row r="1458">
          <cell r="J1458" t="str">
            <v>Bergen</v>
          </cell>
        </row>
        <row r="1459">
          <cell r="J1459" t="str">
            <v>Passaic</v>
          </cell>
        </row>
        <row r="1460">
          <cell r="J1460" t="str">
            <v>Bergen</v>
          </cell>
        </row>
        <row r="1461">
          <cell r="J1461" t="str">
            <v>Passaic</v>
          </cell>
        </row>
        <row r="1462">
          <cell r="J1462" t="str">
            <v>Passaic</v>
          </cell>
        </row>
        <row r="1463">
          <cell r="J1463" t="str">
            <v>Bergen</v>
          </cell>
        </row>
        <row r="1464">
          <cell r="J1464" t="str">
            <v>Bergen</v>
          </cell>
        </row>
        <row r="1465">
          <cell r="J1465" t="str">
            <v>Passaic</v>
          </cell>
        </row>
        <row r="1466">
          <cell r="J1466" t="str">
            <v>Passaic</v>
          </cell>
        </row>
        <row r="1467">
          <cell r="J1467" t="str">
            <v>Bergen</v>
          </cell>
        </row>
        <row r="1468">
          <cell r="J1468" t="str">
            <v>Bergen</v>
          </cell>
        </row>
        <row r="1469">
          <cell r="J1469" t="str">
            <v>Bergen</v>
          </cell>
        </row>
        <row r="1470">
          <cell r="J1470" t="str">
            <v>Bergen</v>
          </cell>
        </row>
        <row r="1471">
          <cell r="J1471" t="str">
            <v>Passaic</v>
          </cell>
        </row>
        <row r="1472">
          <cell r="J1472" t="str">
            <v>Bergen</v>
          </cell>
        </row>
        <row r="1473">
          <cell r="J1473" t="str">
            <v>Passaic</v>
          </cell>
        </row>
        <row r="1474">
          <cell r="J1474" t="str">
            <v>Bergen</v>
          </cell>
        </row>
        <row r="1475">
          <cell r="J1475" t="str">
            <v>Bergen</v>
          </cell>
        </row>
        <row r="1476">
          <cell r="J1476" t="str">
            <v>Sussex</v>
          </cell>
        </row>
        <row r="1477">
          <cell r="J1477" t="str">
            <v>Bergen</v>
          </cell>
        </row>
        <row r="1478">
          <cell r="J1478" t="str">
            <v>Bergen</v>
          </cell>
        </row>
        <row r="1479">
          <cell r="J1479" t="str">
            <v>Bergen</v>
          </cell>
        </row>
        <row r="1480">
          <cell r="J1480" t="str">
            <v>Sussex</v>
          </cell>
        </row>
        <row r="1481">
          <cell r="J1481" t="str">
            <v>Passaic-FF</v>
          </cell>
        </row>
        <row r="1482">
          <cell r="J1482" t="str">
            <v>Sussex</v>
          </cell>
        </row>
        <row r="1483">
          <cell r="J1483" t="str">
            <v>Passaic</v>
          </cell>
        </row>
        <row r="1484">
          <cell r="J1484" t="str">
            <v>Bergen</v>
          </cell>
        </row>
        <row r="1485">
          <cell r="J1485" t="str">
            <v>Sussex</v>
          </cell>
        </row>
        <row r="1486">
          <cell r="J1486" t="str">
            <v>Bergen</v>
          </cell>
        </row>
        <row r="1487">
          <cell r="J1487" t="str">
            <v>Bergen</v>
          </cell>
        </row>
        <row r="1488">
          <cell r="J1488" t="str">
            <v>Bergen</v>
          </cell>
        </row>
        <row r="1489">
          <cell r="J1489" t="str">
            <v>Passaic</v>
          </cell>
        </row>
        <row r="1490">
          <cell r="J1490" t="str">
            <v>Bergen</v>
          </cell>
        </row>
        <row r="1491">
          <cell r="J1491" t="str">
            <v>Sussex</v>
          </cell>
        </row>
        <row r="1492">
          <cell r="J1492" t="str">
            <v>Bergen</v>
          </cell>
        </row>
        <row r="1493">
          <cell r="J1493" t="str">
            <v>Bergen</v>
          </cell>
        </row>
        <row r="1494">
          <cell r="J1494" t="str">
            <v>Bergen</v>
          </cell>
        </row>
        <row r="1495">
          <cell r="J1495" t="str">
            <v>Bergen</v>
          </cell>
        </row>
        <row r="1496">
          <cell r="J1496" t="str">
            <v>Morris 3</v>
          </cell>
        </row>
        <row r="1497">
          <cell r="J1497" t="str">
            <v>Bergen</v>
          </cell>
        </row>
        <row r="1498">
          <cell r="J1498" t="str">
            <v>Bergen</v>
          </cell>
        </row>
        <row r="1499">
          <cell r="J1499" t="str">
            <v>Bergen</v>
          </cell>
        </row>
        <row r="1500">
          <cell r="J1500" t="str">
            <v>Bergen</v>
          </cell>
        </row>
        <row r="1501">
          <cell r="J1501" t="str">
            <v>Bergen</v>
          </cell>
        </row>
        <row r="1502">
          <cell r="J1502" t="str">
            <v>Bergen</v>
          </cell>
        </row>
        <row r="1503">
          <cell r="J1503" t="str">
            <v>Bergen</v>
          </cell>
        </row>
        <row r="1504">
          <cell r="J1504" t="str">
            <v>Bergen</v>
          </cell>
        </row>
        <row r="1505">
          <cell r="J1505" t="str">
            <v>Morris 1</v>
          </cell>
        </row>
        <row r="1506">
          <cell r="J1506" t="str">
            <v>Bergen</v>
          </cell>
        </row>
        <row r="1507">
          <cell r="J1507" t="str">
            <v>Sussex</v>
          </cell>
        </row>
        <row r="1508">
          <cell r="J1508" t="str">
            <v>Bergen</v>
          </cell>
        </row>
        <row r="1509">
          <cell r="J1509" t="str">
            <v>Bergen</v>
          </cell>
        </row>
        <row r="1510">
          <cell r="J1510" t="str">
            <v>Bergen</v>
          </cell>
        </row>
        <row r="1511">
          <cell r="J1511" t="str">
            <v>Bergen</v>
          </cell>
        </row>
        <row r="1512">
          <cell r="J1512" t="str">
            <v>Bergen</v>
          </cell>
        </row>
        <row r="1513">
          <cell r="J1513" t="str">
            <v>Bergen</v>
          </cell>
        </row>
        <row r="1514">
          <cell r="J1514" t="str">
            <v>Bergen</v>
          </cell>
        </row>
        <row r="1515">
          <cell r="J1515" t="str">
            <v>Passaic</v>
          </cell>
        </row>
        <row r="1516">
          <cell r="J1516" t="str">
            <v>Bergen</v>
          </cell>
        </row>
        <row r="1517">
          <cell r="J1517" t="str">
            <v>Passaic</v>
          </cell>
        </row>
        <row r="1518">
          <cell r="J1518" t="str">
            <v>Bergen</v>
          </cell>
        </row>
        <row r="1519">
          <cell r="J1519" t="str">
            <v>Passaic</v>
          </cell>
        </row>
        <row r="1520">
          <cell r="J1520" t="str">
            <v>Bergen</v>
          </cell>
        </row>
        <row r="1521">
          <cell r="J1521" t="str">
            <v>Morris 1</v>
          </cell>
        </row>
        <row r="1522">
          <cell r="J1522" t="str">
            <v>Bergen</v>
          </cell>
        </row>
        <row r="1523">
          <cell r="J1523" t="str">
            <v>Bergen</v>
          </cell>
        </row>
        <row r="1524">
          <cell r="J1524" t="str">
            <v>Passaic</v>
          </cell>
        </row>
        <row r="1525">
          <cell r="J1525" t="str">
            <v>Bergen</v>
          </cell>
        </row>
        <row r="1526">
          <cell r="J1526" t="str">
            <v>Bergen</v>
          </cell>
        </row>
        <row r="1527">
          <cell r="J1527" t="str">
            <v>Bergen</v>
          </cell>
        </row>
        <row r="1528">
          <cell r="J1528" t="str">
            <v>Morris 1</v>
          </cell>
        </row>
        <row r="1529">
          <cell r="J1529" t="str">
            <v>Bergen</v>
          </cell>
        </row>
        <row r="1530">
          <cell r="J1530" t="str">
            <v>Bergen</v>
          </cell>
        </row>
        <row r="1531">
          <cell r="J1531" t="str">
            <v>Bergen</v>
          </cell>
        </row>
        <row r="1532">
          <cell r="J1532" t="str">
            <v>Bergen</v>
          </cell>
        </row>
        <row r="1533">
          <cell r="J1533" t="str">
            <v>Bergen</v>
          </cell>
        </row>
        <row r="1534">
          <cell r="J1534" t="str">
            <v>Passaic</v>
          </cell>
        </row>
        <row r="1535">
          <cell r="J1535" t="str">
            <v>Bergen</v>
          </cell>
        </row>
        <row r="1536">
          <cell r="J1536" t="str">
            <v>Bergen</v>
          </cell>
        </row>
        <row r="1537">
          <cell r="J1537" t="str">
            <v>Passaic</v>
          </cell>
        </row>
        <row r="1538">
          <cell r="J1538" t="str">
            <v>Sussex</v>
          </cell>
        </row>
        <row r="1539">
          <cell r="J1539" t="str">
            <v>Bergen</v>
          </cell>
        </row>
        <row r="1540">
          <cell r="J1540" t="str">
            <v>Bergen</v>
          </cell>
        </row>
        <row r="1541">
          <cell r="J1541" t="str">
            <v>Bergen</v>
          </cell>
        </row>
        <row r="1542">
          <cell r="J1542" t="str">
            <v>Bergen</v>
          </cell>
        </row>
        <row r="1543">
          <cell r="J1543" t="str">
            <v>Bergen</v>
          </cell>
        </row>
        <row r="1544">
          <cell r="J1544" t="str">
            <v>Bergen</v>
          </cell>
        </row>
        <row r="1545">
          <cell r="J1545" t="str">
            <v>Bergen</v>
          </cell>
        </row>
        <row r="1546">
          <cell r="J1546" t="str">
            <v>Passaic</v>
          </cell>
        </row>
        <row r="1547">
          <cell r="J1547" t="str">
            <v>Passaic</v>
          </cell>
        </row>
        <row r="1548">
          <cell r="J1548" t="str">
            <v>Bergen</v>
          </cell>
        </row>
        <row r="1549">
          <cell r="J1549" t="str">
            <v>Bergen</v>
          </cell>
        </row>
        <row r="1550">
          <cell r="J1550" t="str">
            <v>Bergen</v>
          </cell>
        </row>
        <row r="1551">
          <cell r="J1551" t="str">
            <v>Bergen</v>
          </cell>
        </row>
        <row r="1552">
          <cell r="J1552" t="str">
            <v>Bergen</v>
          </cell>
        </row>
        <row r="1553">
          <cell r="J1553" t="str">
            <v>Bergen</v>
          </cell>
        </row>
        <row r="1554">
          <cell r="J1554" t="str">
            <v>Bergen</v>
          </cell>
        </row>
        <row r="1555">
          <cell r="J1555" t="str">
            <v>Passaic</v>
          </cell>
        </row>
        <row r="1556">
          <cell r="J1556" t="str">
            <v>Bergen</v>
          </cell>
        </row>
        <row r="1557">
          <cell r="J1557" t="str">
            <v>Passaic</v>
          </cell>
        </row>
        <row r="1558">
          <cell r="J1558" t="str">
            <v>Bergen</v>
          </cell>
        </row>
        <row r="1559">
          <cell r="J1559" t="str">
            <v>Bergen</v>
          </cell>
        </row>
        <row r="1560">
          <cell r="J1560" t="str">
            <v>Sussex</v>
          </cell>
        </row>
        <row r="1561">
          <cell r="J1561" t="str">
            <v>Bergen</v>
          </cell>
        </row>
        <row r="1562">
          <cell r="J1562" t="str">
            <v>Bergen</v>
          </cell>
        </row>
        <row r="1563">
          <cell r="J1563" t="str">
            <v>Passaic</v>
          </cell>
        </row>
        <row r="1564">
          <cell r="J1564" t="str">
            <v>Passaic</v>
          </cell>
        </row>
        <row r="1565">
          <cell r="J1565" t="str">
            <v>Passaic</v>
          </cell>
        </row>
        <row r="1566">
          <cell r="J1566" t="str">
            <v>Passaic</v>
          </cell>
        </row>
        <row r="1567">
          <cell r="J1567" t="str">
            <v>Passaic</v>
          </cell>
        </row>
        <row r="1568">
          <cell r="J1568" t="str">
            <v>Passaic</v>
          </cell>
        </row>
        <row r="1569">
          <cell r="J1569" t="str">
            <v>Passaic</v>
          </cell>
        </row>
        <row r="1570">
          <cell r="J1570" t="str">
            <v>Bergen</v>
          </cell>
        </row>
        <row r="1571">
          <cell r="J1571" t="str">
            <v>Bergen</v>
          </cell>
        </row>
        <row r="1572">
          <cell r="J1572" t="str">
            <v>Bergen</v>
          </cell>
        </row>
        <row r="1573">
          <cell r="J1573" t="str">
            <v>Bergen</v>
          </cell>
        </row>
        <row r="1574">
          <cell r="J1574" t="str">
            <v>Bergen</v>
          </cell>
        </row>
        <row r="1575">
          <cell r="J1575" t="str">
            <v>Bergen</v>
          </cell>
        </row>
        <row r="1576">
          <cell r="J1576" t="str">
            <v>Bergen</v>
          </cell>
        </row>
        <row r="1577">
          <cell r="J1577" t="str">
            <v>Bergen</v>
          </cell>
        </row>
        <row r="1578">
          <cell r="J1578" t="str">
            <v>Bergen</v>
          </cell>
        </row>
        <row r="1579">
          <cell r="J1579" t="str">
            <v>Bergen</v>
          </cell>
        </row>
        <row r="1580">
          <cell r="J1580" t="str">
            <v>Bergen</v>
          </cell>
        </row>
        <row r="1581">
          <cell r="J1581" t="str">
            <v>Bergen</v>
          </cell>
        </row>
        <row r="1582">
          <cell r="J1582" t="str">
            <v>Bergen</v>
          </cell>
        </row>
        <row r="1583">
          <cell r="J1583" t="str">
            <v>Bergen</v>
          </cell>
        </row>
        <row r="1584">
          <cell r="J1584" t="str">
            <v>Bergen</v>
          </cell>
        </row>
        <row r="1585">
          <cell r="J1585" t="str">
            <v>Sussex</v>
          </cell>
        </row>
        <row r="1586">
          <cell r="J1586" t="str">
            <v>Sussex</v>
          </cell>
        </row>
        <row r="1587">
          <cell r="J1587" t="str">
            <v>Morris 1</v>
          </cell>
        </row>
        <row r="1588">
          <cell r="J1588" t="str">
            <v>Morris 1</v>
          </cell>
        </row>
        <row r="1589">
          <cell r="J1589" t="str">
            <v>Morris 1</v>
          </cell>
        </row>
        <row r="1590">
          <cell r="J1590" t="str">
            <v>Morris 1</v>
          </cell>
        </row>
        <row r="1591">
          <cell r="J1591" t="str">
            <v>Morris 1</v>
          </cell>
        </row>
        <row r="1592">
          <cell r="J1592" t="str">
            <v>Morris 1</v>
          </cell>
        </row>
        <row r="1593">
          <cell r="J1593" t="str">
            <v>Morris 1</v>
          </cell>
        </row>
        <row r="1594">
          <cell r="J1594" t="str">
            <v>Morris 1</v>
          </cell>
        </row>
        <row r="1595">
          <cell r="J1595" t="str">
            <v>Morris 1</v>
          </cell>
        </row>
        <row r="1596">
          <cell r="J1596" t="str">
            <v>Morris 1</v>
          </cell>
        </row>
        <row r="1597">
          <cell r="J1597" t="str">
            <v>Morris 1</v>
          </cell>
        </row>
        <row r="1598">
          <cell r="J1598" t="str">
            <v>Morris 1</v>
          </cell>
        </row>
        <row r="1599">
          <cell r="J1599" t="str">
            <v>Morris 1</v>
          </cell>
        </row>
        <row r="1600">
          <cell r="J1600" t="str">
            <v>Essex</v>
          </cell>
        </row>
        <row r="1601">
          <cell r="J1601" t="str">
            <v>Hudson</v>
          </cell>
        </row>
        <row r="1602">
          <cell r="J1602" t="str">
            <v>Essex</v>
          </cell>
        </row>
        <row r="1603">
          <cell r="J1603" t="str">
            <v>Essex</v>
          </cell>
        </row>
        <row r="1604">
          <cell r="J1604" t="str">
            <v>Hudson</v>
          </cell>
        </row>
        <row r="1605">
          <cell r="J1605" t="str">
            <v>Essex</v>
          </cell>
        </row>
        <row r="1606">
          <cell r="J1606" t="str">
            <v>Hudson</v>
          </cell>
        </row>
        <row r="1607">
          <cell r="J1607" t="str">
            <v>Union</v>
          </cell>
        </row>
        <row r="1608">
          <cell r="J1608" t="str">
            <v>Hudson</v>
          </cell>
        </row>
        <row r="1609">
          <cell r="J1609" t="str">
            <v>Hudson</v>
          </cell>
        </row>
        <row r="1610">
          <cell r="J1610" t="str">
            <v>Hudson</v>
          </cell>
        </row>
        <row r="1611">
          <cell r="J1611" t="str">
            <v>Hudson</v>
          </cell>
        </row>
        <row r="1612">
          <cell r="J1612" t="str">
            <v>Hudson</v>
          </cell>
        </row>
        <row r="1613">
          <cell r="J1613" t="str">
            <v>Union</v>
          </cell>
        </row>
        <row r="1614">
          <cell r="J1614" t="str">
            <v>Hudson</v>
          </cell>
        </row>
        <row r="1615">
          <cell r="J1615" t="str">
            <v>Hudson</v>
          </cell>
        </row>
        <row r="1616">
          <cell r="J1616" t="str">
            <v>Essex</v>
          </cell>
        </row>
        <row r="1617">
          <cell r="J1617" t="str">
            <v>Essex</v>
          </cell>
        </row>
        <row r="1618">
          <cell r="J1618" t="str">
            <v>Union</v>
          </cell>
        </row>
        <row r="1619">
          <cell r="J1619" t="str">
            <v>Essex</v>
          </cell>
        </row>
        <row r="1620">
          <cell r="J1620" t="str">
            <v>Essex</v>
          </cell>
        </row>
        <row r="1621">
          <cell r="J1621" t="str">
            <v>Union</v>
          </cell>
        </row>
        <row r="1622">
          <cell r="J1622" t="str">
            <v>Essex</v>
          </cell>
        </row>
        <row r="1623">
          <cell r="J1623" t="str">
            <v>Hudson</v>
          </cell>
        </row>
        <row r="1624">
          <cell r="J1624" t="str">
            <v>Hudson</v>
          </cell>
        </row>
        <row r="1625">
          <cell r="J1625" t="str">
            <v>Essex</v>
          </cell>
        </row>
        <row r="1626">
          <cell r="J1626" t="str">
            <v>Hudson</v>
          </cell>
        </row>
        <row r="1627">
          <cell r="J1627" t="str">
            <v>Hudson</v>
          </cell>
        </row>
        <row r="1628">
          <cell r="J1628" t="str">
            <v>Union</v>
          </cell>
        </row>
        <row r="1629">
          <cell r="J1629" t="str">
            <v>Hudson</v>
          </cell>
        </row>
        <row r="1630">
          <cell r="J1630" t="str">
            <v>Essex</v>
          </cell>
        </row>
        <row r="1631">
          <cell r="J1631" t="str">
            <v>Hudson</v>
          </cell>
        </row>
        <row r="1632">
          <cell r="J1632" t="str">
            <v>Hudson</v>
          </cell>
        </row>
        <row r="1633">
          <cell r="J1633" t="str">
            <v>Essex</v>
          </cell>
        </row>
        <row r="1634">
          <cell r="J1634" t="str">
            <v>Union</v>
          </cell>
        </row>
        <row r="1635">
          <cell r="J1635" t="str">
            <v>Hudson</v>
          </cell>
        </row>
        <row r="1636">
          <cell r="J1636" t="str">
            <v>Hudson</v>
          </cell>
        </row>
        <row r="1637">
          <cell r="J1637" t="str">
            <v>Union</v>
          </cell>
        </row>
        <row r="1638">
          <cell r="J1638" t="str">
            <v>Hudson</v>
          </cell>
        </row>
        <row r="1639">
          <cell r="J1639" t="str">
            <v>Essex</v>
          </cell>
        </row>
        <row r="1640">
          <cell r="J1640" t="str">
            <v>Hudson</v>
          </cell>
        </row>
        <row r="1641">
          <cell r="J1641" t="str">
            <v>Hudson</v>
          </cell>
        </row>
        <row r="1642">
          <cell r="J1642" t="str">
            <v>Essex</v>
          </cell>
        </row>
        <row r="1643">
          <cell r="J1643" t="str">
            <v>Hudson</v>
          </cell>
        </row>
        <row r="1644">
          <cell r="J1644" t="str">
            <v>Hudson</v>
          </cell>
        </row>
        <row r="1645">
          <cell r="J1645" t="str">
            <v>Union</v>
          </cell>
        </row>
        <row r="1646">
          <cell r="J1646" t="str">
            <v>Union</v>
          </cell>
        </row>
        <row r="1647">
          <cell r="J1647" t="str">
            <v>Hudson</v>
          </cell>
        </row>
        <row r="1648">
          <cell r="J1648" t="str">
            <v>Essex</v>
          </cell>
        </row>
        <row r="1649">
          <cell r="J1649" t="str">
            <v>Hudson</v>
          </cell>
        </row>
        <row r="1650">
          <cell r="J1650" t="str">
            <v>Hudson</v>
          </cell>
        </row>
        <row r="1651">
          <cell r="J1651" t="str">
            <v>Hudson</v>
          </cell>
        </row>
        <row r="1652">
          <cell r="J1652" t="str">
            <v>Hudson</v>
          </cell>
        </row>
        <row r="1653">
          <cell r="J1653" t="str">
            <v>Essex</v>
          </cell>
        </row>
        <row r="1654">
          <cell r="J1654" t="str">
            <v>Hudson</v>
          </cell>
        </row>
        <row r="1655">
          <cell r="J1655" t="str">
            <v>Essex</v>
          </cell>
        </row>
        <row r="1656">
          <cell r="J1656" t="str">
            <v>Essex</v>
          </cell>
        </row>
        <row r="1657">
          <cell r="J1657" t="str">
            <v>Essex</v>
          </cell>
        </row>
        <row r="1658">
          <cell r="J1658" t="str">
            <v>Hudson</v>
          </cell>
        </row>
        <row r="1659">
          <cell r="J1659" t="str">
            <v>Hudson</v>
          </cell>
        </row>
        <row r="1660">
          <cell r="J1660" t="str">
            <v>Essex</v>
          </cell>
        </row>
        <row r="1661">
          <cell r="J1661" t="str">
            <v>Hudson</v>
          </cell>
        </row>
        <row r="1662">
          <cell r="J1662" t="str">
            <v>Essex</v>
          </cell>
        </row>
        <row r="1663">
          <cell r="J1663" t="str">
            <v>Essex</v>
          </cell>
        </row>
        <row r="1664">
          <cell r="J1664" t="str">
            <v>Hudson</v>
          </cell>
        </row>
        <row r="1665">
          <cell r="J1665" t="str">
            <v>Hudson</v>
          </cell>
        </row>
        <row r="1666">
          <cell r="J1666" t="str">
            <v>Hudson</v>
          </cell>
        </row>
        <row r="1667">
          <cell r="J1667" t="str">
            <v>Hudson</v>
          </cell>
        </row>
        <row r="1668">
          <cell r="J1668" t="str">
            <v>Hudson</v>
          </cell>
        </row>
        <row r="1669">
          <cell r="J1669" t="str">
            <v>Hudson</v>
          </cell>
        </row>
        <row r="1670">
          <cell r="J1670" t="str">
            <v>Hudson</v>
          </cell>
        </row>
        <row r="1671">
          <cell r="J1671" t="str">
            <v>Hudson</v>
          </cell>
        </row>
        <row r="1672">
          <cell r="J1672" t="str">
            <v>Hudson</v>
          </cell>
        </row>
        <row r="1673">
          <cell r="J1673" t="str">
            <v>Essex</v>
          </cell>
        </row>
        <row r="1674">
          <cell r="J1674" t="str">
            <v>Hudson</v>
          </cell>
        </row>
        <row r="1675">
          <cell r="J1675" t="str">
            <v>Hudson</v>
          </cell>
        </row>
        <row r="1676">
          <cell r="J1676" t="str">
            <v>Hudson</v>
          </cell>
        </row>
        <row r="1677">
          <cell r="J1677" t="str">
            <v>Union</v>
          </cell>
        </row>
        <row r="1678">
          <cell r="J1678" t="str">
            <v>Hudson</v>
          </cell>
        </row>
        <row r="1679">
          <cell r="J1679" t="str">
            <v>Hudson</v>
          </cell>
        </row>
        <row r="1680">
          <cell r="J1680" t="str">
            <v>Union</v>
          </cell>
        </row>
        <row r="1681">
          <cell r="J1681" t="str">
            <v>Hudson</v>
          </cell>
        </row>
        <row r="1682">
          <cell r="J1682" t="str">
            <v>Union</v>
          </cell>
        </row>
        <row r="1683">
          <cell r="J1683" t="str">
            <v>Hudson</v>
          </cell>
        </row>
        <row r="1684">
          <cell r="J1684" t="str">
            <v>Essex</v>
          </cell>
        </row>
        <row r="1685">
          <cell r="J1685" t="str">
            <v>Hudson</v>
          </cell>
        </row>
        <row r="1686">
          <cell r="J1686" t="str">
            <v>Union</v>
          </cell>
        </row>
        <row r="1687">
          <cell r="J1687" t="str">
            <v>Hudson</v>
          </cell>
        </row>
        <row r="1688">
          <cell r="J1688" t="str">
            <v>Essex</v>
          </cell>
        </row>
        <row r="1689">
          <cell r="J1689" t="str">
            <v>Essex</v>
          </cell>
        </row>
        <row r="1690">
          <cell r="J1690" t="str">
            <v>Hudson</v>
          </cell>
        </row>
        <row r="1691">
          <cell r="J1691" t="str">
            <v>Union</v>
          </cell>
        </row>
        <row r="1692">
          <cell r="J1692" t="str">
            <v>Hudson</v>
          </cell>
        </row>
        <row r="1693">
          <cell r="J1693" t="str">
            <v>Hudson</v>
          </cell>
        </row>
        <row r="1694">
          <cell r="J1694" t="str">
            <v>Hudson</v>
          </cell>
        </row>
        <row r="1695">
          <cell r="J1695" t="str">
            <v>Hudson</v>
          </cell>
        </row>
        <row r="1696">
          <cell r="J1696" t="str">
            <v>Essex</v>
          </cell>
        </row>
        <row r="1697">
          <cell r="J1697" t="str">
            <v>Hudson</v>
          </cell>
        </row>
        <row r="1698">
          <cell r="J1698" t="str">
            <v>Essex</v>
          </cell>
        </row>
        <row r="1699">
          <cell r="J1699" t="str">
            <v>Essex</v>
          </cell>
        </row>
        <row r="1700">
          <cell r="J1700" t="str">
            <v>Hudson</v>
          </cell>
        </row>
        <row r="1701">
          <cell r="J1701" t="str">
            <v>Hudson</v>
          </cell>
        </row>
        <row r="1702">
          <cell r="J1702" t="str">
            <v>Hudson</v>
          </cell>
        </row>
        <row r="1703">
          <cell r="J1703" t="str">
            <v>Hudson</v>
          </cell>
        </row>
        <row r="1704">
          <cell r="J1704" t="str">
            <v>Hudson</v>
          </cell>
        </row>
        <row r="1705">
          <cell r="J1705" t="str">
            <v>Hudson</v>
          </cell>
        </row>
        <row r="1706">
          <cell r="J1706" t="str">
            <v>Hudson</v>
          </cell>
        </row>
        <row r="1707">
          <cell r="J1707" t="str">
            <v>Hudson</v>
          </cell>
        </row>
        <row r="1708">
          <cell r="J1708" t="str">
            <v>Hudson</v>
          </cell>
        </row>
        <row r="1709">
          <cell r="J1709" t="str">
            <v>Union</v>
          </cell>
        </row>
        <row r="1710">
          <cell r="J1710" t="str">
            <v>Hudson</v>
          </cell>
        </row>
        <row r="1711">
          <cell r="J1711" t="str">
            <v>Essex</v>
          </cell>
        </row>
        <row r="1712">
          <cell r="J1712" t="str">
            <v>Hudson</v>
          </cell>
        </row>
        <row r="1713">
          <cell r="J1713" t="str">
            <v>Hudson</v>
          </cell>
        </row>
        <row r="1714">
          <cell r="J1714" t="str">
            <v>Hudson</v>
          </cell>
        </row>
        <row r="1715">
          <cell r="J1715" t="str">
            <v>Hudson</v>
          </cell>
        </row>
        <row r="1716">
          <cell r="J1716" t="str">
            <v>Hudson</v>
          </cell>
        </row>
        <row r="1717">
          <cell r="J1717" t="str">
            <v>Union</v>
          </cell>
        </row>
        <row r="1718">
          <cell r="J1718" t="str">
            <v>Hudson</v>
          </cell>
        </row>
        <row r="1719">
          <cell r="J1719" t="str">
            <v>Union</v>
          </cell>
        </row>
        <row r="1720">
          <cell r="J1720" t="str">
            <v>Hudson</v>
          </cell>
        </row>
        <row r="1721">
          <cell r="J1721" t="str">
            <v>Union</v>
          </cell>
        </row>
        <row r="1722">
          <cell r="J1722" t="str">
            <v>Union</v>
          </cell>
        </row>
        <row r="1723">
          <cell r="J1723" t="str">
            <v>Essex</v>
          </cell>
        </row>
        <row r="1724">
          <cell r="J1724" t="str">
            <v>Union</v>
          </cell>
        </row>
        <row r="1725">
          <cell r="J1725" t="str">
            <v>Hudson</v>
          </cell>
        </row>
        <row r="1726">
          <cell r="J1726" t="str">
            <v>Hudson</v>
          </cell>
        </row>
        <row r="1727">
          <cell r="J1727" t="str">
            <v>Hudson</v>
          </cell>
        </row>
        <row r="1728">
          <cell r="J1728" t="str">
            <v>Hudson</v>
          </cell>
        </row>
        <row r="1729">
          <cell r="J1729" t="str">
            <v>Essex</v>
          </cell>
        </row>
        <row r="1730">
          <cell r="J1730" t="str">
            <v>Hudson</v>
          </cell>
        </row>
        <row r="1731">
          <cell r="J1731" t="str">
            <v>Hudson</v>
          </cell>
        </row>
        <row r="1732">
          <cell r="J1732" t="str">
            <v>Hudson</v>
          </cell>
        </row>
        <row r="1733">
          <cell r="J1733" t="str">
            <v>Essex</v>
          </cell>
        </row>
        <row r="1734">
          <cell r="J1734" t="str">
            <v>Essex</v>
          </cell>
        </row>
        <row r="1735">
          <cell r="J1735" t="str">
            <v>Hudson</v>
          </cell>
        </row>
        <row r="1736">
          <cell r="J1736" t="str">
            <v>Essex</v>
          </cell>
        </row>
        <row r="1737">
          <cell r="J1737" t="str">
            <v>Hudson</v>
          </cell>
        </row>
        <row r="1738">
          <cell r="J1738" t="str">
            <v>Essex</v>
          </cell>
        </row>
        <row r="1739">
          <cell r="J1739" t="str">
            <v>Essex</v>
          </cell>
        </row>
        <row r="1740">
          <cell r="J1740" t="str">
            <v>Essex</v>
          </cell>
        </row>
        <row r="1741">
          <cell r="J1741" t="str">
            <v>Hudson</v>
          </cell>
        </row>
        <row r="1742">
          <cell r="J1742" t="str">
            <v>Hudson</v>
          </cell>
        </row>
        <row r="1743">
          <cell r="J1743" t="str">
            <v>Essex</v>
          </cell>
        </row>
        <row r="1744">
          <cell r="J1744" t="str">
            <v>Hudson</v>
          </cell>
        </row>
        <row r="1745">
          <cell r="J1745" t="str">
            <v>Hudson</v>
          </cell>
        </row>
        <row r="1746">
          <cell r="J1746" t="str">
            <v>Hudson</v>
          </cell>
        </row>
        <row r="1747">
          <cell r="J1747" t="str">
            <v>Hudson</v>
          </cell>
        </row>
        <row r="1748">
          <cell r="J1748" t="str">
            <v>Essex</v>
          </cell>
        </row>
        <row r="1749">
          <cell r="J1749" t="str">
            <v>Hudson</v>
          </cell>
        </row>
        <row r="1750">
          <cell r="J1750" t="str">
            <v>Hudson</v>
          </cell>
        </row>
        <row r="1751">
          <cell r="J1751" t="str">
            <v>Hudson</v>
          </cell>
        </row>
        <row r="1752">
          <cell r="J1752" t="str">
            <v>Essex</v>
          </cell>
        </row>
        <row r="1753">
          <cell r="J1753" t="str">
            <v>Hudson</v>
          </cell>
        </row>
        <row r="1754">
          <cell r="J1754" t="str">
            <v>Essex</v>
          </cell>
        </row>
        <row r="1755">
          <cell r="J1755" t="str">
            <v>Hudson</v>
          </cell>
        </row>
        <row r="1756">
          <cell r="J1756" t="str">
            <v>Essex</v>
          </cell>
        </row>
        <row r="1757">
          <cell r="J1757" t="str">
            <v>Essex</v>
          </cell>
        </row>
        <row r="1758">
          <cell r="J1758" t="str">
            <v>Essex</v>
          </cell>
        </row>
        <row r="1759">
          <cell r="J1759" t="str">
            <v>Hudson</v>
          </cell>
        </row>
        <row r="1760">
          <cell r="J1760" t="str">
            <v>Hudson</v>
          </cell>
        </row>
        <row r="1761">
          <cell r="J1761" t="str">
            <v>Essex</v>
          </cell>
        </row>
        <row r="1762">
          <cell r="J1762" t="str">
            <v>Essex</v>
          </cell>
        </row>
        <row r="1763">
          <cell r="J1763" t="str">
            <v>Hudson</v>
          </cell>
        </row>
        <row r="1764">
          <cell r="J1764" t="str">
            <v>Union</v>
          </cell>
        </row>
        <row r="1765">
          <cell r="J1765" t="str">
            <v>Hudson</v>
          </cell>
        </row>
        <row r="1766">
          <cell r="J1766" t="str">
            <v>Hudson</v>
          </cell>
        </row>
        <row r="1767">
          <cell r="J1767" t="str">
            <v>Hudson</v>
          </cell>
        </row>
        <row r="1768">
          <cell r="J1768" t="str">
            <v>Essex</v>
          </cell>
        </row>
        <row r="1769">
          <cell r="J1769" t="str">
            <v>Essex</v>
          </cell>
        </row>
        <row r="1770">
          <cell r="J1770" t="str">
            <v>Essex</v>
          </cell>
        </row>
        <row r="1771">
          <cell r="J1771" t="str">
            <v>Union</v>
          </cell>
        </row>
        <row r="1772">
          <cell r="J1772" t="str">
            <v>Essex</v>
          </cell>
        </row>
        <row r="1773">
          <cell r="J1773" t="str">
            <v>Hudson</v>
          </cell>
        </row>
        <row r="1774">
          <cell r="J1774" t="str">
            <v>Union</v>
          </cell>
        </row>
        <row r="1775">
          <cell r="J1775" t="str">
            <v>Union</v>
          </cell>
        </row>
        <row r="1776">
          <cell r="J1776" t="str">
            <v>Hudson</v>
          </cell>
        </row>
        <row r="1777">
          <cell r="J1777" t="str">
            <v>Hudson</v>
          </cell>
        </row>
        <row r="1778">
          <cell r="J1778" t="str">
            <v>Hudson</v>
          </cell>
        </row>
        <row r="1779">
          <cell r="J1779" t="str">
            <v>Hudson</v>
          </cell>
        </row>
        <row r="1780">
          <cell r="J1780" t="str">
            <v>Essex</v>
          </cell>
        </row>
        <row r="1781">
          <cell r="J1781" t="str">
            <v>Hudson</v>
          </cell>
        </row>
        <row r="1782">
          <cell r="J1782" t="str">
            <v>Essex</v>
          </cell>
        </row>
        <row r="1783">
          <cell r="J1783" t="str">
            <v>Union</v>
          </cell>
        </row>
        <row r="1784">
          <cell r="J1784" t="str">
            <v>Hudson</v>
          </cell>
        </row>
        <row r="1785">
          <cell r="J1785" t="str">
            <v>Essex</v>
          </cell>
        </row>
        <row r="1786">
          <cell r="J1786" t="str">
            <v>Union</v>
          </cell>
        </row>
        <row r="1787">
          <cell r="J1787" t="str">
            <v>Hudson</v>
          </cell>
        </row>
        <row r="1788">
          <cell r="J1788" t="str">
            <v>Union</v>
          </cell>
        </row>
        <row r="1789">
          <cell r="J1789" t="str">
            <v>Essex</v>
          </cell>
        </row>
        <row r="1790">
          <cell r="J1790" t="str">
            <v>Essex</v>
          </cell>
        </row>
        <row r="1791">
          <cell r="J1791" t="str">
            <v>Hudson</v>
          </cell>
        </row>
        <row r="1792">
          <cell r="J1792" t="str">
            <v>Hudson</v>
          </cell>
        </row>
        <row r="1793">
          <cell r="J1793" t="str">
            <v>Hudson</v>
          </cell>
        </row>
        <row r="1794">
          <cell r="J1794" t="str">
            <v>Essex</v>
          </cell>
        </row>
        <row r="1795">
          <cell r="J1795" t="str">
            <v>Hudson</v>
          </cell>
        </row>
        <row r="1796">
          <cell r="J1796" t="str">
            <v>Hudson</v>
          </cell>
        </row>
        <row r="1797">
          <cell r="J1797" t="str">
            <v>Hudson</v>
          </cell>
        </row>
        <row r="1798">
          <cell r="J1798" t="str">
            <v>Essex</v>
          </cell>
        </row>
        <row r="1799">
          <cell r="J1799" t="str">
            <v>Essex</v>
          </cell>
        </row>
        <row r="1800">
          <cell r="J1800" t="str">
            <v>Union</v>
          </cell>
        </row>
        <row r="1801">
          <cell r="J1801" t="str">
            <v>Essex</v>
          </cell>
        </row>
        <row r="1802">
          <cell r="J1802" t="str">
            <v>Essex</v>
          </cell>
        </row>
        <row r="1803">
          <cell r="J1803" t="str">
            <v>Essex</v>
          </cell>
        </row>
        <row r="1804">
          <cell r="J1804" t="str">
            <v>Essex</v>
          </cell>
        </row>
        <row r="1805">
          <cell r="J1805" t="str">
            <v>Hudson</v>
          </cell>
        </row>
        <row r="1806">
          <cell r="J1806" t="str">
            <v>Hudson</v>
          </cell>
        </row>
        <row r="1807">
          <cell r="J1807" t="str">
            <v>Hudson</v>
          </cell>
        </row>
        <row r="1808">
          <cell r="J1808" t="str">
            <v>Hudson</v>
          </cell>
        </row>
        <row r="1809">
          <cell r="J1809" t="str">
            <v>Essex</v>
          </cell>
        </row>
        <row r="1810">
          <cell r="J1810" t="str">
            <v>Union</v>
          </cell>
        </row>
        <row r="1811">
          <cell r="J1811" t="str">
            <v>Hudson</v>
          </cell>
        </row>
        <row r="1812">
          <cell r="J1812" t="str">
            <v>Hudson</v>
          </cell>
        </row>
        <row r="1813">
          <cell r="J1813" t="str">
            <v>Hudson</v>
          </cell>
        </row>
        <row r="1814">
          <cell r="J1814" t="str">
            <v>Hudson</v>
          </cell>
        </row>
        <row r="1815">
          <cell r="J1815" t="str">
            <v>Essex</v>
          </cell>
        </row>
        <row r="1816">
          <cell r="J1816" t="str">
            <v>Essex</v>
          </cell>
        </row>
        <row r="1817">
          <cell r="J1817" t="str">
            <v>Hudson</v>
          </cell>
        </row>
        <row r="1818">
          <cell r="J1818" t="str">
            <v>Hudson</v>
          </cell>
        </row>
        <row r="1819">
          <cell r="J1819" t="str">
            <v>Union</v>
          </cell>
        </row>
        <row r="1820">
          <cell r="J1820" t="str">
            <v>Union</v>
          </cell>
        </row>
        <row r="1821">
          <cell r="J1821" t="str">
            <v>Hudson</v>
          </cell>
        </row>
        <row r="1822">
          <cell r="J1822" t="str">
            <v>Hudson</v>
          </cell>
        </row>
        <row r="1823">
          <cell r="J1823" t="str">
            <v>Essex</v>
          </cell>
        </row>
        <row r="1824">
          <cell r="J1824" t="str">
            <v>Hudson</v>
          </cell>
        </row>
        <row r="1825">
          <cell r="J1825" t="str">
            <v>Essex</v>
          </cell>
        </row>
        <row r="1826">
          <cell r="J1826" t="str">
            <v>Hudson</v>
          </cell>
        </row>
        <row r="1827">
          <cell r="J1827" t="str">
            <v>Essex</v>
          </cell>
        </row>
        <row r="1828">
          <cell r="J1828" t="str">
            <v>Essex</v>
          </cell>
        </row>
        <row r="1829">
          <cell r="J1829" t="str">
            <v>Essex</v>
          </cell>
        </row>
        <row r="1830">
          <cell r="J1830" t="str">
            <v>Essex</v>
          </cell>
        </row>
        <row r="1831">
          <cell r="J1831" t="str">
            <v>Hudson</v>
          </cell>
        </row>
        <row r="1832">
          <cell r="J1832" t="str">
            <v>Essex</v>
          </cell>
        </row>
        <row r="1833">
          <cell r="J1833" t="str">
            <v>Union</v>
          </cell>
        </row>
        <row r="1834">
          <cell r="J1834" t="str">
            <v>Essex</v>
          </cell>
        </row>
        <row r="1835">
          <cell r="J1835" t="str">
            <v>Hudson</v>
          </cell>
        </row>
        <row r="1836">
          <cell r="J1836" t="str">
            <v>Hudson</v>
          </cell>
        </row>
        <row r="1837">
          <cell r="J1837" t="str">
            <v>Hudson</v>
          </cell>
        </row>
        <row r="1838">
          <cell r="J1838" t="str">
            <v>Hudson</v>
          </cell>
        </row>
        <row r="1839">
          <cell r="J1839" t="str">
            <v>Union</v>
          </cell>
        </row>
        <row r="1840">
          <cell r="J1840" t="str">
            <v>Hudson</v>
          </cell>
        </row>
        <row r="1841">
          <cell r="J1841" t="str">
            <v>Union</v>
          </cell>
        </row>
        <row r="1842">
          <cell r="J1842" t="str">
            <v>Essex</v>
          </cell>
        </row>
        <row r="1843">
          <cell r="J1843" t="str">
            <v>Union</v>
          </cell>
        </row>
        <row r="1844">
          <cell r="J1844" t="str">
            <v>Union</v>
          </cell>
        </row>
        <row r="1845">
          <cell r="J1845" t="str">
            <v>Hudson</v>
          </cell>
        </row>
        <row r="1846">
          <cell r="J1846" t="str">
            <v>Essex</v>
          </cell>
        </row>
        <row r="1847">
          <cell r="J1847" t="str">
            <v>Union</v>
          </cell>
        </row>
        <row r="1848">
          <cell r="J1848" t="str">
            <v>Hudson</v>
          </cell>
        </row>
        <row r="1849">
          <cell r="J1849" t="str">
            <v>Hudson</v>
          </cell>
        </row>
        <row r="1850">
          <cell r="J1850" t="str">
            <v>Hudson</v>
          </cell>
        </row>
        <row r="1851">
          <cell r="J1851" t="str">
            <v>Hudson</v>
          </cell>
        </row>
        <row r="1852">
          <cell r="J1852" t="str">
            <v>Essex</v>
          </cell>
        </row>
        <row r="1853">
          <cell r="J1853" t="str">
            <v>Essex</v>
          </cell>
        </row>
        <row r="1854">
          <cell r="J1854" t="str">
            <v>Essex</v>
          </cell>
        </row>
        <row r="1855">
          <cell r="J1855" t="str">
            <v>Hudson</v>
          </cell>
        </row>
        <row r="1856">
          <cell r="J1856" t="str">
            <v>Essex</v>
          </cell>
        </row>
        <row r="1857">
          <cell r="J1857" t="str">
            <v>Essex</v>
          </cell>
        </row>
        <row r="1858">
          <cell r="J1858" t="str">
            <v>Hudson</v>
          </cell>
        </row>
        <row r="1859">
          <cell r="J1859" t="str">
            <v>Hudson</v>
          </cell>
        </row>
        <row r="1860">
          <cell r="J1860" t="str">
            <v>Union</v>
          </cell>
        </row>
        <row r="1861">
          <cell r="J1861" t="str">
            <v>Hudson</v>
          </cell>
        </row>
        <row r="1862">
          <cell r="J1862" t="str">
            <v>Essex</v>
          </cell>
        </row>
        <row r="1863">
          <cell r="J1863" t="str">
            <v>Union</v>
          </cell>
        </row>
        <row r="1864">
          <cell r="J1864" t="str">
            <v>Union</v>
          </cell>
        </row>
        <row r="1865">
          <cell r="J1865" t="str">
            <v>Essex</v>
          </cell>
        </row>
        <row r="1866">
          <cell r="J1866" t="str">
            <v>Essex</v>
          </cell>
        </row>
        <row r="1867">
          <cell r="J1867" t="str">
            <v>Essex</v>
          </cell>
        </row>
        <row r="1868">
          <cell r="J1868" t="str">
            <v>Essex</v>
          </cell>
        </row>
        <row r="1869">
          <cell r="J1869" t="str">
            <v>Hudson</v>
          </cell>
        </row>
        <row r="1870">
          <cell r="J1870" t="str">
            <v>Hudson</v>
          </cell>
        </row>
        <row r="1871">
          <cell r="J1871" t="str">
            <v>Essex</v>
          </cell>
        </row>
        <row r="1872">
          <cell r="J1872" t="str">
            <v>Hudson</v>
          </cell>
        </row>
        <row r="1873">
          <cell r="J1873" t="str">
            <v>Union</v>
          </cell>
        </row>
        <row r="1874">
          <cell r="J1874" t="str">
            <v>Hudson</v>
          </cell>
        </row>
        <row r="1875">
          <cell r="J1875" t="str">
            <v>Union</v>
          </cell>
        </row>
        <row r="1876">
          <cell r="J1876" t="str">
            <v>Essex</v>
          </cell>
        </row>
        <row r="1877">
          <cell r="J1877" t="str">
            <v>Essex</v>
          </cell>
        </row>
        <row r="1878">
          <cell r="J1878" t="str">
            <v>Hudson</v>
          </cell>
        </row>
        <row r="1879">
          <cell r="J1879" t="str">
            <v>Union</v>
          </cell>
        </row>
        <row r="1880">
          <cell r="J1880" t="str">
            <v>Union</v>
          </cell>
        </row>
        <row r="1881">
          <cell r="J1881" t="str">
            <v>Hudson</v>
          </cell>
        </row>
        <row r="1882">
          <cell r="J1882" t="str">
            <v>Union</v>
          </cell>
        </row>
        <row r="1883">
          <cell r="J1883" t="str">
            <v>Essex</v>
          </cell>
        </row>
        <row r="1884">
          <cell r="J1884" t="str">
            <v>Essex</v>
          </cell>
        </row>
        <row r="1885">
          <cell r="J1885" t="str">
            <v>Essex</v>
          </cell>
        </row>
        <row r="1886">
          <cell r="J1886" t="str">
            <v>Union</v>
          </cell>
        </row>
        <row r="1887">
          <cell r="J1887" t="str">
            <v>Essex</v>
          </cell>
        </row>
        <row r="1888">
          <cell r="J1888" t="str">
            <v>Hudson</v>
          </cell>
        </row>
        <row r="1889">
          <cell r="J1889" t="str">
            <v>Essex</v>
          </cell>
        </row>
        <row r="1890">
          <cell r="J1890" t="str">
            <v>Hudson</v>
          </cell>
        </row>
        <row r="1891">
          <cell r="J1891" t="str">
            <v>Hudson</v>
          </cell>
        </row>
        <row r="1892">
          <cell r="J1892" t="str">
            <v>Union</v>
          </cell>
        </row>
        <row r="1893">
          <cell r="J1893" t="str">
            <v>Essex</v>
          </cell>
        </row>
        <row r="1894">
          <cell r="J1894" t="str">
            <v>Union</v>
          </cell>
        </row>
        <row r="1895">
          <cell r="J1895" t="str">
            <v>Hudson</v>
          </cell>
        </row>
        <row r="1896">
          <cell r="J1896" t="str">
            <v>Union</v>
          </cell>
        </row>
        <row r="1897">
          <cell r="J1897" t="str">
            <v>Hudson</v>
          </cell>
        </row>
        <row r="1898">
          <cell r="J1898" t="str">
            <v>Hudson</v>
          </cell>
        </row>
        <row r="1899">
          <cell r="J1899" t="str">
            <v>Hudson</v>
          </cell>
        </row>
        <row r="1900">
          <cell r="J1900" t="str">
            <v>Hudson</v>
          </cell>
        </row>
        <row r="1901">
          <cell r="J1901" t="str">
            <v>Hudson</v>
          </cell>
        </row>
        <row r="1902">
          <cell r="J1902" t="str">
            <v>Union</v>
          </cell>
        </row>
        <row r="1903">
          <cell r="J1903" t="str">
            <v>Essex</v>
          </cell>
        </row>
        <row r="1904">
          <cell r="J1904" t="str">
            <v>Essex</v>
          </cell>
        </row>
        <row r="1905">
          <cell r="J1905" t="str">
            <v>Essex</v>
          </cell>
        </row>
        <row r="1906">
          <cell r="J1906" t="str">
            <v>Essex</v>
          </cell>
        </row>
        <row r="1907">
          <cell r="J1907" t="str">
            <v>Hudson</v>
          </cell>
        </row>
        <row r="1908">
          <cell r="J1908" t="str">
            <v>Essex</v>
          </cell>
        </row>
        <row r="1909">
          <cell r="J1909" t="str">
            <v>Union</v>
          </cell>
        </row>
        <row r="1910">
          <cell r="J1910" t="str">
            <v>Hudson</v>
          </cell>
        </row>
        <row r="1911">
          <cell r="J1911" t="str">
            <v>Essex</v>
          </cell>
        </row>
        <row r="1912">
          <cell r="J1912" t="str">
            <v>Hudson</v>
          </cell>
        </row>
        <row r="1913">
          <cell r="J1913" t="str">
            <v>Essex</v>
          </cell>
        </row>
        <row r="1914">
          <cell r="J1914" t="str">
            <v>Essex</v>
          </cell>
        </row>
        <row r="1915">
          <cell r="J1915" t="str">
            <v>Union</v>
          </cell>
        </row>
        <row r="1916">
          <cell r="J1916" t="str">
            <v>Union</v>
          </cell>
        </row>
        <row r="1917">
          <cell r="J1917" t="str">
            <v>Hudson</v>
          </cell>
        </row>
        <row r="1918">
          <cell r="J1918" t="str">
            <v>Essex</v>
          </cell>
        </row>
        <row r="1919">
          <cell r="J1919" t="str">
            <v>Union</v>
          </cell>
        </row>
        <row r="1920">
          <cell r="J1920" t="str">
            <v>Essex</v>
          </cell>
        </row>
        <row r="1921">
          <cell r="J1921" t="str">
            <v>Essex</v>
          </cell>
        </row>
        <row r="1922">
          <cell r="J1922" t="str">
            <v>Hudson</v>
          </cell>
        </row>
        <row r="1923">
          <cell r="J1923" t="str">
            <v>Essex</v>
          </cell>
        </row>
        <row r="1924">
          <cell r="J1924" t="str">
            <v>Union</v>
          </cell>
        </row>
        <row r="1925">
          <cell r="J1925" t="str">
            <v>Union</v>
          </cell>
        </row>
        <row r="1926">
          <cell r="J1926" t="str">
            <v>Hudson</v>
          </cell>
        </row>
        <row r="1927">
          <cell r="J1927" t="str">
            <v>Hudson</v>
          </cell>
        </row>
        <row r="1928">
          <cell r="J1928" t="str">
            <v>Essex</v>
          </cell>
        </row>
        <row r="1929">
          <cell r="J1929" t="str">
            <v>Union</v>
          </cell>
        </row>
        <row r="1930">
          <cell r="J1930" t="str">
            <v>Essex</v>
          </cell>
        </row>
        <row r="1931">
          <cell r="J1931" t="str">
            <v>Hudson</v>
          </cell>
        </row>
        <row r="1932">
          <cell r="J1932" t="str">
            <v>Hudson</v>
          </cell>
        </row>
        <row r="1933">
          <cell r="J1933" t="str">
            <v>Hudson</v>
          </cell>
        </row>
        <row r="1934">
          <cell r="J1934" t="str">
            <v>Essex</v>
          </cell>
        </row>
        <row r="1935">
          <cell r="J1935" t="str">
            <v>Union</v>
          </cell>
        </row>
        <row r="1936">
          <cell r="J1936" t="str">
            <v>Essex</v>
          </cell>
        </row>
        <row r="1937">
          <cell r="J1937" t="str">
            <v>Union</v>
          </cell>
        </row>
        <row r="1938">
          <cell r="J1938" t="str">
            <v>Hudson</v>
          </cell>
        </row>
        <row r="1939">
          <cell r="J1939" t="str">
            <v>Essex</v>
          </cell>
        </row>
        <row r="1940">
          <cell r="J1940" t="str">
            <v>Essex</v>
          </cell>
        </row>
        <row r="1941">
          <cell r="J1941" t="str">
            <v>Essex</v>
          </cell>
        </row>
        <row r="1942">
          <cell r="J1942" t="str">
            <v>Essex</v>
          </cell>
        </row>
        <row r="1943">
          <cell r="J1943" t="str">
            <v>Hudson</v>
          </cell>
        </row>
        <row r="1944">
          <cell r="J1944" t="str">
            <v>Hudson</v>
          </cell>
        </row>
        <row r="1945">
          <cell r="J1945" t="str">
            <v>Hudson</v>
          </cell>
        </row>
        <row r="1946">
          <cell r="J1946" t="str">
            <v>Union</v>
          </cell>
        </row>
        <row r="1947">
          <cell r="J1947" t="str">
            <v>Hudson</v>
          </cell>
        </row>
        <row r="1948">
          <cell r="J1948" t="str">
            <v>Hudson</v>
          </cell>
        </row>
        <row r="1949">
          <cell r="J1949" t="str">
            <v>Essex</v>
          </cell>
        </row>
        <row r="1950">
          <cell r="J1950" t="str">
            <v>Essex</v>
          </cell>
        </row>
        <row r="1951">
          <cell r="J1951" t="str">
            <v>Essex</v>
          </cell>
        </row>
        <row r="1952">
          <cell r="J1952" t="str">
            <v>Hudson</v>
          </cell>
        </row>
        <row r="1953">
          <cell r="J1953" t="str">
            <v>Hudson</v>
          </cell>
        </row>
        <row r="1954">
          <cell r="J1954" t="str">
            <v>Essex</v>
          </cell>
        </row>
        <row r="1955">
          <cell r="J1955" t="str">
            <v>Essex</v>
          </cell>
        </row>
        <row r="1956">
          <cell r="J1956" t="str">
            <v>Essex</v>
          </cell>
        </row>
        <row r="1957">
          <cell r="J1957" t="str">
            <v>Union</v>
          </cell>
        </row>
        <row r="1958">
          <cell r="J1958" t="str">
            <v>Essex</v>
          </cell>
        </row>
        <row r="1959">
          <cell r="J1959" t="str">
            <v>Hudson</v>
          </cell>
        </row>
        <row r="1960">
          <cell r="J1960" t="str">
            <v>Essex</v>
          </cell>
        </row>
        <row r="1961">
          <cell r="J1961" t="str">
            <v>Essex</v>
          </cell>
        </row>
        <row r="1962">
          <cell r="J1962" t="str">
            <v>Essex</v>
          </cell>
        </row>
        <row r="1963">
          <cell r="J1963" t="str">
            <v>Essex</v>
          </cell>
        </row>
        <row r="1964">
          <cell r="J1964" t="str">
            <v>Union</v>
          </cell>
        </row>
        <row r="1965">
          <cell r="J1965" t="str">
            <v>Essex</v>
          </cell>
        </row>
        <row r="1966">
          <cell r="J1966" t="str">
            <v>Hudson</v>
          </cell>
        </row>
        <row r="1967">
          <cell r="J1967" t="str">
            <v>Union</v>
          </cell>
        </row>
        <row r="1968">
          <cell r="J1968" t="str">
            <v>Hudson</v>
          </cell>
        </row>
        <row r="1969">
          <cell r="J1969" t="str">
            <v>Essex</v>
          </cell>
        </row>
        <row r="1970">
          <cell r="J1970" t="str">
            <v>Essex</v>
          </cell>
        </row>
        <row r="1971">
          <cell r="J1971" t="str">
            <v>Essex</v>
          </cell>
        </row>
        <row r="1972">
          <cell r="J1972" t="str">
            <v>Essex</v>
          </cell>
        </row>
        <row r="1973">
          <cell r="J1973" t="str">
            <v>Union</v>
          </cell>
        </row>
        <row r="1974">
          <cell r="J1974" t="str">
            <v>Union</v>
          </cell>
        </row>
        <row r="1975">
          <cell r="J1975" t="str">
            <v>Union</v>
          </cell>
        </row>
        <row r="1976">
          <cell r="J1976" t="str">
            <v>Hudson</v>
          </cell>
        </row>
        <row r="1977">
          <cell r="J1977" t="str">
            <v>Essex</v>
          </cell>
        </row>
        <row r="1978">
          <cell r="J1978" t="str">
            <v>Hudson</v>
          </cell>
        </row>
        <row r="1979">
          <cell r="J1979" t="str">
            <v>Union</v>
          </cell>
        </row>
        <row r="1980">
          <cell r="J1980" t="str">
            <v>Hudson</v>
          </cell>
        </row>
        <row r="1981">
          <cell r="J1981" t="str">
            <v>Hudson</v>
          </cell>
        </row>
        <row r="1982">
          <cell r="J1982" t="str">
            <v>Union</v>
          </cell>
        </row>
        <row r="1983">
          <cell r="J1983" t="str">
            <v>Essex</v>
          </cell>
        </row>
        <row r="1984">
          <cell r="J1984" t="str">
            <v>Essex</v>
          </cell>
        </row>
        <row r="1985">
          <cell r="J1985" t="str">
            <v>Essex</v>
          </cell>
        </row>
        <row r="1986">
          <cell r="J1986" t="str">
            <v>Essex</v>
          </cell>
        </row>
        <row r="1987">
          <cell r="J1987" t="str">
            <v>Essex</v>
          </cell>
        </row>
        <row r="1988">
          <cell r="J1988" t="str">
            <v>Union</v>
          </cell>
        </row>
        <row r="1989">
          <cell r="J1989" t="str">
            <v>Union</v>
          </cell>
        </row>
        <row r="1990">
          <cell r="J1990" t="str">
            <v>Hudson</v>
          </cell>
        </row>
        <row r="1991">
          <cell r="J1991" t="str">
            <v>Essex</v>
          </cell>
        </row>
        <row r="1992">
          <cell r="J1992" t="str">
            <v>Hudson</v>
          </cell>
        </row>
        <row r="1993">
          <cell r="J1993" t="str">
            <v>Union</v>
          </cell>
        </row>
        <row r="1994">
          <cell r="J1994" t="str">
            <v>Hudson</v>
          </cell>
        </row>
        <row r="1995">
          <cell r="J1995" t="str">
            <v>Essex</v>
          </cell>
        </row>
        <row r="1996">
          <cell r="J1996" t="str">
            <v>Union</v>
          </cell>
        </row>
        <row r="1997">
          <cell r="J1997" t="str">
            <v>Hudson</v>
          </cell>
        </row>
        <row r="1998">
          <cell r="J1998" t="str">
            <v>Essex</v>
          </cell>
        </row>
        <row r="1999">
          <cell r="J1999" t="str">
            <v>Union</v>
          </cell>
        </row>
        <row r="2000">
          <cell r="J2000" t="str">
            <v>Essex</v>
          </cell>
        </row>
        <row r="2001">
          <cell r="J2001" t="str">
            <v>Hudson</v>
          </cell>
        </row>
        <row r="2002">
          <cell r="J2002" t="str">
            <v>Union</v>
          </cell>
        </row>
        <row r="2003">
          <cell r="J2003" t="str">
            <v>Essex</v>
          </cell>
        </row>
        <row r="2004">
          <cell r="J2004" t="str">
            <v>Hudson</v>
          </cell>
        </row>
        <row r="2005">
          <cell r="J2005" t="str">
            <v>Hudson</v>
          </cell>
        </row>
        <row r="2006">
          <cell r="J2006" t="str">
            <v>Hudson</v>
          </cell>
        </row>
        <row r="2007">
          <cell r="J2007" t="str">
            <v>Hudson</v>
          </cell>
        </row>
        <row r="2008">
          <cell r="J2008" t="str">
            <v>Union</v>
          </cell>
        </row>
        <row r="2009">
          <cell r="J2009" t="str">
            <v>Hudson</v>
          </cell>
        </row>
        <row r="2010">
          <cell r="J2010" t="str">
            <v>Hudson</v>
          </cell>
        </row>
        <row r="2011">
          <cell r="J2011" t="str">
            <v>Union</v>
          </cell>
        </row>
        <row r="2012">
          <cell r="J2012" t="str">
            <v>Essex</v>
          </cell>
        </row>
        <row r="2013">
          <cell r="J2013" t="str">
            <v>Essex</v>
          </cell>
        </row>
        <row r="2014">
          <cell r="J2014" t="str">
            <v>Hudson</v>
          </cell>
        </row>
        <row r="2015">
          <cell r="J2015" t="str">
            <v>Union</v>
          </cell>
        </row>
        <row r="2016">
          <cell r="J2016" t="str">
            <v>Essex</v>
          </cell>
        </row>
        <row r="2017">
          <cell r="J2017" t="str">
            <v>Essex</v>
          </cell>
        </row>
        <row r="2018">
          <cell r="J2018" t="str">
            <v>Union</v>
          </cell>
        </row>
        <row r="2019">
          <cell r="J2019" t="str">
            <v>Hudson</v>
          </cell>
        </row>
        <row r="2020">
          <cell r="J2020" t="str">
            <v>Essex</v>
          </cell>
        </row>
        <row r="2021">
          <cell r="J2021" t="str">
            <v>Union</v>
          </cell>
        </row>
        <row r="2022">
          <cell r="J2022" t="str">
            <v>Essex</v>
          </cell>
        </row>
        <row r="2023">
          <cell r="J2023" t="str">
            <v>Hudson</v>
          </cell>
        </row>
        <row r="2024">
          <cell r="J2024" t="str">
            <v>Essex</v>
          </cell>
        </row>
        <row r="2025">
          <cell r="J2025" t="str">
            <v>Hudson</v>
          </cell>
        </row>
        <row r="2026">
          <cell r="J2026" t="str">
            <v>Hudson</v>
          </cell>
        </row>
        <row r="2027">
          <cell r="J2027" t="str">
            <v>Essex</v>
          </cell>
        </row>
        <row r="2028">
          <cell r="J2028" t="str">
            <v>Essex</v>
          </cell>
        </row>
        <row r="2029">
          <cell r="J2029" t="str">
            <v>Hudson</v>
          </cell>
        </row>
        <row r="2030">
          <cell r="J2030" t="str">
            <v>Essex</v>
          </cell>
        </row>
        <row r="2031">
          <cell r="J2031" t="str">
            <v>Hudson</v>
          </cell>
        </row>
        <row r="2032">
          <cell r="J2032" t="str">
            <v>Union</v>
          </cell>
        </row>
        <row r="2033">
          <cell r="J2033" t="str">
            <v>Essex</v>
          </cell>
        </row>
        <row r="2034">
          <cell r="J2034" t="str">
            <v>Hudson</v>
          </cell>
        </row>
        <row r="2035">
          <cell r="J2035" t="str">
            <v>Essex</v>
          </cell>
        </row>
        <row r="2036">
          <cell r="J2036" t="str">
            <v>Essex</v>
          </cell>
        </row>
        <row r="2037">
          <cell r="J2037" t="str">
            <v>Hudson</v>
          </cell>
        </row>
        <row r="2038">
          <cell r="J2038" t="str">
            <v>Essex</v>
          </cell>
        </row>
        <row r="2039">
          <cell r="J2039" t="str">
            <v>Hudson</v>
          </cell>
        </row>
        <row r="2040">
          <cell r="J2040" t="str">
            <v>Hudson</v>
          </cell>
        </row>
        <row r="2041">
          <cell r="J2041" t="str">
            <v>Essex</v>
          </cell>
        </row>
        <row r="2042">
          <cell r="J2042" t="str">
            <v>Hudson</v>
          </cell>
        </row>
        <row r="2043">
          <cell r="J2043" t="str">
            <v>Hudson</v>
          </cell>
        </row>
        <row r="2044">
          <cell r="J2044" t="str">
            <v>Essex</v>
          </cell>
        </row>
        <row r="2045">
          <cell r="J2045" t="str">
            <v>Union</v>
          </cell>
        </row>
        <row r="2046">
          <cell r="J2046" t="str">
            <v>Hudson</v>
          </cell>
        </row>
        <row r="2047">
          <cell r="J2047" t="str">
            <v>Essex</v>
          </cell>
        </row>
        <row r="2048">
          <cell r="J2048" t="str">
            <v>Union</v>
          </cell>
        </row>
        <row r="2049">
          <cell r="J2049" t="str">
            <v>Essex</v>
          </cell>
        </row>
        <row r="2050">
          <cell r="J2050" t="str">
            <v>Union</v>
          </cell>
        </row>
        <row r="2051">
          <cell r="J2051" t="str">
            <v>Essex</v>
          </cell>
        </row>
        <row r="2052">
          <cell r="J2052" t="str">
            <v>Union</v>
          </cell>
        </row>
        <row r="2053">
          <cell r="J2053" t="str">
            <v>Hudson</v>
          </cell>
        </row>
        <row r="2054">
          <cell r="J2054" t="str">
            <v>Hudson</v>
          </cell>
        </row>
        <row r="2055">
          <cell r="J2055" t="str">
            <v>Essex</v>
          </cell>
        </row>
        <row r="2056">
          <cell r="J2056" t="str">
            <v>Essex</v>
          </cell>
        </row>
        <row r="2057">
          <cell r="J2057" t="str">
            <v>Essex</v>
          </cell>
        </row>
        <row r="2058">
          <cell r="J2058" t="str">
            <v>Essex</v>
          </cell>
        </row>
        <row r="2059">
          <cell r="J2059" t="str">
            <v>Essex</v>
          </cell>
        </row>
        <row r="2060">
          <cell r="J2060" t="str">
            <v>Hudson</v>
          </cell>
        </row>
        <row r="2061">
          <cell r="J2061" t="str">
            <v>Union</v>
          </cell>
        </row>
        <row r="2062">
          <cell r="J2062" t="str">
            <v>Union</v>
          </cell>
        </row>
        <row r="2063">
          <cell r="J2063" t="str">
            <v>Essex</v>
          </cell>
        </row>
        <row r="2064">
          <cell r="J2064" t="str">
            <v>Essex</v>
          </cell>
        </row>
        <row r="2065">
          <cell r="J2065" t="str">
            <v>Essex</v>
          </cell>
        </row>
        <row r="2066">
          <cell r="J2066" t="str">
            <v>Essex</v>
          </cell>
        </row>
        <row r="2067">
          <cell r="J2067" t="str">
            <v>Hudson</v>
          </cell>
        </row>
        <row r="2068">
          <cell r="J2068" t="str">
            <v>Essex</v>
          </cell>
        </row>
        <row r="2069">
          <cell r="J2069" t="str">
            <v>Essex</v>
          </cell>
        </row>
        <row r="2070">
          <cell r="J2070" t="str">
            <v>Essex</v>
          </cell>
        </row>
        <row r="2071">
          <cell r="J2071" t="str">
            <v>Essex</v>
          </cell>
        </row>
        <row r="2072">
          <cell r="J2072" t="str">
            <v>Union</v>
          </cell>
        </row>
        <row r="2073">
          <cell r="J2073" t="str">
            <v>Hudson</v>
          </cell>
        </row>
        <row r="2074">
          <cell r="J2074" t="str">
            <v>Essex</v>
          </cell>
        </row>
        <row r="2075">
          <cell r="J2075" t="str">
            <v>Essex</v>
          </cell>
        </row>
        <row r="2076">
          <cell r="J2076" t="str">
            <v>Essex</v>
          </cell>
        </row>
        <row r="2077">
          <cell r="J2077" t="str">
            <v>Essex</v>
          </cell>
        </row>
        <row r="2078">
          <cell r="J2078" t="str">
            <v>Essex</v>
          </cell>
        </row>
        <row r="2079">
          <cell r="J2079" t="str">
            <v>Essex</v>
          </cell>
        </row>
        <row r="2080">
          <cell r="J2080" t="str">
            <v>Essex</v>
          </cell>
        </row>
        <row r="2081">
          <cell r="J2081" t="str">
            <v>Essex</v>
          </cell>
        </row>
        <row r="2082">
          <cell r="J2082" t="str">
            <v>Hudson</v>
          </cell>
        </row>
        <row r="2083">
          <cell r="J2083" t="str">
            <v>Essex</v>
          </cell>
        </row>
        <row r="2084">
          <cell r="J2084" t="str">
            <v>Hudson</v>
          </cell>
        </row>
        <row r="2085">
          <cell r="J2085" t="str">
            <v>Hudson</v>
          </cell>
        </row>
        <row r="2086">
          <cell r="J2086" t="str">
            <v>Essex</v>
          </cell>
        </row>
        <row r="2087">
          <cell r="J2087" t="str">
            <v>Hudson</v>
          </cell>
        </row>
        <row r="2088">
          <cell r="J2088" t="str">
            <v>Hudson</v>
          </cell>
        </row>
        <row r="2089">
          <cell r="J2089" t="str">
            <v>Hudson</v>
          </cell>
        </row>
        <row r="2090">
          <cell r="J2090" t="str">
            <v>Essex</v>
          </cell>
        </row>
        <row r="2091">
          <cell r="J2091" t="str">
            <v>Hudson</v>
          </cell>
        </row>
        <row r="2092">
          <cell r="J2092" t="str">
            <v>Hudson</v>
          </cell>
        </row>
        <row r="2093">
          <cell r="J2093" t="str">
            <v>Essex</v>
          </cell>
        </row>
        <row r="2094">
          <cell r="J2094" t="str">
            <v>Hudson</v>
          </cell>
        </row>
        <row r="2095">
          <cell r="J2095" t="str">
            <v>Essex</v>
          </cell>
        </row>
        <row r="2096">
          <cell r="J2096" t="str">
            <v>Hudson</v>
          </cell>
        </row>
        <row r="2097">
          <cell r="J2097" t="str">
            <v>Essex</v>
          </cell>
        </row>
        <row r="2098">
          <cell r="J2098" t="str">
            <v>Union</v>
          </cell>
        </row>
        <row r="2099">
          <cell r="J2099" t="str">
            <v>Essex</v>
          </cell>
        </row>
        <row r="2100">
          <cell r="J2100" t="str">
            <v>Hudson</v>
          </cell>
        </row>
        <row r="2101">
          <cell r="J2101" t="str">
            <v>Union</v>
          </cell>
        </row>
        <row r="2102">
          <cell r="J2102" t="str">
            <v>Hudson</v>
          </cell>
        </row>
        <row r="2103">
          <cell r="J2103" t="str">
            <v>Union</v>
          </cell>
        </row>
        <row r="2104">
          <cell r="J2104" t="str">
            <v>Hudson</v>
          </cell>
        </row>
        <row r="2105">
          <cell r="J2105" t="str">
            <v>Hudson</v>
          </cell>
        </row>
        <row r="2106">
          <cell r="J2106" t="str">
            <v>Essex</v>
          </cell>
        </row>
        <row r="2107">
          <cell r="J2107" t="str">
            <v>Essex</v>
          </cell>
        </row>
        <row r="2108">
          <cell r="J2108" t="str">
            <v>Hudson</v>
          </cell>
        </row>
        <row r="2109">
          <cell r="J2109" t="str">
            <v>Hudson</v>
          </cell>
        </row>
        <row r="2110">
          <cell r="J2110" t="str">
            <v>Hudson</v>
          </cell>
        </row>
        <row r="2111">
          <cell r="J2111" t="str">
            <v>Hudson</v>
          </cell>
        </row>
        <row r="2112">
          <cell r="J2112" t="str">
            <v>Hudson</v>
          </cell>
        </row>
        <row r="2113">
          <cell r="J2113" t="str">
            <v>Hudson</v>
          </cell>
        </row>
        <row r="2114">
          <cell r="J2114" t="str">
            <v>Hudson</v>
          </cell>
        </row>
        <row r="2115">
          <cell r="J2115" t="str">
            <v>Hudson</v>
          </cell>
        </row>
        <row r="2116">
          <cell r="J2116" t="str">
            <v>Essex</v>
          </cell>
        </row>
        <row r="2117">
          <cell r="J2117" t="str">
            <v>Hudson</v>
          </cell>
        </row>
        <row r="2118">
          <cell r="J2118" t="str">
            <v>Union</v>
          </cell>
        </row>
        <row r="2119">
          <cell r="J2119" t="str">
            <v>Hudson</v>
          </cell>
        </row>
        <row r="2120">
          <cell r="J2120" t="str">
            <v>Essex</v>
          </cell>
        </row>
        <row r="2121">
          <cell r="J2121" t="str">
            <v>Essex</v>
          </cell>
        </row>
        <row r="2122">
          <cell r="J2122" t="str">
            <v>Essex</v>
          </cell>
        </row>
        <row r="2123">
          <cell r="J2123" t="str">
            <v>Essex</v>
          </cell>
        </row>
        <row r="2124">
          <cell r="J2124" t="str">
            <v>Essex</v>
          </cell>
        </row>
        <row r="2125">
          <cell r="J2125" t="str">
            <v>Hudson</v>
          </cell>
        </row>
        <row r="2126">
          <cell r="J2126" t="str">
            <v>Hudson</v>
          </cell>
        </row>
        <row r="2127">
          <cell r="J2127" t="str">
            <v>Hudson</v>
          </cell>
        </row>
        <row r="2128">
          <cell r="J2128" t="str">
            <v>Union</v>
          </cell>
        </row>
        <row r="2129">
          <cell r="J2129" t="str">
            <v>Hudson</v>
          </cell>
        </row>
        <row r="2130">
          <cell r="J2130" t="str">
            <v>Hudson</v>
          </cell>
        </row>
        <row r="2131">
          <cell r="J2131" t="str">
            <v>Hudson</v>
          </cell>
        </row>
        <row r="2132">
          <cell r="J2132" t="str">
            <v>Hudson</v>
          </cell>
        </row>
        <row r="2133">
          <cell r="J2133" t="str">
            <v>Union</v>
          </cell>
        </row>
        <row r="2134">
          <cell r="J2134" t="str">
            <v>Hudson</v>
          </cell>
        </row>
        <row r="2135">
          <cell r="J2135" t="str">
            <v>Hudson</v>
          </cell>
        </row>
        <row r="2136">
          <cell r="J2136" t="str">
            <v>Essex</v>
          </cell>
        </row>
        <row r="2137">
          <cell r="J2137" t="str">
            <v>Hudson</v>
          </cell>
        </row>
        <row r="2138">
          <cell r="J2138" t="str">
            <v>Hudson</v>
          </cell>
        </row>
        <row r="2139">
          <cell r="J2139" t="str">
            <v>Hudson</v>
          </cell>
        </row>
        <row r="2140">
          <cell r="J2140" t="str">
            <v>Hudson</v>
          </cell>
        </row>
        <row r="2141">
          <cell r="J2141" t="str">
            <v>Hudson</v>
          </cell>
        </row>
        <row r="2142">
          <cell r="J2142" t="str">
            <v>Essex</v>
          </cell>
        </row>
        <row r="2143">
          <cell r="J2143" t="str">
            <v>Hudson</v>
          </cell>
        </row>
        <row r="2144">
          <cell r="J2144" t="str">
            <v>Union</v>
          </cell>
        </row>
        <row r="2145">
          <cell r="J2145" t="str">
            <v>Union</v>
          </cell>
        </row>
        <row r="2146">
          <cell r="J2146" t="str">
            <v>Union</v>
          </cell>
        </row>
        <row r="2147">
          <cell r="J2147" t="str">
            <v>Essex</v>
          </cell>
        </row>
        <row r="2148">
          <cell r="J2148" t="str">
            <v>Union</v>
          </cell>
        </row>
        <row r="2149">
          <cell r="J2149" t="str">
            <v>Hudson</v>
          </cell>
        </row>
        <row r="2150">
          <cell r="J2150" t="str">
            <v>Hudson</v>
          </cell>
        </row>
        <row r="2151">
          <cell r="J2151" t="str">
            <v>Hudson</v>
          </cell>
        </row>
        <row r="2152">
          <cell r="J2152" t="str">
            <v>Union</v>
          </cell>
        </row>
        <row r="2153">
          <cell r="J2153" t="str">
            <v>Hudson</v>
          </cell>
        </row>
        <row r="2154">
          <cell r="J2154" t="str">
            <v>Essex</v>
          </cell>
        </row>
        <row r="2155">
          <cell r="J2155" t="str">
            <v>Hudson</v>
          </cell>
        </row>
        <row r="2156">
          <cell r="J2156" t="str">
            <v>Essex</v>
          </cell>
        </row>
        <row r="2157">
          <cell r="J2157" t="str">
            <v>Hudson</v>
          </cell>
        </row>
        <row r="2158">
          <cell r="J2158" t="str">
            <v>Hudson</v>
          </cell>
        </row>
        <row r="2159">
          <cell r="J2159" t="str">
            <v>Hudson</v>
          </cell>
        </row>
        <row r="2160">
          <cell r="J2160" t="str">
            <v>Essex</v>
          </cell>
        </row>
        <row r="2161">
          <cell r="J2161" t="str">
            <v>Union</v>
          </cell>
        </row>
        <row r="2162">
          <cell r="J2162" t="str">
            <v>Hudson</v>
          </cell>
        </row>
        <row r="2163">
          <cell r="J2163" t="str">
            <v>Hudson</v>
          </cell>
        </row>
        <row r="2164">
          <cell r="J2164" t="str">
            <v>Essex</v>
          </cell>
        </row>
        <row r="2165">
          <cell r="J2165" t="str">
            <v>Essex</v>
          </cell>
        </row>
        <row r="2166">
          <cell r="J2166" t="str">
            <v>Essex</v>
          </cell>
        </row>
        <row r="2167">
          <cell r="J2167" t="str">
            <v>Hudson</v>
          </cell>
        </row>
        <row r="2168">
          <cell r="J2168" t="str">
            <v>Essex</v>
          </cell>
        </row>
        <row r="2169">
          <cell r="J2169" t="str">
            <v>Essex</v>
          </cell>
        </row>
        <row r="2170">
          <cell r="J2170" t="str">
            <v>Union</v>
          </cell>
        </row>
        <row r="2171">
          <cell r="J2171" t="str">
            <v>Essex</v>
          </cell>
        </row>
        <row r="2172">
          <cell r="J2172" t="str">
            <v>Essex</v>
          </cell>
        </row>
        <row r="2173">
          <cell r="J2173" t="str">
            <v>Hudson</v>
          </cell>
        </row>
        <row r="2174">
          <cell r="J2174" t="str">
            <v>Essex</v>
          </cell>
        </row>
        <row r="2175">
          <cell r="J2175" t="str">
            <v>Union</v>
          </cell>
        </row>
        <row r="2176">
          <cell r="J2176" t="str">
            <v>Hudson</v>
          </cell>
        </row>
        <row r="2177">
          <cell r="J2177" t="str">
            <v>Essex</v>
          </cell>
        </row>
        <row r="2178">
          <cell r="J2178" t="str">
            <v>Union</v>
          </cell>
        </row>
        <row r="2179">
          <cell r="J2179" t="str">
            <v>Union</v>
          </cell>
        </row>
        <row r="2180">
          <cell r="J2180" t="str">
            <v>Hudson</v>
          </cell>
        </row>
        <row r="2181">
          <cell r="J2181" t="str">
            <v>Union</v>
          </cell>
        </row>
        <row r="2182">
          <cell r="J2182" t="str">
            <v>Union</v>
          </cell>
        </row>
        <row r="2183">
          <cell r="J2183" t="str">
            <v>Union</v>
          </cell>
        </row>
        <row r="2184">
          <cell r="J2184" t="str">
            <v>Union</v>
          </cell>
        </row>
        <row r="2185">
          <cell r="J2185" t="str">
            <v>Hudson</v>
          </cell>
        </row>
        <row r="2186">
          <cell r="J2186" t="str">
            <v>Hudson</v>
          </cell>
        </row>
        <row r="2187">
          <cell r="J2187" t="str">
            <v>Union</v>
          </cell>
        </row>
        <row r="2188">
          <cell r="J2188" t="str">
            <v>Hudson</v>
          </cell>
        </row>
        <row r="2189">
          <cell r="J2189" t="str">
            <v>Union</v>
          </cell>
        </row>
        <row r="2190">
          <cell r="J2190" t="str">
            <v>Hudson</v>
          </cell>
        </row>
        <row r="2191">
          <cell r="J2191" t="str">
            <v>Hudson</v>
          </cell>
        </row>
        <row r="2192">
          <cell r="J2192" t="str">
            <v>Essex</v>
          </cell>
        </row>
        <row r="2193">
          <cell r="J2193" t="str">
            <v>Union</v>
          </cell>
        </row>
        <row r="2194">
          <cell r="J2194" t="str">
            <v>Essex</v>
          </cell>
        </row>
        <row r="2195">
          <cell r="J2195" t="str">
            <v>Essex</v>
          </cell>
        </row>
        <row r="2196">
          <cell r="J2196" t="str">
            <v>Union</v>
          </cell>
        </row>
        <row r="2197">
          <cell r="J2197" t="str">
            <v>Hudson</v>
          </cell>
        </row>
        <row r="2198">
          <cell r="J2198" t="str">
            <v>Essex</v>
          </cell>
        </row>
        <row r="2199">
          <cell r="J2199" t="str">
            <v>Hudson</v>
          </cell>
        </row>
        <row r="2200">
          <cell r="J2200" t="str">
            <v>Hudson</v>
          </cell>
        </row>
        <row r="2201">
          <cell r="J2201" t="str">
            <v>Hudson</v>
          </cell>
        </row>
        <row r="2202">
          <cell r="J2202" t="str">
            <v>Hudson</v>
          </cell>
        </row>
        <row r="2203">
          <cell r="J2203" t="str">
            <v>Union</v>
          </cell>
        </row>
        <row r="2204">
          <cell r="J2204" t="str">
            <v>Essex</v>
          </cell>
        </row>
        <row r="2205">
          <cell r="J2205" t="str">
            <v>Hudson</v>
          </cell>
        </row>
        <row r="2206">
          <cell r="J2206" t="str">
            <v>Hudson</v>
          </cell>
        </row>
        <row r="2207">
          <cell r="J2207" t="str">
            <v>Hudson</v>
          </cell>
        </row>
        <row r="2208">
          <cell r="J2208" t="str">
            <v>Union</v>
          </cell>
        </row>
        <row r="2209">
          <cell r="J2209" t="str">
            <v>Essex</v>
          </cell>
        </row>
        <row r="2210">
          <cell r="J2210" t="str">
            <v>Hudson</v>
          </cell>
        </row>
        <row r="2211">
          <cell r="J2211" t="str">
            <v>Hudson</v>
          </cell>
        </row>
        <row r="2212">
          <cell r="J2212" t="str">
            <v>Hudson</v>
          </cell>
        </row>
        <row r="2213">
          <cell r="J2213" t="str">
            <v>Hudson</v>
          </cell>
        </row>
        <row r="2214">
          <cell r="J2214" t="str">
            <v>Hudson</v>
          </cell>
        </row>
        <row r="2215">
          <cell r="J2215" t="str">
            <v>Hudson</v>
          </cell>
        </row>
        <row r="2216">
          <cell r="J2216" t="str">
            <v>Hudson</v>
          </cell>
        </row>
        <row r="2217">
          <cell r="J2217" t="str">
            <v>Union</v>
          </cell>
        </row>
        <row r="2218">
          <cell r="J2218" t="str">
            <v>Union</v>
          </cell>
        </row>
        <row r="2219">
          <cell r="J2219" t="str">
            <v>Union</v>
          </cell>
        </row>
        <row r="2220">
          <cell r="J2220" t="str">
            <v>Union</v>
          </cell>
        </row>
        <row r="2221">
          <cell r="J2221" t="str">
            <v>Union</v>
          </cell>
        </row>
        <row r="2222">
          <cell r="J2222" t="str">
            <v>Essex</v>
          </cell>
        </row>
        <row r="2223">
          <cell r="J2223" t="str">
            <v>Essex</v>
          </cell>
        </row>
        <row r="2224">
          <cell r="J2224" t="str">
            <v>Hudson</v>
          </cell>
        </row>
        <row r="2225">
          <cell r="J2225" t="str">
            <v>Hudson</v>
          </cell>
        </row>
        <row r="2226">
          <cell r="J2226" t="str">
            <v>Essex</v>
          </cell>
        </row>
        <row r="2227">
          <cell r="J2227" t="str">
            <v>Essex</v>
          </cell>
        </row>
        <row r="2228">
          <cell r="J2228" t="str">
            <v>Hudson</v>
          </cell>
        </row>
        <row r="2229">
          <cell r="J2229" t="str">
            <v>Essex</v>
          </cell>
        </row>
        <row r="2230">
          <cell r="J2230" t="str">
            <v>Essex</v>
          </cell>
        </row>
        <row r="2231">
          <cell r="J2231" t="str">
            <v>Essex</v>
          </cell>
        </row>
        <row r="2232">
          <cell r="J2232" t="str">
            <v>Hudson</v>
          </cell>
        </row>
        <row r="2233">
          <cell r="J2233" t="str">
            <v>Hudson</v>
          </cell>
        </row>
        <row r="2234">
          <cell r="J2234" t="str">
            <v>Hudson</v>
          </cell>
        </row>
        <row r="2235">
          <cell r="J2235" t="str">
            <v>Hudson</v>
          </cell>
        </row>
        <row r="2236">
          <cell r="J2236" t="str">
            <v>Union</v>
          </cell>
        </row>
        <row r="2237">
          <cell r="J2237" t="str">
            <v>Hudson</v>
          </cell>
        </row>
        <row r="2238">
          <cell r="J2238" t="str">
            <v>Essex</v>
          </cell>
        </row>
        <row r="2239">
          <cell r="J2239" t="str">
            <v>Union</v>
          </cell>
        </row>
        <row r="2240">
          <cell r="J2240" t="str">
            <v>Union</v>
          </cell>
        </row>
        <row r="2241">
          <cell r="J2241" t="str">
            <v>Hudson</v>
          </cell>
        </row>
        <row r="2242">
          <cell r="J2242" t="str">
            <v>Hudson</v>
          </cell>
        </row>
        <row r="2243">
          <cell r="J2243" t="str">
            <v>Essex</v>
          </cell>
        </row>
        <row r="2244">
          <cell r="J2244" t="str">
            <v>Union</v>
          </cell>
        </row>
        <row r="2245">
          <cell r="J2245" t="str">
            <v>Hudson</v>
          </cell>
        </row>
        <row r="2246">
          <cell r="J2246" t="str">
            <v>Essex</v>
          </cell>
        </row>
        <row r="2247">
          <cell r="J2247" t="str">
            <v>Union</v>
          </cell>
        </row>
        <row r="2248">
          <cell r="J2248" t="str">
            <v>Essex</v>
          </cell>
        </row>
        <row r="2249">
          <cell r="J2249" t="str">
            <v>Hudson</v>
          </cell>
        </row>
        <row r="2250">
          <cell r="J2250" t="str">
            <v>Essex</v>
          </cell>
        </row>
        <row r="2251">
          <cell r="J2251" t="str">
            <v>Union</v>
          </cell>
        </row>
        <row r="2252">
          <cell r="J2252" t="str">
            <v>Union</v>
          </cell>
        </row>
        <row r="2253">
          <cell r="J2253" t="str">
            <v>Hudson</v>
          </cell>
        </row>
        <row r="2254">
          <cell r="J2254" t="str">
            <v>Union</v>
          </cell>
        </row>
        <row r="2255">
          <cell r="J2255" t="str">
            <v>Union</v>
          </cell>
        </row>
        <row r="2256">
          <cell r="J2256" t="str">
            <v>Union</v>
          </cell>
        </row>
        <row r="2257">
          <cell r="J2257" t="str">
            <v>Essex</v>
          </cell>
        </row>
        <row r="2258">
          <cell r="J2258" t="str">
            <v>Hudson</v>
          </cell>
        </row>
        <row r="2259">
          <cell r="J2259" t="str">
            <v>Union</v>
          </cell>
        </row>
        <row r="2260">
          <cell r="J2260" t="str">
            <v>Hudson</v>
          </cell>
        </row>
        <row r="2261">
          <cell r="J2261" t="str">
            <v>Hudson</v>
          </cell>
        </row>
        <row r="2262">
          <cell r="J2262" t="str">
            <v>Essex</v>
          </cell>
        </row>
        <row r="2263">
          <cell r="J2263" t="str">
            <v>Essex</v>
          </cell>
        </row>
        <row r="2264">
          <cell r="J2264" t="str">
            <v>Hudson</v>
          </cell>
        </row>
        <row r="2265">
          <cell r="J2265" t="str">
            <v>Hudson</v>
          </cell>
        </row>
        <row r="2266">
          <cell r="J2266" t="str">
            <v>Hudson</v>
          </cell>
        </row>
        <row r="2267">
          <cell r="J2267" t="str">
            <v>Essex</v>
          </cell>
        </row>
        <row r="2268">
          <cell r="J2268" t="str">
            <v>Union</v>
          </cell>
        </row>
        <row r="2269">
          <cell r="J2269" t="str">
            <v>Union</v>
          </cell>
        </row>
        <row r="2270">
          <cell r="J2270" t="str">
            <v>Hudson</v>
          </cell>
        </row>
        <row r="2271">
          <cell r="J2271" t="str">
            <v>Hudson</v>
          </cell>
        </row>
        <row r="2272">
          <cell r="J2272" t="str">
            <v>Essex</v>
          </cell>
        </row>
        <row r="2273">
          <cell r="J2273" t="str">
            <v>Essex</v>
          </cell>
        </row>
        <row r="2274">
          <cell r="J2274" t="str">
            <v>Essex</v>
          </cell>
        </row>
        <row r="2275">
          <cell r="J2275" t="str">
            <v>Hudson</v>
          </cell>
        </row>
        <row r="2276">
          <cell r="J2276" t="str">
            <v>Essex</v>
          </cell>
        </row>
        <row r="2277">
          <cell r="J2277" t="str">
            <v>Hudson</v>
          </cell>
        </row>
        <row r="2278">
          <cell r="J2278" t="str">
            <v>Essex</v>
          </cell>
        </row>
        <row r="2279">
          <cell r="J2279" t="str">
            <v>Union</v>
          </cell>
        </row>
        <row r="2280">
          <cell r="J2280" t="str">
            <v>Hudson</v>
          </cell>
        </row>
        <row r="2281">
          <cell r="J2281" t="str">
            <v>Hudson</v>
          </cell>
        </row>
        <row r="2282">
          <cell r="J2282" t="str">
            <v>Hudson</v>
          </cell>
        </row>
        <row r="2283">
          <cell r="J2283" t="str">
            <v>Hudson</v>
          </cell>
        </row>
        <row r="2284">
          <cell r="J2284" t="str">
            <v>Essex</v>
          </cell>
        </row>
        <row r="2285">
          <cell r="J2285" t="str">
            <v>Essex</v>
          </cell>
        </row>
        <row r="2286">
          <cell r="J2286" t="str">
            <v>Essex</v>
          </cell>
        </row>
        <row r="2287">
          <cell r="J2287" t="str">
            <v>Hudson</v>
          </cell>
        </row>
        <row r="2288">
          <cell r="J2288" t="str">
            <v>Essex</v>
          </cell>
        </row>
        <row r="2289">
          <cell r="J2289" t="str">
            <v>Hudson</v>
          </cell>
        </row>
        <row r="2290">
          <cell r="J2290" t="str">
            <v>Essex</v>
          </cell>
        </row>
        <row r="2291">
          <cell r="J2291" t="str">
            <v>Essex</v>
          </cell>
        </row>
        <row r="2292">
          <cell r="J2292" t="str">
            <v>Hudson</v>
          </cell>
        </row>
        <row r="2293">
          <cell r="J2293" t="str">
            <v>Hudson</v>
          </cell>
        </row>
        <row r="2294">
          <cell r="J2294" t="str">
            <v>Essex</v>
          </cell>
        </row>
        <row r="2295">
          <cell r="J2295" t="str">
            <v>Hudson</v>
          </cell>
        </row>
        <row r="2296">
          <cell r="J2296" t="str">
            <v>Union</v>
          </cell>
        </row>
        <row r="2297">
          <cell r="J2297" t="str">
            <v>Hudson</v>
          </cell>
        </row>
        <row r="2298">
          <cell r="J2298" t="str">
            <v>Essex</v>
          </cell>
        </row>
        <row r="2299">
          <cell r="J2299" t="str">
            <v>Hudson</v>
          </cell>
        </row>
        <row r="2300">
          <cell r="J2300" t="str">
            <v>Essex</v>
          </cell>
        </row>
        <row r="2301">
          <cell r="J2301" t="str">
            <v>Hudson</v>
          </cell>
        </row>
        <row r="2302">
          <cell r="J2302" t="str">
            <v>Hudson</v>
          </cell>
        </row>
        <row r="2303">
          <cell r="J2303" t="str">
            <v>Hudson</v>
          </cell>
        </row>
        <row r="2304">
          <cell r="J2304" t="str">
            <v>Hudson</v>
          </cell>
        </row>
        <row r="2305">
          <cell r="J2305" t="str">
            <v>Essex</v>
          </cell>
        </row>
        <row r="2306">
          <cell r="J2306" t="str">
            <v>Hudson</v>
          </cell>
        </row>
        <row r="2307">
          <cell r="J2307" t="str">
            <v>Hudson</v>
          </cell>
        </row>
        <row r="2308">
          <cell r="J2308" t="str">
            <v>Hudson</v>
          </cell>
        </row>
        <row r="2309">
          <cell r="J2309" t="str">
            <v>Hudson</v>
          </cell>
        </row>
      </sheetData>
      <sheetData sheetId="7">
        <row r="4">
          <cell r="G4" t="str">
            <v>Heineken USA</v>
          </cell>
          <cell r="H4" t="str">
            <v>Heineken USA</v>
          </cell>
          <cell r="K4" t="str">
            <v>Non-Product</v>
          </cell>
          <cell r="L4" t="str">
            <v>No</v>
          </cell>
        </row>
        <row r="5">
          <cell r="G5" t="str">
            <v>Heineken USA</v>
          </cell>
          <cell r="H5" t="str">
            <v>Heineken USA</v>
          </cell>
          <cell r="K5" t="str">
            <v>Non-Product</v>
          </cell>
          <cell r="L5" t="str">
            <v>No</v>
          </cell>
        </row>
        <row r="6">
          <cell r="G6" t="str">
            <v>Heineken USA</v>
          </cell>
          <cell r="H6" t="str">
            <v>Heineken USA</v>
          </cell>
          <cell r="K6" t="str">
            <v>Non-Product</v>
          </cell>
          <cell r="L6" t="str">
            <v>No</v>
          </cell>
        </row>
        <row r="7">
          <cell r="G7" t="str">
            <v>Long Trail</v>
          </cell>
          <cell r="H7" t="str">
            <v>Harpoon Brewery</v>
          </cell>
          <cell r="K7" t="str">
            <v>Package</v>
          </cell>
          <cell r="L7" t="str">
            <v>No</v>
          </cell>
        </row>
        <row r="8">
          <cell r="G8" t="str">
            <v>Coors</v>
          </cell>
          <cell r="H8" t="str">
            <v>MolsonCoors Beverage Company</v>
          </cell>
          <cell r="K8" t="str">
            <v>Draft</v>
          </cell>
          <cell r="L8" t="str">
            <v>Yes</v>
          </cell>
        </row>
        <row r="9">
          <cell r="G9" t="str">
            <v>Coors</v>
          </cell>
          <cell r="H9" t="str">
            <v>MolsonCoors Beverage Company</v>
          </cell>
          <cell r="K9" t="str">
            <v>Package</v>
          </cell>
          <cell r="L9" t="str">
            <v>Yes</v>
          </cell>
        </row>
        <row r="10">
          <cell r="G10" t="str">
            <v>Coors</v>
          </cell>
          <cell r="H10" t="str">
            <v>MolsonCoors Beverage Company</v>
          </cell>
          <cell r="K10" t="str">
            <v>Package</v>
          </cell>
          <cell r="L10" t="str">
            <v>Yes</v>
          </cell>
        </row>
        <row r="11">
          <cell r="G11" t="str">
            <v>Coors</v>
          </cell>
          <cell r="H11" t="str">
            <v>MolsonCoors Beverage Company</v>
          </cell>
          <cell r="K11" t="str">
            <v>Package</v>
          </cell>
          <cell r="L11" t="str">
            <v>Yes</v>
          </cell>
        </row>
        <row r="12">
          <cell r="G12" t="str">
            <v>Coors</v>
          </cell>
          <cell r="H12" t="str">
            <v>MolsonCoors Beverage Company</v>
          </cell>
          <cell r="K12" t="str">
            <v>Package</v>
          </cell>
          <cell r="L12" t="str">
            <v>No</v>
          </cell>
        </row>
        <row r="13">
          <cell r="G13" t="str">
            <v>Coors</v>
          </cell>
          <cell r="H13" t="str">
            <v>MolsonCoors Beverage Company</v>
          </cell>
          <cell r="K13" t="str">
            <v>Package</v>
          </cell>
          <cell r="L13" t="str">
            <v>Yes</v>
          </cell>
        </row>
        <row r="14">
          <cell r="G14" t="str">
            <v>Coors</v>
          </cell>
          <cell r="H14" t="str">
            <v>MolsonCoors Beverage Company</v>
          </cell>
          <cell r="K14" t="str">
            <v>Package</v>
          </cell>
          <cell r="L14" t="str">
            <v>Yes</v>
          </cell>
        </row>
        <row r="15">
          <cell r="G15" t="str">
            <v>Coors</v>
          </cell>
          <cell r="H15" t="str">
            <v>MolsonCoors Beverage Company</v>
          </cell>
          <cell r="K15" t="str">
            <v>Package</v>
          </cell>
          <cell r="L15" t="str">
            <v>Yes</v>
          </cell>
        </row>
        <row r="16">
          <cell r="G16" t="str">
            <v>Coors</v>
          </cell>
          <cell r="H16" t="str">
            <v>MolsonCoors Beverage Company</v>
          </cell>
          <cell r="K16" t="str">
            <v>Package</v>
          </cell>
          <cell r="L16" t="str">
            <v>Yes</v>
          </cell>
        </row>
        <row r="17">
          <cell r="G17" t="str">
            <v>Coors</v>
          </cell>
          <cell r="H17" t="str">
            <v>MolsonCoors Beverage Company</v>
          </cell>
          <cell r="K17" t="str">
            <v>Package</v>
          </cell>
          <cell r="L17" t="str">
            <v>No</v>
          </cell>
        </row>
        <row r="18">
          <cell r="G18" t="str">
            <v>Coors</v>
          </cell>
          <cell r="H18" t="str">
            <v>MolsonCoors Beverage Company</v>
          </cell>
          <cell r="K18" t="str">
            <v>Package</v>
          </cell>
          <cell r="L18" t="str">
            <v>Yes</v>
          </cell>
        </row>
        <row r="19">
          <cell r="G19" t="str">
            <v>Coors</v>
          </cell>
          <cell r="H19" t="str">
            <v>MolsonCoors Beverage Company</v>
          </cell>
          <cell r="K19" t="str">
            <v>Package</v>
          </cell>
          <cell r="L19" t="str">
            <v>Yes</v>
          </cell>
        </row>
        <row r="20">
          <cell r="G20" t="str">
            <v>Coors</v>
          </cell>
          <cell r="H20" t="str">
            <v>MolsonCoors Beverage Company</v>
          </cell>
          <cell r="K20" t="str">
            <v>Package</v>
          </cell>
          <cell r="L20" t="str">
            <v>Yes</v>
          </cell>
        </row>
        <row r="21">
          <cell r="G21" t="str">
            <v>Coors Light</v>
          </cell>
          <cell r="H21" t="str">
            <v>MolsonCoors Beverage Company</v>
          </cell>
          <cell r="K21" t="str">
            <v>Draft</v>
          </cell>
          <cell r="L21" t="str">
            <v>Yes</v>
          </cell>
        </row>
        <row r="22">
          <cell r="G22" t="str">
            <v>Coors Light</v>
          </cell>
          <cell r="H22" t="str">
            <v>MolsonCoors Beverage Company</v>
          </cell>
          <cell r="K22" t="str">
            <v>Draft</v>
          </cell>
          <cell r="L22" t="str">
            <v>Yes</v>
          </cell>
        </row>
        <row r="23">
          <cell r="G23" t="str">
            <v>Coors Light</v>
          </cell>
          <cell r="H23" t="str">
            <v>MolsonCoors Beverage Company</v>
          </cell>
          <cell r="K23" t="str">
            <v>Package</v>
          </cell>
          <cell r="L23" t="str">
            <v>Yes</v>
          </cell>
        </row>
        <row r="24">
          <cell r="G24" t="str">
            <v>Coors Light</v>
          </cell>
          <cell r="H24" t="str">
            <v>MolsonCoors Beverage Company</v>
          </cell>
          <cell r="K24" t="str">
            <v>Package</v>
          </cell>
          <cell r="L24" t="str">
            <v>Yes</v>
          </cell>
        </row>
        <row r="25">
          <cell r="G25" t="str">
            <v>Coors Light</v>
          </cell>
          <cell r="H25" t="str">
            <v>MolsonCoors Beverage Company</v>
          </cell>
          <cell r="K25" t="str">
            <v>Package</v>
          </cell>
          <cell r="L25" t="str">
            <v>Yes</v>
          </cell>
        </row>
        <row r="26">
          <cell r="G26" t="str">
            <v>Coors Light</v>
          </cell>
          <cell r="H26" t="str">
            <v>MolsonCoors Beverage Company</v>
          </cell>
          <cell r="K26" t="str">
            <v>Package</v>
          </cell>
          <cell r="L26" t="str">
            <v>Yes</v>
          </cell>
        </row>
        <row r="27">
          <cell r="G27" t="str">
            <v>Coors Light</v>
          </cell>
          <cell r="H27" t="str">
            <v>MolsonCoors Beverage Company</v>
          </cell>
          <cell r="K27" t="str">
            <v>Package</v>
          </cell>
          <cell r="L27" t="str">
            <v>Yes</v>
          </cell>
        </row>
        <row r="28">
          <cell r="G28" t="str">
            <v>Coors Light</v>
          </cell>
          <cell r="H28" t="str">
            <v>MolsonCoors Beverage Company</v>
          </cell>
          <cell r="K28" t="str">
            <v>Package</v>
          </cell>
          <cell r="L28" t="str">
            <v>Yes</v>
          </cell>
        </row>
        <row r="29">
          <cell r="G29" t="str">
            <v>Coors Light</v>
          </cell>
          <cell r="H29" t="str">
            <v>MolsonCoors Beverage Company</v>
          </cell>
          <cell r="K29" t="str">
            <v>Package</v>
          </cell>
          <cell r="L29" t="str">
            <v>Yes</v>
          </cell>
        </row>
        <row r="30">
          <cell r="G30" t="str">
            <v>Coors Light</v>
          </cell>
          <cell r="H30" t="str">
            <v>MolsonCoors Beverage Company</v>
          </cell>
          <cell r="K30" t="str">
            <v>Package</v>
          </cell>
          <cell r="L30" t="str">
            <v>Yes</v>
          </cell>
        </row>
        <row r="31">
          <cell r="G31" t="str">
            <v>Coors Light</v>
          </cell>
          <cell r="H31" t="str">
            <v>MolsonCoors Beverage Company</v>
          </cell>
          <cell r="K31" t="str">
            <v>Package</v>
          </cell>
          <cell r="L31" t="str">
            <v>Yes</v>
          </cell>
        </row>
        <row r="32">
          <cell r="G32" t="str">
            <v>Coors Light</v>
          </cell>
          <cell r="H32" t="str">
            <v>MolsonCoors Beverage Company</v>
          </cell>
          <cell r="K32" t="str">
            <v>Package</v>
          </cell>
          <cell r="L32" t="str">
            <v>Yes</v>
          </cell>
        </row>
        <row r="33">
          <cell r="G33" t="str">
            <v>Coors Light</v>
          </cell>
          <cell r="H33" t="str">
            <v>MolsonCoors Beverage Company</v>
          </cell>
          <cell r="K33" t="str">
            <v>Package</v>
          </cell>
          <cell r="L33" t="str">
            <v>Yes</v>
          </cell>
        </row>
        <row r="34">
          <cell r="G34" t="str">
            <v>Coors Light</v>
          </cell>
          <cell r="H34" t="str">
            <v>MolsonCoors Beverage Company</v>
          </cell>
          <cell r="K34" t="str">
            <v>Package</v>
          </cell>
          <cell r="L34" t="str">
            <v>Yes</v>
          </cell>
        </row>
        <row r="35">
          <cell r="G35" t="str">
            <v>Coors Light</v>
          </cell>
          <cell r="H35" t="str">
            <v>MolsonCoors Beverage Company</v>
          </cell>
          <cell r="K35" t="str">
            <v>Package</v>
          </cell>
          <cell r="L35" t="str">
            <v>Yes</v>
          </cell>
        </row>
        <row r="36">
          <cell r="G36" t="str">
            <v>Coors Light</v>
          </cell>
          <cell r="H36" t="str">
            <v>MolsonCoors Beverage Company</v>
          </cell>
          <cell r="K36" t="str">
            <v>Package</v>
          </cell>
          <cell r="L36" t="str">
            <v>Yes</v>
          </cell>
        </row>
        <row r="37">
          <cell r="G37" t="str">
            <v>Coors Light</v>
          </cell>
          <cell r="H37" t="str">
            <v>MolsonCoors Beverage Company</v>
          </cell>
          <cell r="K37" t="str">
            <v>Package</v>
          </cell>
          <cell r="L37" t="str">
            <v>Yes</v>
          </cell>
        </row>
        <row r="38">
          <cell r="G38" t="str">
            <v>Coors Light</v>
          </cell>
          <cell r="H38" t="str">
            <v>MolsonCoors Beverage Company</v>
          </cell>
          <cell r="K38" t="str">
            <v>Package</v>
          </cell>
          <cell r="L38" t="str">
            <v>No</v>
          </cell>
        </row>
        <row r="39">
          <cell r="G39" t="str">
            <v>Coors Light</v>
          </cell>
          <cell r="H39" t="str">
            <v>MolsonCoors Beverage Company</v>
          </cell>
          <cell r="K39" t="str">
            <v>Package</v>
          </cell>
          <cell r="L39" t="str">
            <v>Yes</v>
          </cell>
        </row>
        <row r="40">
          <cell r="G40" t="str">
            <v>Coors Light</v>
          </cell>
          <cell r="H40" t="str">
            <v>MolsonCoors Beverage Company</v>
          </cell>
          <cell r="K40" t="str">
            <v>Package</v>
          </cell>
          <cell r="L40" t="str">
            <v>Yes</v>
          </cell>
        </row>
        <row r="41">
          <cell r="G41" t="str">
            <v>Coors Light</v>
          </cell>
          <cell r="H41" t="str">
            <v>MolsonCoors Beverage Company</v>
          </cell>
          <cell r="K41" t="str">
            <v>Package</v>
          </cell>
          <cell r="L41" t="str">
            <v>Yes</v>
          </cell>
        </row>
        <row r="42">
          <cell r="G42" t="str">
            <v>Coors Light</v>
          </cell>
          <cell r="H42" t="str">
            <v>MolsonCoors Beverage Company</v>
          </cell>
          <cell r="K42" t="str">
            <v>Package</v>
          </cell>
          <cell r="L42" t="str">
            <v>Yes</v>
          </cell>
        </row>
        <row r="43">
          <cell r="G43" t="str">
            <v>Coors Light</v>
          </cell>
          <cell r="H43" t="str">
            <v>MolsonCoors Beverage Company</v>
          </cell>
          <cell r="K43" t="str">
            <v>Package</v>
          </cell>
          <cell r="L43" t="str">
            <v>Yes</v>
          </cell>
        </row>
        <row r="44">
          <cell r="G44" t="str">
            <v>Coors</v>
          </cell>
          <cell r="H44" t="str">
            <v>MolsonCoors Beverage Company</v>
          </cell>
          <cell r="K44" t="str">
            <v>Package</v>
          </cell>
          <cell r="L44" t="str">
            <v>No</v>
          </cell>
        </row>
        <row r="45">
          <cell r="G45" t="str">
            <v>Miller High Life</v>
          </cell>
          <cell r="H45" t="str">
            <v>MolsonCoors Beverage Company</v>
          </cell>
          <cell r="K45" t="str">
            <v>Draft</v>
          </cell>
          <cell r="L45" t="str">
            <v>Yes</v>
          </cell>
        </row>
        <row r="46">
          <cell r="G46" t="str">
            <v>Miller High Life</v>
          </cell>
          <cell r="H46" t="str">
            <v>MolsonCoors Beverage Company</v>
          </cell>
          <cell r="K46" t="str">
            <v>Package</v>
          </cell>
          <cell r="L46" t="str">
            <v>Yes</v>
          </cell>
        </row>
        <row r="47">
          <cell r="G47" t="str">
            <v>Miller High Life</v>
          </cell>
          <cell r="H47" t="str">
            <v>MolsonCoors Beverage Company</v>
          </cell>
          <cell r="K47" t="str">
            <v>Package</v>
          </cell>
          <cell r="L47" t="str">
            <v>Yes</v>
          </cell>
        </row>
        <row r="48">
          <cell r="G48" t="str">
            <v>Miller High Life</v>
          </cell>
          <cell r="H48" t="str">
            <v>MolsonCoors Beverage Company</v>
          </cell>
          <cell r="K48" t="str">
            <v>Package</v>
          </cell>
          <cell r="L48" t="str">
            <v>Yes</v>
          </cell>
        </row>
        <row r="49">
          <cell r="G49" t="str">
            <v>Miller High Life</v>
          </cell>
          <cell r="H49" t="str">
            <v>MolsonCoors Beverage Company</v>
          </cell>
          <cell r="K49" t="str">
            <v>Package</v>
          </cell>
          <cell r="L49" t="str">
            <v>Yes</v>
          </cell>
        </row>
        <row r="50">
          <cell r="G50" t="str">
            <v>Miller High Life</v>
          </cell>
          <cell r="H50" t="str">
            <v>MolsonCoors Beverage Company</v>
          </cell>
          <cell r="K50" t="str">
            <v>Package</v>
          </cell>
          <cell r="L50" t="str">
            <v>Yes</v>
          </cell>
        </row>
        <row r="51">
          <cell r="G51" t="str">
            <v>Miller High Life</v>
          </cell>
          <cell r="H51" t="str">
            <v>MolsonCoors Beverage Company</v>
          </cell>
          <cell r="K51" t="str">
            <v>Package</v>
          </cell>
          <cell r="L51" t="str">
            <v>Yes</v>
          </cell>
        </row>
        <row r="52">
          <cell r="G52" t="str">
            <v>Miller High Life</v>
          </cell>
          <cell r="H52" t="str">
            <v>MolsonCoors Beverage Company</v>
          </cell>
          <cell r="K52" t="str">
            <v>Package</v>
          </cell>
          <cell r="L52" t="str">
            <v>Yes</v>
          </cell>
        </row>
        <row r="53">
          <cell r="G53" t="str">
            <v>Miller High Life</v>
          </cell>
          <cell r="H53" t="str">
            <v>MolsonCoors Beverage Company</v>
          </cell>
          <cell r="K53" t="str">
            <v>Package</v>
          </cell>
          <cell r="L53" t="str">
            <v>No</v>
          </cell>
        </row>
        <row r="54">
          <cell r="G54" t="str">
            <v>Miller High Life</v>
          </cell>
          <cell r="H54" t="str">
            <v>MolsonCoors Beverage Company</v>
          </cell>
          <cell r="K54" t="str">
            <v>Package</v>
          </cell>
          <cell r="L54" t="str">
            <v>Yes</v>
          </cell>
        </row>
        <row r="55">
          <cell r="G55" t="str">
            <v>Miller High Life</v>
          </cell>
          <cell r="H55" t="str">
            <v>MolsonCoors Beverage Company</v>
          </cell>
          <cell r="K55" t="str">
            <v>Package</v>
          </cell>
          <cell r="L55" t="str">
            <v>Yes</v>
          </cell>
        </row>
        <row r="56">
          <cell r="G56" t="str">
            <v>Miller High Life Light</v>
          </cell>
          <cell r="H56" t="str">
            <v>MolsonCoors Beverage Company</v>
          </cell>
          <cell r="K56" t="str">
            <v>Package</v>
          </cell>
          <cell r="L56" t="str">
            <v>No</v>
          </cell>
        </row>
        <row r="57">
          <cell r="G57" t="str">
            <v>Lite</v>
          </cell>
          <cell r="H57" t="str">
            <v>MolsonCoors Beverage Company</v>
          </cell>
          <cell r="K57" t="str">
            <v>Draft</v>
          </cell>
          <cell r="L57" t="str">
            <v>Yes</v>
          </cell>
        </row>
        <row r="58">
          <cell r="G58" t="str">
            <v>Lite</v>
          </cell>
          <cell r="H58" t="str">
            <v>MolsonCoors Beverage Company</v>
          </cell>
          <cell r="K58" t="str">
            <v>Draft</v>
          </cell>
          <cell r="L58" t="str">
            <v>Yes</v>
          </cell>
        </row>
        <row r="59">
          <cell r="G59" t="str">
            <v>Lite</v>
          </cell>
          <cell r="H59" t="str">
            <v>MolsonCoors Beverage Company</v>
          </cell>
          <cell r="K59" t="str">
            <v>Package</v>
          </cell>
          <cell r="L59" t="str">
            <v>Yes</v>
          </cell>
        </row>
        <row r="60">
          <cell r="G60" t="str">
            <v>Lite</v>
          </cell>
          <cell r="H60" t="str">
            <v>MolsonCoors Beverage Company</v>
          </cell>
          <cell r="K60" t="str">
            <v>Package</v>
          </cell>
          <cell r="L60" t="str">
            <v>Yes</v>
          </cell>
        </row>
        <row r="61">
          <cell r="G61" t="str">
            <v>Lite</v>
          </cell>
          <cell r="H61" t="str">
            <v>MolsonCoors Beverage Company</v>
          </cell>
          <cell r="K61" t="str">
            <v>Package</v>
          </cell>
          <cell r="L61" t="str">
            <v>Yes</v>
          </cell>
        </row>
        <row r="62">
          <cell r="G62" t="str">
            <v>Lite</v>
          </cell>
          <cell r="H62" t="str">
            <v>MolsonCoors Beverage Company</v>
          </cell>
          <cell r="K62" t="str">
            <v>Package</v>
          </cell>
          <cell r="L62" t="str">
            <v>Yes</v>
          </cell>
        </row>
        <row r="63">
          <cell r="G63" t="str">
            <v>Lite</v>
          </cell>
          <cell r="H63" t="str">
            <v>MolsonCoors Beverage Company</v>
          </cell>
          <cell r="K63" t="str">
            <v>Package</v>
          </cell>
          <cell r="L63" t="str">
            <v>Yes</v>
          </cell>
        </row>
        <row r="64">
          <cell r="G64" t="str">
            <v>Lite</v>
          </cell>
          <cell r="H64" t="str">
            <v>MolsonCoors Beverage Company</v>
          </cell>
          <cell r="K64" t="str">
            <v>Package</v>
          </cell>
          <cell r="L64" t="str">
            <v>Yes</v>
          </cell>
        </row>
        <row r="65">
          <cell r="G65" t="str">
            <v>Lite</v>
          </cell>
          <cell r="H65" t="str">
            <v>MolsonCoors Beverage Company</v>
          </cell>
          <cell r="K65" t="str">
            <v>Package</v>
          </cell>
          <cell r="L65" t="str">
            <v>Yes</v>
          </cell>
        </row>
        <row r="66">
          <cell r="G66" t="str">
            <v>Lite</v>
          </cell>
          <cell r="H66" t="str">
            <v>MolsonCoors Beverage Company</v>
          </cell>
          <cell r="K66" t="str">
            <v>Package</v>
          </cell>
          <cell r="L66" t="str">
            <v>Yes</v>
          </cell>
        </row>
        <row r="67">
          <cell r="G67" t="str">
            <v>Lite</v>
          </cell>
          <cell r="H67" t="str">
            <v>MolsonCoors Beverage Company</v>
          </cell>
          <cell r="K67" t="str">
            <v>Package</v>
          </cell>
          <cell r="L67" t="str">
            <v>Yes</v>
          </cell>
        </row>
        <row r="68">
          <cell r="G68" t="str">
            <v>Lite</v>
          </cell>
          <cell r="H68" t="str">
            <v>MolsonCoors Beverage Company</v>
          </cell>
          <cell r="K68" t="str">
            <v>Package</v>
          </cell>
          <cell r="L68" t="str">
            <v>Yes</v>
          </cell>
        </row>
        <row r="69">
          <cell r="G69" t="str">
            <v>Lite</v>
          </cell>
          <cell r="H69" t="str">
            <v>MolsonCoors Beverage Company</v>
          </cell>
          <cell r="K69" t="str">
            <v>Package</v>
          </cell>
          <cell r="L69" t="str">
            <v>Yes</v>
          </cell>
        </row>
        <row r="70">
          <cell r="G70" t="str">
            <v>Lite</v>
          </cell>
          <cell r="H70" t="str">
            <v>MolsonCoors Beverage Company</v>
          </cell>
          <cell r="K70" t="str">
            <v>Package</v>
          </cell>
          <cell r="L70" t="str">
            <v>Yes</v>
          </cell>
        </row>
        <row r="71">
          <cell r="G71" t="str">
            <v>Lite</v>
          </cell>
          <cell r="H71" t="str">
            <v>MolsonCoors Beverage Company</v>
          </cell>
          <cell r="K71" t="str">
            <v>Package</v>
          </cell>
          <cell r="L71" t="str">
            <v>Yes</v>
          </cell>
        </row>
        <row r="72">
          <cell r="G72" t="str">
            <v>Lite</v>
          </cell>
          <cell r="H72" t="str">
            <v>MolsonCoors Beverage Company</v>
          </cell>
          <cell r="K72" t="str">
            <v>Package</v>
          </cell>
          <cell r="L72" t="str">
            <v>Yes</v>
          </cell>
        </row>
        <row r="73">
          <cell r="G73" t="str">
            <v>Lite</v>
          </cell>
          <cell r="H73" t="str">
            <v>MolsonCoors Beverage Company</v>
          </cell>
          <cell r="K73" t="str">
            <v>Package</v>
          </cell>
          <cell r="L73" t="str">
            <v>Yes</v>
          </cell>
        </row>
        <row r="74">
          <cell r="G74" t="str">
            <v>Lite</v>
          </cell>
          <cell r="H74" t="str">
            <v>MolsonCoors Beverage Company</v>
          </cell>
          <cell r="K74" t="str">
            <v>Package</v>
          </cell>
          <cell r="L74" t="str">
            <v>Yes</v>
          </cell>
        </row>
        <row r="75">
          <cell r="G75" t="str">
            <v>Lite</v>
          </cell>
          <cell r="H75" t="str">
            <v>MolsonCoors Beverage Company</v>
          </cell>
          <cell r="K75" t="str">
            <v>Package</v>
          </cell>
          <cell r="L75" t="str">
            <v>Yes</v>
          </cell>
        </row>
        <row r="76">
          <cell r="G76" t="str">
            <v>Lite</v>
          </cell>
          <cell r="H76" t="str">
            <v>MolsonCoors Beverage Company</v>
          </cell>
          <cell r="K76" t="str">
            <v>Package</v>
          </cell>
          <cell r="L76" t="str">
            <v>No</v>
          </cell>
        </row>
        <row r="77">
          <cell r="G77" t="str">
            <v>Lite</v>
          </cell>
          <cell r="H77" t="str">
            <v>MolsonCoors Beverage Company</v>
          </cell>
          <cell r="K77" t="str">
            <v>Package</v>
          </cell>
          <cell r="L77" t="str">
            <v>No</v>
          </cell>
        </row>
        <row r="78">
          <cell r="G78" t="str">
            <v>Lite</v>
          </cell>
          <cell r="H78" t="str">
            <v>MolsonCoors Beverage Company</v>
          </cell>
          <cell r="K78" t="str">
            <v>Package</v>
          </cell>
          <cell r="L78" t="str">
            <v>Yes</v>
          </cell>
        </row>
        <row r="79">
          <cell r="G79" t="str">
            <v>Lite</v>
          </cell>
          <cell r="H79" t="str">
            <v>MolsonCoors Beverage Company</v>
          </cell>
          <cell r="K79" t="str">
            <v>Package</v>
          </cell>
          <cell r="L79" t="str">
            <v>Yes</v>
          </cell>
        </row>
        <row r="80">
          <cell r="G80" t="str">
            <v>Milwaukee's Best</v>
          </cell>
          <cell r="H80" t="str">
            <v>MolsonCoors Beverage Company</v>
          </cell>
          <cell r="K80" t="str">
            <v>Package</v>
          </cell>
          <cell r="L80" t="str">
            <v>No</v>
          </cell>
        </row>
        <row r="81">
          <cell r="G81" t="str">
            <v>Milwaukee's Best</v>
          </cell>
          <cell r="H81" t="str">
            <v>MolsonCoors Beverage Company</v>
          </cell>
          <cell r="K81" t="str">
            <v>Package</v>
          </cell>
          <cell r="L81" t="str">
            <v>No</v>
          </cell>
        </row>
        <row r="82">
          <cell r="G82" t="str">
            <v>Milwaukee's Best Ice</v>
          </cell>
          <cell r="H82" t="str">
            <v>MolsonCoors Beverage Company</v>
          </cell>
          <cell r="K82" t="str">
            <v>Package</v>
          </cell>
          <cell r="L82" t="str">
            <v>Yes</v>
          </cell>
        </row>
        <row r="83">
          <cell r="G83" t="str">
            <v>Milwaukee's Best Ice</v>
          </cell>
          <cell r="H83" t="str">
            <v>MolsonCoors Beverage Company</v>
          </cell>
          <cell r="K83" t="str">
            <v>Package</v>
          </cell>
          <cell r="L83" t="str">
            <v>Yes</v>
          </cell>
        </row>
        <row r="84">
          <cell r="G84" t="str">
            <v>Milwaukee's Best Ice</v>
          </cell>
          <cell r="H84" t="str">
            <v>MolsonCoors Beverage Company</v>
          </cell>
          <cell r="K84" t="str">
            <v>Package</v>
          </cell>
          <cell r="L84" t="str">
            <v>Yes</v>
          </cell>
        </row>
        <row r="85">
          <cell r="G85" t="str">
            <v>Milwaukee's Best Light</v>
          </cell>
          <cell r="H85" t="str">
            <v>MolsonCoors Beverage Company</v>
          </cell>
          <cell r="K85" t="str">
            <v>Package</v>
          </cell>
          <cell r="L85" t="str">
            <v>Yes</v>
          </cell>
        </row>
        <row r="86">
          <cell r="G86" t="str">
            <v>Old English</v>
          </cell>
          <cell r="H86" t="str">
            <v>MolsonCoors Beverage Company</v>
          </cell>
          <cell r="K86" t="str">
            <v>Package</v>
          </cell>
          <cell r="L86" t="str">
            <v>Yes</v>
          </cell>
        </row>
        <row r="87">
          <cell r="G87" t="str">
            <v>Old English</v>
          </cell>
          <cell r="H87" t="str">
            <v>MolsonCoors Beverage Company</v>
          </cell>
          <cell r="K87" t="str">
            <v>Package</v>
          </cell>
          <cell r="L87" t="str">
            <v>Yes</v>
          </cell>
        </row>
        <row r="88">
          <cell r="G88" t="str">
            <v>Old English</v>
          </cell>
          <cell r="H88" t="str">
            <v>MolsonCoors Beverage Company</v>
          </cell>
          <cell r="K88" t="str">
            <v>Package</v>
          </cell>
          <cell r="L88" t="str">
            <v>Yes</v>
          </cell>
        </row>
        <row r="89">
          <cell r="G89" t="str">
            <v>Keystone</v>
          </cell>
          <cell r="H89" t="str">
            <v>MolsonCoors Beverage Company</v>
          </cell>
          <cell r="K89" t="str">
            <v>Package</v>
          </cell>
          <cell r="L89" t="str">
            <v>Yes</v>
          </cell>
        </row>
        <row r="90">
          <cell r="G90" t="str">
            <v>Keystone</v>
          </cell>
          <cell r="H90" t="str">
            <v>MolsonCoors Beverage Company</v>
          </cell>
          <cell r="K90" t="str">
            <v>Package</v>
          </cell>
          <cell r="L90" t="str">
            <v>Yes</v>
          </cell>
        </row>
        <row r="91">
          <cell r="G91" t="str">
            <v>Keystone</v>
          </cell>
          <cell r="H91" t="str">
            <v>MolsonCoors Beverage Company</v>
          </cell>
          <cell r="K91" t="str">
            <v>Package</v>
          </cell>
          <cell r="L91" t="str">
            <v>Yes</v>
          </cell>
        </row>
        <row r="92">
          <cell r="G92" t="str">
            <v>Keystone</v>
          </cell>
          <cell r="H92" t="str">
            <v>MolsonCoors Beverage Company</v>
          </cell>
          <cell r="K92" t="str">
            <v>Package</v>
          </cell>
          <cell r="L92" t="str">
            <v>Yes</v>
          </cell>
        </row>
        <row r="93">
          <cell r="G93" t="str">
            <v>Montauk</v>
          </cell>
          <cell r="H93" t="str">
            <v>Montauk Brewing Co</v>
          </cell>
          <cell r="K93" t="str">
            <v>Package</v>
          </cell>
          <cell r="L93" t="str">
            <v>Yes</v>
          </cell>
        </row>
        <row r="94">
          <cell r="G94" t="str">
            <v>Montauk</v>
          </cell>
          <cell r="H94" t="str">
            <v>Montauk Brewing Co</v>
          </cell>
          <cell r="K94" t="str">
            <v>Package</v>
          </cell>
          <cell r="L94" t="str">
            <v>Yes</v>
          </cell>
        </row>
        <row r="95">
          <cell r="G95" t="str">
            <v>Montauk</v>
          </cell>
          <cell r="H95" t="str">
            <v>Montauk Brewing Co</v>
          </cell>
          <cell r="K95" t="str">
            <v>Draft</v>
          </cell>
          <cell r="L95" t="str">
            <v>Yes</v>
          </cell>
        </row>
        <row r="96">
          <cell r="G96" t="str">
            <v>Montauk</v>
          </cell>
          <cell r="H96" t="str">
            <v>Montauk Brewing Co</v>
          </cell>
          <cell r="K96" t="str">
            <v>Draft</v>
          </cell>
          <cell r="L96" t="str">
            <v>Yes</v>
          </cell>
        </row>
        <row r="97">
          <cell r="G97" t="str">
            <v>Montauk</v>
          </cell>
          <cell r="H97" t="str">
            <v>Montauk Brewing Co</v>
          </cell>
          <cell r="K97" t="str">
            <v>Draft</v>
          </cell>
          <cell r="L97" t="str">
            <v>Yes</v>
          </cell>
        </row>
        <row r="98">
          <cell r="G98" t="str">
            <v>Montauk</v>
          </cell>
          <cell r="H98" t="str">
            <v>Montauk Brewing Co</v>
          </cell>
          <cell r="K98" t="str">
            <v>Draft</v>
          </cell>
          <cell r="L98" t="str">
            <v>No</v>
          </cell>
        </row>
        <row r="99">
          <cell r="G99" t="str">
            <v>Montauk</v>
          </cell>
          <cell r="H99" t="str">
            <v>Montauk Brewing Co</v>
          </cell>
          <cell r="K99" t="str">
            <v>Draft</v>
          </cell>
          <cell r="L99" t="str">
            <v>Yes</v>
          </cell>
        </row>
        <row r="100">
          <cell r="G100" t="str">
            <v>Montauk</v>
          </cell>
          <cell r="H100" t="str">
            <v>Montauk Brewing Co</v>
          </cell>
          <cell r="K100" t="str">
            <v>Draft</v>
          </cell>
          <cell r="L100" t="str">
            <v>No</v>
          </cell>
        </row>
        <row r="101">
          <cell r="G101" t="str">
            <v>Montauk</v>
          </cell>
          <cell r="H101" t="str">
            <v>Montauk Brewing Co</v>
          </cell>
          <cell r="K101" t="str">
            <v>Draft</v>
          </cell>
          <cell r="L101" t="str">
            <v>Yes</v>
          </cell>
        </row>
        <row r="102">
          <cell r="G102" t="str">
            <v>Montauk</v>
          </cell>
          <cell r="H102" t="str">
            <v>Montauk Brewing Co</v>
          </cell>
          <cell r="K102" t="str">
            <v>Draft</v>
          </cell>
          <cell r="L102" t="str">
            <v>Yes</v>
          </cell>
        </row>
        <row r="103">
          <cell r="G103" t="str">
            <v>Montauk</v>
          </cell>
          <cell r="H103" t="str">
            <v>Montauk Brewing Co</v>
          </cell>
          <cell r="K103" t="str">
            <v>Package</v>
          </cell>
          <cell r="L103" t="str">
            <v>Yes</v>
          </cell>
        </row>
        <row r="104">
          <cell r="G104" t="str">
            <v>Montauk</v>
          </cell>
          <cell r="H104" t="str">
            <v>Montauk Brewing Co</v>
          </cell>
          <cell r="K104" t="str">
            <v>Package</v>
          </cell>
          <cell r="L104" t="str">
            <v>Yes</v>
          </cell>
        </row>
        <row r="105">
          <cell r="G105" t="str">
            <v>Montauk</v>
          </cell>
          <cell r="H105" t="str">
            <v>Montauk Brewing Co</v>
          </cell>
          <cell r="K105" t="str">
            <v>Draft</v>
          </cell>
          <cell r="L105" t="str">
            <v>Yes</v>
          </cell>
        </row>
        <row r="106">
          <cell r="G106" t="str">
            <v>Montauk</v>
          </cell>
          <cell r="H106" t="str">
            <v>Montauk Brewing Co</v>
          </cell>
          <cell r="K106" t="str">
            <v>Draft</v>
          </cell>
          <cell r="L106" t="str">
            <v>Yes</v>
          </cell>
        </row>
        <row r="107">
          <cell r="G107" t="str">
            <v>Montauk</v>
          </cell>
          <cell r="H107" t="str">
            <v>Montauk Brewing Co</v>
          </cell>
          <cell r="K107" t="str">
            <v>Package</v>
          </cell>
          <cell r="L107" t="str">
            <v>Yes</v>
          </cell>
        </row>
        <row r="108">
          <cell r="G108" t="str">
            <v>Montauk</v>
          </cell>
          <cell r="H108" t="str">
            <v>Montauk Brewing Co</v>
          </cell>
          <cell r="K108" t="str">
            <v>Package</v>
          </cell>
          <cell r="L108" t="str">
            <v>No</v>
          </cell>
        </row>
        <row r="109">
          <cell r="G109" t="str">
            <v>Montauk</v>
          </cell>
          <cell r="H109" t="str">
            <v>Montauk Brewing Co</v>
          </cell>
          <cell r="K109" t="str">
            <v>Package</v>
          </cell>
          <cell r="L109" t="str">
            <v>Yes</v>
          </cell>
        </row>
        <row r="110">
          <cell r="G110" t="str">
            <v>Montauk</v>
          </cell>
          <cell r="H110" t="str">
            <v>Montauk Brewing Co</v>
          </cell>
          <cell r="K110" t="str">
            <v>Package</v>
          </cell>
          <cell r="L110" t="str">
            <v>No</v>
          </cell>
        </row>
        <row r="111">
          <cell r="G111" t="str">
            <v>Montauk</v>
          </cell>
          <cell r="H111" t="str">
            <v>Montauk Brewing Co</v>
          </cell>
          <cell r="K111" t="str">
            <v>Draft</v>
          </cell>
          <cell r="L111" t="str">
            <v>No</v>
          </cell>
        </row>
        <row r="112">
          <cell r="G112" t="str">
            <v>Montauk</v>
          </cell>
          <cell r="H112" t="str">
            <v>Montauk Brewing Co</v>
          </cell>
          <cell r="K112" t="str">
            <v>Draft</v>
          </cell>
          <cell r="L112" t="str">
            <v>No</v>
          </cell>
        </row>
        <row r="113">
          <cell r="G113" t="str">
            <v>Montauk</v>
          </cell>
          <cell r="H113" t="str">
            <v>Montauk Brewing Co</v>
          </cell>
          <cell r="K113" t="str">
            <v>Package</v>
          </cell>
          <cell r="L113" t="str">
            <v>No</v>
          </cell>
        </row>
        <row r="114">
          <cell r="G114" t="str">
            <v>Montauk</v>
          </cell>
          <cell r="H114" t="str">
            <v>Montauk Brewing Co</v>
          </cell>
          <cell r="K114" t="str">
            <v>Draft</v>
          </cell>
          <cell r="L114" t="str">
            <v>No</v>
          </cell>
        </row>
        <row r="115">
          <cell r="G115" t="str">
            <v>Montauk</v>
          </cell>
          <cell r="H115" t="str">
            <v>Montauk Brewing Co</v>
          </cell>
          <cell r="K115" t="str">
            <v>Draft</v>
          </cell>
          <cell r="L115" t="str">
            <v>Yes</v>
          </cell>
        </row>
        <row r="116">
          <cell r="G116" t="str">
            <v>Montauk</v>
          </cell>
          <cell r="H116" t="str">
            <v>Montauk Brewing Co</v>
          </cell>
          <cell r="K116" t="str">
            <v>Package</v>
          </cell>
          <cell r="L116" t="str">
            <v>Yes</v>
          </cell>
        </row>
        <row r="117">
          <cell r="G117" t="str">
            <v>Montauk</v>
          </cell>
          <cell r="H117" t="str">
            <v>Montauk Brewing Co</v>
          </cell>
          <cell r="K117" t="str">
            <v>Package</v>
          </cell>
          <cell r="L117" t="str">
            <v>Yes</v>
          </cell>
        </row>
        <row r="118">
          <cell r="G118" t="str">
            <v>Montauk</v>
          </cell>
          <cell r="H118" t="str">
            <v>Montauk Brewing Co</v>
          </cell>
          <cell r="K118" t="str">
            <v>Package</v>
          </cell>
          <cell r="L118" t="str">
            <v>Yes</v>
          </cell>
        </row>
        <row r="119">
          <cell r="G119" t="str">
            <v>Montauk</v>
          </cell>
          <cell r="H119" t="str">
            <v>Montauk Brewing Co</v>
          </cell>
          <cell r="K119" t="str">
            <v>Package</v>
          </cell>
          <cell r="L119" t="str">
            <v>Yes</v>
          </cell>
        </row>
        <row r="120">
          <cell r="G120" t="str">
            <v>Montauk</v>
          </cell>
          <cell r="H120" t="str">
            <v>Montauk Brewing Co</v>
          </cell>
          <cell r="K120" t="str">
            <v>Package</v>
          </cell>
          <cell r="L120" t="str">
            <v>No</v>
          </cell>
        </row>
        <row r="121">
          <cell r="G121" t="str">
            <v>Montauk</v>
          </cell>
          <cell r="H121" t="str">
            <v>Montauk Brewing Co</v>
          </cell>
          <cell r="K121" t="str">
            <v>Package</v>
          </cell>
          <cell r="L121" t="str">
            <v>Yes</v>
          </cell>
        </row>
        <row r="122">
          <cell r="G122" t="str">
            <v>Montauk</v>
          </cell>
          <cell r="H122" t="str">
            <v>Montauk Brewing Co</v>
          </cell>
          <cell r="K122" t="str">
            <v>Package</v>
          </cell>
          <cell r="L122" t="str">
            <v>Yes</v>
          </cell>
        </row>
        <row r="123">
          <cell r="G123" t="str">
            <v>Montauk</v>
          </cell>
          <cell r="H123" t="str">
            <v>Montauk Brewing Co</v>
          </cell>
          <cell r="K123" t="str">
            <v>Draft</v>
          </cell>
          <cell r="L123" t="str">
            <v>Yes</v>
          </cell>
        </row>
        <row r="124">
          <cell r="G124" t="str">
            <v>Montauk</v>
          </cell>
          <cell r="H124" t="str">
            <v>Montauk Brewing Co</v>
          </cell>
          <cell r="K124" t="str">
            <v>Draft</v>
          </cell>
          <cell r="L124" t="str">
            <v>Yes</v>
          </cell>
        </row>
        <row r="125">
          <cell r="G125" t="str">
            <v>Miller Genuine Draft</v>
          </cell>
          <cell r="H125" t="str">
            <v>MolsonCoors Beverage Company</v>
          </cell>
          <cell r="K125" t="str">
            <v>Package</v>
          </cell>
          <cell r="L125" t="str">
            <v>Yes</v>
          </cell>
        </row>
        <row r="126">
          <cell r="G126" t="str">
            <v>Miller Genuine Draft</v>
          </cell>
          <cell r="H126" t="str">
            <v>MolsonCoors Beverage Company</v>
          </cell>
          <cell r="K126" t="str">
            <v>Package</v>
          </cell>
          <cell r="L126" t="str">
            <v>Yes</v>
          </cell>
        </row>
        <row r="127">
          <cell r="G127" t="str">
            <v>Miller Genuine Draft</v>
          </cell>
          <cell r="H127" t="str">
            <v>MolsonCoors Beverage Company</v>
          </cell>
          <cell r="K127" t="str">
            <v>Package</v>
          </cell>
          <cell r="L127" t="str">
            <v>Yes</v>
          </cell>
        </row>
        <row r="128">
          <cell r="G128" t="str">
            <v>Miller Genuine Draft</v>
          </cell>
          <cell r="H128" t="str">
            <v>MolsonCoors Beverage Company</v>
          </cell>
          <cell r="K128" t="str">
            <v>Package</v>
          </cell>
          <cell r="L128" t="str">
            <v>Yes</v>
          </cell>
        </row>
        <row r="129">
          <cell r="G129" t="str">
            <v>Miller Genuine Draft</v>
          </cell>
          <cell r="H129" t="str">
            <v>MolsonCoors Beverage Company</v>
          </cell>
          <cell r="K129" t="str">
            <v>Package</v>
          </cell>
          <cell r="L129" t="str">
            <v>Yes</v>
          </cell>
        </row>
        <row r="130">
          <cell r="G130" t="str">
            <v>Miller Genuine Draft</v>
          </cell>
          <cell r="H130" t="str">
            <v>MolsonCoors Beverage Company</v>
          </cell>
          <cell r="K130" t="str">
            <v>Package</v>
          </cell>
          <cell r="L130" t="str">
            <v>No</v>
          </cell>
        </row>
        <row r="131">
          <cell r="G131" t="str">
            <v>Miller Genuine Draft</v>
          </cell>
          <cell r="H131" t="str">
            <v>MolsonCoors Beverage Company</v>
          </cell>
          <cell r="K131" t="str">
            <v>Package</v>
          </cell>
          <cell r="L131" t="str">
            <v>Yes</v>
          </cell>
        </row>
        <row r="132">
          <cell r="G132" t="str">
            <v>Miller Extra Light</v>
          </cell>
          <cell r="H132" t="str">
            <v>MolsonCoors Beverage Company</v>
          </cell>
          <cell r="K132" t="str">
            <v>Package</v>
          </cell>
          <cell r="L132" t="str">
            <v>Yes</v>
          </cell>
        </row>
        <row r="133">
          <cell r="G133" t="str">
            <v>Miller Extra Light</v>
          </cell>
          <cell r="H133" t="str">
            <v>MolsonCoors Beverage Company</v>
          </cell>
          <cell r="K133" t="str">
            <v>Package</v>
          </cell>
          <cell r="L133" t="str">
            <v>Yes</v>
          </cell>
        </row>
        <row r="134">
          <cell r="G134" t="str">
            <v>Miller Extra Light</v>
          </cell>
          <cell r="H134" t="str">
            <v>MolsonCoors Beverage Company</v>
          </cell>
          <cell r="K134" t="str">
            <v>Package</v>
          </cell>
          <cell r="L134" t="str">
            <v>Yes</v>
          </cell>
        </row>
        <row r="135">
          <cell r="G135" t="str">
            <v>Miller Extra Light</v>
          </cell>
          <cell r="H135" t="str">
            <v>MolsonCoors Beverage Company</v>
          </cell>
          <cell r="K135" t="str">
            <v>Package</v>
          </cell>
          <cell r="L135" t="str">
            <v>Yes</v>
          </cell>
        </row>
        <row r="136">
          <cell r="G136" t="str">
            <v>Miller Extra Light</v>
          </cell>
          <cell r="H136" t="str">
            <v>MolsonCoors Beverage Company</v>
          </cell>
          <cell r="K136" t="str">
            <v>Package</v>
          </cell>
          <cell r="L136" t="str">
            <v>No</v>
          </cell>
        </row>
        <row r="137">
          <cell r="G137" t="str">
            <v>Montauk</v>
          </cell>
          <cell r="H137" t="str">
            <v>Montauk Brewing Co</v>
          </cell>
          <cell r="K137" t="str">
            <v>Package</v>
          </cell>
          <cell r="L137" t="str">
            <v>Yes</v>
          </cell>
        </row>
        <row r="138">
          <cell r="G138" t="str">
            <v>Montauk</v>
          </cell>
          <cell r="H138" t="str">
            <v>Montauk Brewing Co</v>
          </cell>
          <cell r="K138" t="str">
            <v>Draft</v>
          </cell>
          <cell r="L138" t="str">
            <v>Yes</v>
          </cell>
        </row>
        <row r="139">
          <cell r="G139" t="str">
            <v>Montauk</v>
          </cell>
          <cell r="H139" t="str">
            <v>Montauk Brewing Co</v>
          </cell>
          <cell r="K139" t="str">
            <v>Draft</v>
          </cell>
          <cell r="L139" t="str">
            <v>Yes</v>
          </cell>
        </row>
        <row r="140">
          <cell r="G140" t="str">
            <v>Montauk</v>
          </cell>
          <cell r="H140" t="str">
            <v>Montauk Brewing Co</v>
          </cell>
          <cell r="K140" t="str">
            <v>Package</v>
          </cell>
          <cell r="L140" t="str">
            <v>Yes</v>
          </cell>
        </row>
        <row r="141">
          <cell r="G141" t="str">
            <v>Montauk</v>
          </cell>
          <cell r="H141" t="str">
            <v>Montauk Brewing Co</v>
          </cell>
          <cell r="K141" t="str">
            <v>Package</v>
          </cell>
          <cell r="L141" t="str">
            <v>No</v>
          </cell>
        </row>
        <row r="142">
          <cell r="G142" t="str">
            <v>Montauk</v>
          </cell>
          <cell r="H142" t="str">
            <v>Montauk Brewing Co</v>
          </cell>
          <cell r="K142" t="str">
            <v>Package</v>
          </cell>
          <cell r="L142" t="str">
            <v>No</v>
          </cell>
        </row>
        <row r="143">
          <cell r="G143" t="str">
            <v>Montauk</v>
          </cell>
          <cell r="H143" t="str">
            <v>Montauk Brewing Co</v>
          </cell>
          <cell r="K143" t="str">
            <v>Package</v>
          </cell>
          <cell r="L143" t="str">
            <v>No</v>
          </cell>
        </row>
        <row r="144">
          <cell r="G144" t="str">
            <v>Montauk</v>
          </cell>
          <cell r="H144" t="str">
            <v>Montauk Brewing Co</v>
          </cell>
          <cell r="K144" t="str">
            <v>Package</v>
          </cell>
          <cell r="L144" t="str">
            <v>Yes</v>
          </cell>
        </row>
        <row r="145">
          <cell r="G145" t="str">
            <v>Montauk</v>
          </cell>
          <cell r="H145" t="str">
            <v>Montauk Brewing Co</v>
          </cell>
          <cell r="K145" t="str">
            <v>Draft</v>
          </cell>
          <cell r="L145" t="str">
            <v>Yes</v>
          </cell>
        </row>
        <row r="146">
          <cell r="G146" t="str">
            <v>Montauk</v>
          </cell>
          <cell r="H146" t="str">
            <v>Montauk Brewing Co</v>
          </cell>
          <cell r="K146" t="str">
            <v>Package</v>
          </cell>
          <cell r="L146" t="str">
            <v>Yes</v>
          </cell>
        </row>
        <row r="147">
          <cell r="G147" t="str">
            <v>Montauk</v>
          </cell>
          <cell r="H147" t="str">
            <v>Montauk Brewing Co</v>
          </cell>
          <cell r="K147" t="str">
            <v>Package</v>
          </cell>
          <cell r="L147" t="str">
            <v>Yes</v>
          </cell>
        </row>
        <row r="148">
          <cell r="G148" t="str">
            <v>Montauk</v>
          </cell>
          <cell r="H148" t="str">
            <v>Montauk Brewing Co</v>
          </cell>
          <cell r="K148" t="str">
            <v>Package</v>
          </cell>
          <cell r="L148" t="str">
            <v>No</v>
          </cell>
        </row>
        <row r="149">
          <cell r="G149" t="str">
            <v>Montauk</v>
          </cell>
          <cell r="H149" t="str">
            <v>Montauk Brewing Co</v>
          </cell>
          <cell r="K149" t="str">
            <v>Package</v>
          </cell>
          <cell r="L149" t="str">
            <v>Yes</v>
          </cell>
        </row>
        <row r="150">
          <cell r="G150" t="str">
            <v>Montauk</v>
          </cell>
          <cell r="H150" t="str">
            <v>Montauk Brewing Co</v>
          </cell>
          <cell r="K150" t="str">
            <v>Package</v>
          </cell>
          <cell r="L150" t="str">
            <v>No</v>
          </cell>
        </row>
        <row r="151">
          <cell r="G151" t="str">
            <v>Montauk</v>
          </cell>
          <cell r="H151" t="str">
            <v>Montauk Brewing Co</v>
          </cell>
          <cell r="K151" t="str">
            <v>Package</v>
          </cell>
          <cell r="L151" t="str">
            <v>Yes</v>
          </cell>
        </row>
        <row r="152">
          <cell r="G152" t="str">
            <v>Montauk</v>
          </cell>
          <cell r="H152" t="str">
            <v>Montauk Brewing Co</v>
          </cell>
          <cell r="K152" t="str">
            <v>Package</v>
          </cell>
          <cell r="L152" t="str">
            <v>Yes</v>
          </cell>
        </row>
        <row r="153">
          <cell r="G153" t="str">
            <v>Montauk</v>
          </cell>
          <cell r="H153" t="str">
            <v>Montauk Brewing Co</v>
          </cell>
          <cell r="K153" t="str">
            <v>Package</v>
          </cell>
          <cell r="L153" t="str">
            <v>Yes</v>
          </cell>
        </row>
        <row r="154">
          <cell r="G154" t="str">
            <v>Leinenkugel</v>
          </cell>
          <cell r="H154" t="str">
            <v>MolsonCoors Beverage Company</v>
          </cell>
          <cell r="K154" t="str">
            <v>Draft</v>
          </cell>
          <cell r="L154" t="str">
            <v>Yes</v>
          </cell>
        </row>
        <row r="155">
          <cell r="G155" t="str">
            <v>Leinenkugel</v>
          </cell>
          <cell r="H155" t="str">
            <v>MolsonCoors Beverage Company</v>
          </cell>
          <cell r="K155" t="str">
            <v>Draft</v>
          </cell>
          <cell r="L155" t="str">
            <v>Yes</v>
          </cell>
        </row>
        <row r="156">
          <cell r="G156" t="str">
            <v>Leinenkugel</v>
          </cell>
          <cell r="H156" t="str">
            <v>MolsonCoors Beverage Company</v>
          </cell>
          <cell r="K156" t="str">
            <v>Draft</v>
          </cell>
          <cell r="L156" t="str">
            <v>No</v>
          </cell>
        </row>
        <row r="157">
          <cell r="G157" t="str">
            <v>Leinenkugel</v>
          </cell>
          <cell r="H157" t="str">
            <v>MolsonCoors Beverage Company</v>
          </cell>
          <cell r="K157" t="str">
            <v>Draft</v>
          </cell>
          <cell r="L157" t="str">
            <v>No</v>
          </cell>
        </row>
        <row r="158">
          <cell r="G158" t="str">
            <v>Leinenkugel</v>
          </cell>
          <cell r="H158" t="str">
            <v>MolsonCoors Beverage Company</v>
          </cell>
          <cell r="K158" t="str">
            <v>Package</v>
          </cell>
          <cell r="L158" t="str">
            <v>Yes</v>
          </cell>
        </row>
        <row r="159">
          <cell r="G159" t="str">
            <v>Leinenkugel</v>
          </cell>
          <cell r="H159" t="str">
            <v>MolsonCoors Beverage Company</v>
          </cell>
          <cell r="K159" t="str">
            <v>Package</v>
          </cell>
          <cell r="L159" t="str">
            <v>Yes</v>
          </cell>
        </row>
        <row r="160">
          <cell r="G160" t="str">
            <v>Leinenkugel</v>
          </cell>
          <cell r="H160" t="str">
            <v>MolsonCoors Beverage Company</v>
          </cell>
          <cell r="K160" t="str">
            <v>Package</v>
          </cell>
          <cell r="L160" t="str">
            <v>Yes</v>
          </cell>
        </row>
        <row r="161">
          <cell r="G161" t="str">
            <v>Leinenkugel</v>
          </cell>
          <cell r="H161" t="str">
            <v>MolsonCoors Beverage Company</v>
          </cell>
          <cell r="K161" t="str">
            <v>Package</v>
          </cell>
          <cell r="L161" t="str">
            <v>Yes</v>
          </cell>
        </row>
        <row r="162">
          <cell r="G162" t="str">
            <v>Leinenkugel</v>
          </cell>
          <cell r="H162" t="str">
            <v>MolsonCoors Beverage Company</v>
          </cell>
          <cell r="K162" t="str">
            <v>Package</v>
          </cell>
          <cell r="L162" t="str">
            <v>No</v>
          </cell>
        </row>
        <row r="163">
          <cell r="G163" t="str">
            <v>Leinenkugel</v>
          </cell>
          <cell r="H163" t="str">
            <v>MolsonCoors Beverage Company</v>
          </cell>
          <cell r="K163" t="str">
            <v>Package</v>
          </cell>
          <cell r="L163" t="str">
            <v>Yes</v>
          </cell>
        </row>
        <row r="164">
          <cell r="G164" t="str">
            <v>Leinenkugel</v>
          </cell>
          <cell r="H164" t="str">
            <v>MolsonCoors Beverage Company</v>
          </cell>
          <cell r="K164" t="str">
            <v>Package</v>
          </cell>
          <cell r="L164" t="str">
            <v>No</v>
          </cell>
        </row>
        <row r="165">
          <cell r="G165" t="str">
            <v>Leinenkugel</v>
          </cell>
          <cell r="H165" t="str">
            <v>MolsonCoors Beverage Company</v>
          </cell>
          <cell r="K165" t="str">
            <v>Package</v>
          </cell>
          <cell r="L165" t="str">
            <v>No</v>
          </cell>
        </row>
        <row r="166">
          <cell r="G166" t="str">
            <v>Leinenkugel</v>
          </cell>
          <cell r="H166" t="str">
            <v>MolsonCoors Beverage Company</v>
          </cell>
          <cell r="K166" t="str">
            <v>Package</v>
          </cell>
          <cell r="L166" t="str">
            <v>No</v>
          </cell>
        </row>
        <row r="167">
          <cell r="G167" t="str">
            <v>Leinenkugel</v>
          </cell>
          <cell r="H167" t="str">
            <v>MolsonCoors Beverage Company</v>
          </cell>
          <cell r="K167" t="str">
            <v>Package</v>
          </cell>
          <cell r="L167" t="str">
            <v>Yes</v>
          </cell>
        </row>
        <row r="168">
          <cell r="G168" t="str">
            <v>Leinenkugel</v>
          </cell>
          <cell r="H168" t="str">
            <v>MolsonCoors Beverage Company</v>
          </cell>
          <cell r="K168" t="str">
            <v>Package</v>
          </cell>
          <cell r="L168" t="str">
            <v>No</v>
          </cell>
        </row>
        <row r="169">
          <cell r="G169" t="str">
            <v>Leinenkugel</v>
          </cell>
          <cell r="H169" t="str">
            <v>MolsonCoors Beverage Company</v>
          </cell>
          <cell r="K169" t="str">
            <v>Package</v>
          </cell>
          <cell r="L169" t="str">
            <v>No</v>
          </cell>
        </row>
        <row r="170">
          <cell r="G170" t="str">
            <v>Leinenkugel</v>
          </cell>
          <cell r="H170" t="str">
            <v>MolsonCoors Beverage Company</v>
          </cell>
          <cell r="K170" t="str">
            <v>Package</v>
          </cell>
          <cell r="L170" t="str">
            <v>No</v>
          </cell>
        </row>
        <row r="171">
          <cell r="G171" t="str">
            <v>Leinenkugel</v>
          </cell>
          <cell r="H171" t="str">
            <v>MolsonCoors Beverage Company</v>
          </cell>
          <cell r="K171" t="str">
            <v>Package</v>
          </cell>
          <cell r="L171" t="str">
            <v>No</v>
          </cell>
        </row>
        <row r="172">
          <cell r="G172" t="str">
            <v>Leinenkugel</v>
          </cell>
          <cell r="H172" t="str">
            <v>MolsonCoors Beverage Company</v>
          </cell>
          <cell r="K172" t="str">
            <v>Package</v>
          </cell>
          <cell r="L172" t="str">
            <v>No</v>
          </cell>
        </row>
        <row r="173">
          <cell r="G173" t="str">
            <v>Leinenkugel</v>
          </cell>
          <cell r="H173" t="str">
            <v>MolsonCoors Beverage Company</v>
          </cell>
          <cell r="K173" t="str">
            <v>Package</v>
          </cell>
          <cell r="L173" t="str">
            <v>No</v>
          </cell>
        </row>
        <row r="174">
          <cell r="G174" t="str">
            <v>Leinenkugel</v>
          </cell>
          <cell r="H174" t="str">
            <v>MolsonCoors Beverage Company</v>
          </cell>
          <cell r="K174" t="str">
            <v>Package</v>
          </cell>
          <cell r="L174" t="str">
            <v>Yes</v>
          </cell>
        </row>
        <row r="175">
          <cell r="G175" t="str">
            <v>Leinenkugel</v>
          </cell>
          <cell r="H175" t="str">
            <v>MolsonCoors Beverage Company</v>
          </cell>
          <cell r="K175" t="str">
            <v>Package</v>
          </cell>
          <cell r="L175" t="str">
            <v>No</v>
          </cell>
        </row>
        <row r="176">
          <cell r="G176" t="str">
            <v>Leinenkugel</v>
          </cell>
          <cell r="H176" t="str">
            <v>MolsonCoors Beverage Company</v>
          </cell>
          <cell r="K176" t="str">
            <v>Package</v>
          </cell>
          <cell r="L176" t="str">
            <v>No</v>
          </cell>
        </row>
        <row r="177">
          <cell r="G177" t="str">
            <v>Leinenkugel</v>
          </cell>
          <cell r="H177" t="str">
            <v>MolsonCoors Beverage Company</v>
          </cell>
          <cell r="K177" t="str">
            <v>Package</v>
          </cell>
          <cell r="L177" t="str">
            <v>No</v>
          </cell>
        </row>
        <row r="178">
          <cell r="G178" t="str">
            <v>Leinenkugel</v>
          </cell>
          <cell r="H178" t="str">
            <v>MolsonCoors Beverage Company</v>
          </cell>
          <cell r="K178" t="str">
            <v>Draft</v>
          </cell>
          <cell r="L178" t="str">
            <v>No</v>
          </cell>
        </row>
        <row r="179">
          <cell r="G179" t="str">
            <v>Leinenkugel</v>
          </cell>
          <cell r="H179" t="str">
            <v>MolsonCoors Beverage Company</v>
          </cell>
          <cell r="K179" t="str">
            <v>Draft</v>
          </cell>
          <cell r="L179" t="str">
            <v>No</v>
          </cell>
        </row>
        <row r="180">
          <cell r="G180" t="str">
            <v>Leinenkugel</v>
          </cell>
          <cell r="H180" t="str">
            <v>MolsonCoors Beverage Company</v>
          </cell>
          <cell r="K180" t="str">
            <v>Package</v>
          </cell>
          <cell r="L180" t="str">
            <v>No</v>
          </cell>
        </row>
        <row r="181">
          <cell r="G181" t="str">
            <v>Leinenkugel</v>
          </cell>
          <cell r="H181" t="str">
            <v>MolsonCoors Beverage Company</v>
          </cell>
          <cell r="K181" t="str">
            <v>Package</v>
          </cell>
          <cell r="L181" t="str">
            <v>Yes</v>
          </cell>
        </row>
        <row r="182">
          <cell r="G182" t="str">
            <v>Leinenkugel</v>
          </cell>
          <cell r="H182" t="str">
            <v>MolsonCoors Beverage Company</v>
          </cell>
          <cell r="K182" t="str">
            <v>Package</v>
          </cell>
          <cell r="L182" t="str">
            <v>Yes</v>
          </cell>
        </row>
        <row r="183">
          <cell r="G183" t="str">
            <v>Leinenkugel</v>
          </cell>
          <cell r="H183" t="str">
            <v>MolsonCoors Beverage Company</v>
          </cell>
          <cell r="K183" t="str">
            <v>Package</v>
          </cell>
          <cell r="L183" t="str">
            <v>Yes</v>
          </cell>
        </row>
        <row r="184">
          <cell r="G184" t="str">
            <v>Leinenkugel</v>
          </cell>
          <cell r="H184" t="str">
            <v>MolsonCoors Beverage Company</v>
          </cell>
          <cell r="K184" t="str">
            <v>Package</v>
          </cell>
          <cell r="L184" t="str">
            <v>No</v>
          </cell>
        </row>
        <row r="185">
          <cell r="G185" t="str">
            <v>Friday Beers</v>
          </cell>
          <cell r="H185" t="str">
            <v>FX Matt</v>
          </cell>
          <cell r="K185" t="str">
            <v>Package</v>
          </cell>
          <cell r="L185" t="str">
            <v>No</v>
          </cell>
        </row>
        <row r="186">
          <cell r="G186" t="str">
            <v>Friday Beers</v>
          </cell>
          <cell r="H186" t="str">
            <v>FX Matt</v>
          </cell>
          <cell r="K186" t="str">
            <v>Package</v>
          </cell>
          <cell r="L186" t="str">
            <v>Yes</v>
          </cell>
        </row>
        <row r="187">
          <cell r="G187" t="str">
            <v>Friday Beers</v>
          </cell>
          <cell r="H187" t="str">
            <v>FX Matt</v>
          </cell>
          <cell r="K187" t="str">
            <v>Draft</v>
          </cell>
          <cell r="L187" t="str">
            <v>Yes</v>
          </cell>
        </row>
        <row r="188">
          <cell r="G188" t="str">
            <v>Forged Irish Stout</v>
          </cell>
          <cell r="H188" t="str">
            <v>Forged Irish Stout</v>
          </cell>
          <cell r="K188" t="str">
            <v>Package</v>
          </cell>
          <cell r="L188" t="str">
            <v>Yes</v>
          </cell>
        </row>
        <row r="189">
          <cell r="G189" t="str">
            <v>Forged Irish Stout</v>
          </cell>
          <cell r="H189" t="str">
            <v>Forged Irish Stout</v>
          </cell>
          <cell r="K189" t="str">
            <v>Draft</v>
          </cell>
          <cell r="L189" t="str">
            <v>Yes</v>
          </cell>
        </row>
        <row r="190">
          <cell r="G190" t="str">
            <v>Forged Irish Stout</v>
          </cell>
          <cell r="H190" t="str">
            <v>Forged Irish Stout</v>
          </cell>
          <cell r="K190" t="str">
            <v>Draft</v>
          </cell>
          <cell r="L190" t="str">
            <v>Yes</v>
          </cell>
        </row>
        <row r="191">
          <cell r="G191" t="str">
            <v>Blue Moon</v>
          </cell>
          <cell r="H191" t="str">
            <v>MolsonCoors Beverage Company</v>
          </cell>
          <cell r="K191" t="str">
            <v>Draft</v>
          </cell>
          <cell r="L191" t="str">
            <v>Yes</v>
          </cell>
        </row>
        <row r="192">
          <cell r="G192" t="str">
            <v>Blue Moon</v>
          </cell>
          <cell r="H192" t="str">
            <v>MolsonCoors Beverage Company</v>
          </cell>
          <cell r="K192" t="str">
            <v>Package</v>
          </cell>
          <cell r="L192" t="str">
            <v>Yes</v>
          </cell>
        </row>
        <row r="193">
          <cell r="G193" t="str">
            <v>Blue Moon</v>
          </cell>
          <cell r="H193" t="str">
            <v>MolsonCoors Beverage Company</v>
          </cell>
          <cell r="K193" t="str">
            <v>Draft</v>
          </cell>
          <cell r="L193" t="str">
            <v>Yes</v>
          </cell>
        </row>
        <row r="194">
          <cell r="G194" t="str">
            <v>Blue Moon</v>
          </cell>
          <cell r="H194" t="str">
            <v>MolsonCoors Beverage Company</v>
          </cell>
          <cell r="K194" t="str">
            <v>Package</v>
          </cell>
          <cell r="L194" t="str">
            <v>Yes</v>
          </cell>
        </row>
        <row r="195">
          <cell r="G195" t="str">
            <v>Blue Moon</v>
          </cell>
          <cell r="H195" t="str">
            <v>MolsonCoors Beverage Company</v>
          </cell>
          <cell r="K195" t="str">
            <v>Package</v>
          </cell>
          <cell r="L195" t="str">
            <v>Yes</v>
          </cell>
        </row>
        <row r="196">
          <cell r="G196" t="str">
            <v>Blue Moon</v>
          </cell>
          <cell r="H196" t="str">
            <v>MolsonCoors Beverage Company</v>
          </cell>
          <cell r="K196" t="str">
            <v>Package</v>
          </cell>
          <cell r="L196" t="str">
            <v>No</v>
          </cell>
        </row>
        <row r="197">
          <cell r="G197" t="str">
            <v>Blue Moon</v>
          </cell>
          <cell r="H197" t="str">
            <v>MolsonCoors Beverage Company</v>
          </cell>
          <cell r="K197" t="str">
            <v>Package</v>
          </cell>
          <cell r="L197" t="str">
            <v>Yes</v>
          </cell>
        </row>
        <row r="198">
          <cell r="G198" t="str">
            <v>Blue Moon</v>
          </cell>
          <cell r="H198" t="str">
            <v>MolsonCoors Beverage Company</v>
          </cell>
          <cell r="K198" t="str">
            <v>Package</v>
          </cell>
          <cell r="L198" t="str">
            <v>Yes</v>
          </cell>
        </row>
        <row r="199">
          <cell r="G199" t="str">
            <v>Blue Moon</v>
          </cell>
          <cell r="H199" t="str">
            <v>MolsonCoors Beverage Company</v>
          </cell>
          <cell r="K199" t="str">
            <v>Package</v>
          </cell>
          <cell r="L199" t="str">
            <v>Yes</v>
          </cell>
        </row>
        <row r="200">
          <cell r="G200" t="str">
            <v>Blue Moon</v>
          </cell>
          <cell r="H200" t="str">
            <v>MolsonCoors Beverage Company</v>
          </cell>
          <cell r="K200" t="str">
            <v>Package</v>
          </cell>
          <cell r="L200" t="str">
            <v>No</v>
          </cell>
        </row>
        <row r="201">
          <cell r="G201" t="str">
            <v>Blue Moon</v>
          </cell>
          <cell r="H201" t="str">
            <v>MolsonCoors Beverage Company</v>
          </cell>
          <cell r="K201" t="str">
            <v>Package</v>
          </cell>
          <cell r="L201" t="str">
            <v>Yes</v>
          </cell>
        </row>
        <row r="202">
          <cell r="G202" t="str">
            <v>Blue Moon</v>
          </cell>
          <cell r="H202" t="str">
            <v>MolsonCoors Beverage Company</v>
          </cell>
          <cell r="K202" t="str">
            <v>Draft</v>
          </cell>
          <cell r="L202" t="str">
            <v>Yes</v>
          </cell>
        </row>
        <row r="203">
          <cell r="G203" t="str">
            <v>Blue Moon</v>
          </cell>
          <cell r="H203" t="str">
            <v>MolsonCoors Beverage Company</v>
          </cell>
          <cell r="K203" t="str">
            <v>Package</v>
          </cell>
          <cell r="L203" t="str">
            <v>No</v>
          </cell>
        </row>
        <row r="204">
          <cell r="G204" t="str">
            <v>Blue Moon</v>
          </cell>
          <cell r="H204" t="str">
            <v>MolsonCoors Beverage Company</v>
          </cell>
          <cell r="K204" t="str">
            <v>Package</v>
          </cell>
          <cell r="L204" t="str">
            <v>No</v>
          </cell>
        </row>
        <row r="205">
          <cell r="G205" t="str">
            <v>Blue Moon</v>
          </cell>
          <cell r="H205" t="str">
            <v>MolsonCoors Beverage Company</v>
          </cell>
          <cell r="K205" t="str">
            <v>Package</v>
          </cell>
          <cell r="L205" t="str">
            <v>Yes</v>
          </cell>
        </row>
        <row r="206">
          <cell r="G206" t="str">
            <v>Blue Moon</v>
          </cell>
          <cell r="H206" t="str">
            <v>MolsonCoors Beverage Company</v>
          </cell>
          <cell r="K206" t="str">
            <v>Package</v>
          </cell>
          <cell r="L206" t="str">
            <v>No</v>
          </cell>
        </row>
        <row r="207">
          <cell r="G207" t="str">
            <v>Blue Moon</v>
          </cell>
          <cell r="H207" t="str">
            <v>MolsonCoors Beverage Company</v>
          </cell>
          <cell r="K207" t="str">
            <v>Package</v>
          </cell>
          <cell r="L207" t="str">
            <v>Yes</v>
          </cell>
        </row>
        <row r="208">
          <cell r="G208" t="str">
            <v>Blue Moon</v>
          </cell>
          <cell r="H208" t="str">
            <v>MolsonCoors Beverage Company</v>
          </cell>
          <cell r="K208" t="str">
            <v>Package</v>
          </cell>
          <cell r="L208" t="str">
            <v>Yes</v>
          </cell>
        </row>
        <row r="209">
          <cell r="G209" t="str">
            <v>Blue Moon</v>
          </cell>
          <cell r="H209" t="str">
            <v>MolsonCoors Beverage Company</v>
          </cell>
          <cell r="K209" t="str">
            <v>Package</v>
          </cell>
          <cell r="L209" t="str">
            <v>Yes</v>
          </cell>
        </row>
        <row r="210">
          <cell r="G210" t="str">
            <v>Blue Moon</v>
          </cell>
          <cell r="H210" t="str">
            <v>MolsonCoors Beverage Company</v>
          </cell>
          <cell r="K210" t="str">
            <v>Package</v>
          </cell>
          <cell r="L210" t="str">
            <v>Yes</v>
          </cell>
        </row>
        <row r="211">
          <cell r="G211" t="str">
            <v>Blue Moon</v>
          </cell>
          <cell r="H211" t="str">
            <v>MolsonCoors Beverage Company</v>
          </cell>
          <cell r="K211" t="str">
            <v>Package</v>
          </cell>
          <cell r="L211" t="str">
            <v>Yes</v>
          </cell>
        </row>
        <row r="212">
          <cell r="G212" t="str">
            <v>Blue Moon</v>
          </cell>
          <cell r="H212" t="str">
            <v>MolsonCoors Beverage Company</v>
          </cell>
          <cell r="K212" t="str">
            <v>Package</v>
          </cell>
          <cell r="L212" t="str">
            <v>Yes</v>
          </cell>
        </row>
        <row r="213">
          <cell r="G213" t="str">
            <v>Hamm's</v>
          </cell>
          <cell r="H213" t="str">
            <v>MolsonCoors Beverage Company</v>
          </cell>
          <cell r="K213" t="str">
            <v>Package</v>
          </cell>
          <cell r="L213" t="str">
            <v>Yes</v>
          </cell>
        </row>
        <row r="214">
          <cell r="G214" t="str">
            <v>Hop Valley</v>
          </cell>
          <cell r="H214" t="str">
            <v>MolsonCoors Beverage Company</v>
          </cell>
          <cell r="K214" t="str">
            <v>Package</v>
          </cell>
          <cell r="L214" t="str">
            <v>No</v>
          </cell>
        </row>
        <row r="215">
          <cell r="G215" t="str">
            <v>Hop Valley</v>
          </cell>
          <cell r="H215" t="str">
            <v>MolsonCoors Beverage Company</v>
          </cell>
          <cell r="K215" t="str">
            <v>Package</v>
          </cell>
          <cell r="L215" t="str">
            <v>No</v>
          </cell>
        </row>
        <row r="216">
          <cell r="G216" t="str">
            <v>George Killian's</v>
          </cell>
          <cell r="H216" t="str">
            <v>MolsonCoors Beverage Company</v>
          </cell>
          <cell r="K216" t="str">
            <v>Draft</v>
          </cell>
          <cell r="L216" t="str">
            <v>Yes</v>
          </cell>
        </row>
        <row r="217">
          <cell r="G217" t="str">
            <v>George Killian's</v>
          </cell>
          <cell r="H217" t="str">
            <v>MolsonCoors Beverage Company</v>
          </cell>
          <cell r="K217" t="str">
            <v>Draft</v>
          </cell>
          <cell r="L217" t="str">
            <v>Yes</v>
          </cell>
        </row>
        <row r="218">
          <cell r="G218" t="str">
            <v>George Killian's</v>
          </cell>
          <cell r="H218" t="str">
            <v>MolsonCoors Beverage Company</v>
          </cell>
          <cell r="K218" t="str">
            <v>Package</v>
          </cell>
          <cell r="L218" t="str">
            <v>Yes</v>
          </cell>
        </row>
        <row r="219">
          <cell r="G219" t="str">
            <v>George Killian's</v>
          </cell>
          <cell r="H219" t="str">
            <v>MolsonCoors Beverage Company</v>
          </cell>
          <cell r="K219" t="str">
            <v>Package</v>
          </cell>
          <cell r="L219" t="str">
            <v>Yes</v>
          </cell>
        </row>
        <row r="220">
          <cell r="G220" t="str">
            <v>Molson</v>
          </cell>
          <cell r="H220" t="str">
            <v>MolsonCoors Beverage Company</v>
          </cell>
          <cell r="K220" t="str">
            <v>Package</v>
          </cell>
          <cell r="L220" t="str">
            <v>Yes</v>
          </cell>
        </row>
        <row r="221">
          <cell r="G221" t="str">
            <v>Molson</v>
          </cell>
          <cell r="H221" t="str">
            <v>MolsonCoors Beverage Company</v>
          </cell>
          <cell r="K221" t="str">
            <v>Package</v>
          </cell>
          <cell r="L221" t="str">
            <v>Yes</v>
          </cell>
        </row>
        <row r="222">
          <cell r="G222" t="str">
            <v>Molson</v>
          </cell>
          <cell r="H222" t="str">
            <v>MolsonCoors Beverage Company</v>
          </cell>
          <cell r="K222" t="str">
            <v>Package</v>
          </cell>
          <cell r="L222" t="str">
            <v>Yes</v>
          </cell>
        </row>
        <row r="223">
          <cell r="G223" t="str">
            <v>Molson</v>
          </cell>
          <cell r="H223" t="str">
            <v>MolsonCoors Beverage Company</v>
          </cell>
          <cell r="K223" t="str">
            <v>Package</v>
          </cell>
          <cell r="L223" t="str">
            <v>Yes</v>
          </cell>
        </row>
        <row r="224">
          <cell r="G224" t="str">
            <v>Molson</v>
          </cell>
          <cell r="H224" t="str">
            <v>MolsonCoors Beverage Company</v>
          </cell>
          <cell r="K224" t="str">
            <v>Package</v>
          </cell>
          <cell r="L224" t="str">
            <v>No</v>
          </cell>
        </row>
        <row r="225">
          <cell r="G225" t="str">
            <v>Molson</v>
          </cell>
          <cell r="H225" t="str">
            <v>MolsonCoors Beverage Company</v>
          </cell>
          <cell r="K225" t="str">
            <v>Package</v>
          </cell>
          <cell r="L225" t="str">
            <v>Yes</v>
          </cell>
        </row>
        <row r="226">
          <cell r="G226" t="str">
            <v>Molson</v>
          </cell>
          <cell r="H226" t="str">
            <v>MolsonCoors Beverage Company</v>
          </cell>
          <cell r="K226" t="str">
            <v>Package</v>
          </cell>
          <cell r="L226" t="str">
            <v>No</v>
          </cell>
        </row>
        <row r="227">
          <cell r="G227" t="str">
            <v>Molson</v>
          </cell>
          <cell r="H227" t="str">
            <v>MolsonCoors Beverage Company</v>
          </cell>
          <cell r="K227" t="str">
            <v>Package</v>
          </cell>
          <cell r="L227" t="str">
            <v>Yes</v>
          </cell>
        </row>
        <row r="228">
          <cell r="G228" t="str">
            <v>Molson</v>
          </cell>
          <cell r="H228" t="str">
            <v>MolsonCoors Beverage Company</v>
          </cell>
          <cell r="K228" t="str">
            <v>Package</v>
          </cell>
          <cell r="L228" t="str">
            <v>No</v>
          </cell>
        </row>
        <row r="229">
          <cell r="G229" t="str">
            <v>Molson</v>
          </cell>
          <cell r="H229" t="str">
            <v>MolsonCoors Beverage Company</v>
          </cell>
          <cell r="K229" t="str">
            <v>Package</v>
          </cell>
          <cell r="L229" t="str">
            <v>Yes</v>
          </cell>
        </row>
        <row r="230">
          <cell r="G230" t="str">
            <v>Heineken USA</v>
          </cell>
          <cell r="H230" t="str">
            <v>Heineken USA</v>
          </cell>
          <cell r="K230" t="str">
            <v>Draft</v>
          </cell>
          <cell r="L230" t="str">
            <v>Yes</v>
          </cell>
        </row>
        <row r="231">
          <cell r="G231" t="str">
            <v>Heineken USA</v>
          </cell>
          <cell r="H231" t="str">
            <v>Heineken USA</v>
          </cell>
          <cell r="K231" t="str">
            <v>Draft</v>
          </cell>
          <cell r="L231" t="str">
            <v>Yes</v>
          </cell>
        </row>
        <row r="232">
          <cell r="G232" t="str">
            <v>Heineken USA</v>
          </cell>
          <cell r="H232" t="str">
            <v>Heineken USA</v>
          </cell>
          <cell r="K232" t="str">
            <v>Package</v>
          </cell>
          <cell r="L232" t="str">
            <v>Yes</v>
          </cell>
        </row>
        <row r="233">
          <cell r="G233" t="str">
            <v>Heineken USA</v>
          </cell>
          <cell r="H233" t="str">
            <v>Heineken USA</v>
          </cell>
          <cell r="K233" t="str">
            <v>Package</v>
          </cell>
          <cell r="L233" t="str">
            <v>Yes</v>
          </cell>
        </row>
        <row r="234">
          <cell r="G234" t="str">
            <v>Heineken USA</v>
          </cell>
          <cell r="H234" t="str">
            <v>Heineken USA</v>
          </cell>
          <cell r="K234" t="str">
            <v>Package</v>
          </cell>
          <cell r="L234" t="str">
            <v>Yes</v>
          </cell>
        </row>
        <row r="235">
          <cell r="G235" t="str">
            <v>Heineken USA</v>
          </cell>
          <cell r="H235" t="str">
            <v>Heineken USA</v>
          </cell>
          <cell r="K235" t="str">
            <v>Package</v>
          </cell>
          <cell r="L235" t="str">
            <v>Yes</v>
          </cell>
        </row>
        <row r="236">
          <cell r="G236" t="str">
            <v>Heineken USA</v>
          </cell>
          <cell r="H236" t="str">
            <v>Heineken USA</v>
          </cell>
          <cell r="K236" t="str">
            <v>Package</v>
          </cell>
          <cell r="L236" t="str">
            <v>Yes</v>
          </cell>
        </row>
        <row r="237">
          <cell r="G237" t="str">
            <v>Heineken USA</v>
          </cell>
          <cell r="H237" t="str">
            <v>Heineken USA</v>
          </cell>
          <cell r="K237" t="str">
            <v>Package</v>
          </cell>
          <cell r="L237" t="str">
            <v>Yes</v>
          </cell>
        </row>
        <row r="238">
          <cell r="G238" t="str">
            <v>Heineken USA</v>
          </cell>
          <cell r="H238" t="str">
            <v>Heineken USA</v>
          </cell>
          <cell r="K238" t="str">
            <v>Package</v>
          </cell>
          <cell r="L238" t="str">
            <v>Yes</v>
          </cell>
        </row>
        <row r="239">
          <cell r="G239" t="str">
            <v>Heineken USA</v>
          </cell>
          <cell r="H239" t="str">
            <v>Heineken USA</v>
          </cell>
          <cell r="K239" t="str">
            <v>Package</v>
          </cell>
          <cell r="L239" t="str">
            <v>Yes</v>
          </cell>
        </row>
        <row r="240">
          <cell r="G240" t="str">
            <v>Heineken USA</v>
          </cell>
          <cell r="H240" t="str">
            <v>Heineken USA</v>
          </cell>
          <cell r="K240" t="str">
            <v>Package</v>
          </cell>
          <cell r="L240" t="str">
            <v>Yes</v>
          </cell>
        </row>
        <row r="241">
          <cell r="G241" t="str">
            <v>Heineken USA</v>
          </cell>
          <cell r="H241" t="str">
            <v>Heineken USA</v>
          </cell>
          <cell r="K241" t="str">
            <v>Package</v>
          </cell>
          <cell r="L241" t="str">
            <v>Yes</v>
          </cell>
        </row>
        <row r="242">
          <cell r="G242" t="str">
            <v>Heineken USA</v>
          </cell>
          <cell r="H242" t="str">
            <v>Heineken USA</v>
          </cell>
          <cell r="K242" t="str">
            <v>Package</v>
          </cell>
          <cell r="L242" t="str">
            <v>Yes</v>
          </cell>
        </row>
        <row r="243">
          <cell r="G243" t="str">
            <v>Heineken USA</v>
          </cell>
          <cell r="H243" t="str">
            <v>Heineken USA</v>
          </cell>
          <cell r="K243" t="str">
            <v>Package</v>
          </cell>
          <cell r="L243" t="str">
            <v>Yes</v>
          </cell>
        </row>
        <row r="244">
          <cell r="G244" t="str">
            <v>Heineken USA</v>
          </cell>
          <cell r="H244" t="str">
            <v>Heineken USA</v>
          </cell>
          <cell r="K244" t="str">
            <v>Package</v>
          </cell>
          <cell r="L244" t="str">
            <v>Yes</v>
          </cell>
        </row>
        <row r="245">
          <cell r="G245" t="str">
            <v>Heineken USA</v>
          </cell>
          <cell r="H245" t="str">
            <v>Heineken USA</v>
          </cell>
          <cell r="K245" t="str">
            <v>Package</v>
          </cell>
          <cell r="L245" t="str">
            <v>Yes</v>
          </cell>
        </row>
        <row r="246">
          <cell r="G246" t="str">
            <v>Heineken USA</v>
          </cell>
          <cell r="H246" t="str">
            <v>Heineken USA</v>
          </cell>
          <cell r="K246" t="str">
            <v>Package</v>
          </cell>
          <cell r="L246" t="str">
            <v>Yes</v>
          </cell>
        </row>
        <row r="247">
          <cell r="G247" t="str">
            <v>Heineken Silver</v>
          </cell>
          <cell r="H247" t="str">
            <v>Heineken USA</v>
          </cell>
          <cell r="K247" t="str">
            <v>Package</v>
          </cell>
          <cell r="L247" t="str">
            <v>Yes</v>
          </cell>
        </row>
        <row r="248">
          <cell r="G248" t="str">
            <v>Heineken Silver</v>
          </cell>
          <cell r="H248" t="str">
            <v>Heineken USA</v>
          </cell>
          <cell r="K248" t="str">
            <v>Package</v>
          </cell>
          <cell r="L248" t="str">
            <v>Yes</v>
          </cell>
        </row>
        <row r="249">
          <cell r="G249" t="str">
            <v>Heineken Silver</v>
          </cell>
          <cell r="H249" t="str">
            <v>Heineken USA</v>
          </cell>
          <cell r="K249" t="str">
            <v>Package</v>
          </cell>
          <cell r="L249" t="str">
            <v>Yes</v>
          </cell>
        </row>
        <row r="250">
          <cell r="G250" t="str">
            <v>Heineken Silver</v>
          </cell>
          <cell r="H250" t="str">
            <v>Heineken USA</v>
          </cell>
          <cell r="K250" t="str">
            <v>Package</v>
          </cell>
          <cell r="L250" t="str">
            <v>Yes</v>
          </cell>
        </row>
        <row r="251">
          <cell r="G251" t="str">
            <v>Heineken Silver</v>
          </cell>
          <cell r="H251" t="str">
            <v>Heineken USA</v>
          </cell>
          <cell r="K251" t="str">
            <v>Package</v>
          </cell>
          <cell r="L251" t="str">
            <v>Yes</v>
          </cell>
        </row>
        <row r="252">
          <cell r="G252" t="str">
            <v>Heineken 0.0</v>
          </cell>
          <cell r="H252" t="str">
            <v>Heineken USA</v>
          </cell>
          <cell r="K252" t="str">
            <v>Package</v>
          </cell>
          <cell r="L252" t="str">
            <v>Yes</v>
          </cell>
        </row>
        <row r="253">
          <cell r="G253" t="str">
            <v>Heineken 0.0</v>
          </cell>
          <cell r="H253" t="str">
            <v>Heineken USA</v>
          </cell>
          <cell r="K253" t="str">
            <v>Package</v>
          </cell>
          <cell r="L253" t="str">
            <v>Yes</v>
          </cell>
        </row>
        <row r="254">
          <cell r="G254" t="str">
            <v>Heineken 0.0</v>
          </cell>
          <cell r="H254" t="str">
            <v>Heineken USA</v>
          </cell>
          <cell r="K254" t="str">
            <v>Package</v>
          </cell>
          <cell r="L254" t="str">
            <v>Yes</v>
          </cell>
        </row>
        <row r="255">
          <cell r="G255" t="str">
            <v>Heineken 0.0</v>
          </cell>
          <cell r="H255" t="str">
            <v>Heineken USA</v>
          </cell>
          <cell r="K255" t="str">
            <v>Package</v>
          </cell>
          <cell r="L255" t="str">
            <v>Yes</v>
          </cell>
        </row>
        <row r="256">
          <cell r="G256" t="str">
            <v>Heineken 0.0</v>
          </cell>
          <cell r="H256" t="str">
            <v>Heineken USA</v>
          </cell>
          <cell r="K256" t="str">
            <v>Package</v>
          </cell>
          <cell r="L256" t="str">
            <v>Yes</v>
          </cell>
        </row>
        <row r="257">
          <cell r="G257" t="str">
            <v>Heineken 0.0 Ultimate</v>
          </cell>
          <cell r="H257" t="str">
            <v>Heineken USA</v>
          </cell>
          <cell r="K257" t="str">
            <v>Package</v>
          </cell>
          <cell r="L257" t="str">
            <v>Yes</v>
          </cell>
        </row>
        <row r="258">
          <cell r="G258" t="str">
            <v>Heineken 0.0 Ultimate</v>
          </cell>
          <cell r="H258" t="str">
            <v>Heineken USA</v>
          </cell>
          <cell r="K258" t="str">
            <v>Package</v>
          </cell>
          <cell r="L258" t="str">
            <v>Yes</v>
          </cell>
        </row>
        <row r="259">
          <cell r="G259" t="str">
            <v>Heineken Light</v>
          </cell>
          <cell r="H259" t="str">
            <v>Heineken USA</v>
          </cell>
          <cell r="K259" t="str">
            <v>Package</v>
          </cell>
          <cell r="L259" t="str">
            <v>Yes</v>
          </cell>
        </row>
        <row r="260">
          <cell r="G260" t="str">
            <v>Heineken Light</v>
          </cell>
          <cell r="H260" t="str">
            <v>Heineken USA</v>
          </cell>
          <cell r="K260" t="str">
            <v>Package</v>
          </cell>
          <cell r="L260" t="str">
            <v>Yes</v>
          </cell>
        </row>
        <row r="261">
          <cell r="G261" t="str">
            <v>Heineken Light</v>
          </cell>
          <cell r="H261" t="str">
            <v>Heineken USA</v>
          </cell>
          <cell r="K261" t="str">
            <v>Package</v>
          </cell>
          <cell r="L261" t="str">
            <v>Yes</v>
          </cell>
        </row>
        <row r="262">
          <cell r="G262" t="str">
            <v>Heineken Light</v>
          </cell>
          <cell r="H262" t="str">
            <v>Heineken USA</v>
          </cell>
          <cell r="K262" t="str">
            <v>Package</v>
          </cell>
          <cell r="L262" t="str">
            <v>Yes</v>
          </cell>
        </row>
        <row r="263">
          <cell r="G263" t="str">
            <v>Heineken Light</v>
          </cell>
          <cell r="H263" t="str">
            <v>Heineken USA</v>
          </cell>
          <cell r="K263" t="str">
            <v>Package</v>
          </cell>
          <cell r="L263" t="str">
            <v>Yes</v>
          </cell>
        </row>
        <row r="264">
          <cell r="G264" t="str">
            <v>Heineken Light</v>
          </cell>
          <cell r="H264" t="str">
            <v>Heineken USA</v>
          </cell>
          <cell r="K264" t="str">
            <v>Package</v>
          </cell>
          <cell r="L264" t="str">
            <v>Yes</v>
          </cell>
        </row>
        <row r="265">
          <cell r="G265" t="str">
            <v>Heineken Light</v>
          </cell>
          <cell r="H265" t="str">
            <v>Heineken USA</v>
          </cell>
          <cell r="K265" t="str">
            <v>Package</v>
          </cell>
          <cell r="L265" t="str">
            <v>Yes</v>
          </cell>
        </row>
        <row r="266">
          <cell r="G266" t="str">
            <v>Amstel</v>
          </cell>
          <cell r="H266" t="str">
            <v>Heineken USA</v>
          </cell>
          <cell r="K266" t="str">
            <v>Draft</v>
          </cell>
          <cell r="L266" t="str">
            <v>No</v>
          </cell>
        </row>
        <row r="267">
          <cell r="G267" t="str">
            <v>Amstel</v>
          </cell>
          <cell r="H267" t="str">
            <v>Heineken USA</v>
          </cell>
          <cell r="K267" t="str">
            <v>Draft</v>
          </cell>
          <cell r="L267" t="str">
            <v>Yes</v>
          </cell>
        </row>
        <row r="268">
          <cell r="G268" t="str">
            <v>Amstel</v>
          </cell>
          <cell r="H268" t="str">
            <v>Heineken USA</v>
          </cell>
          <cell r="K268" t="str">
            <v>Package</v>
          </cell>
          <cell r="L268" t="str">
            <v>Yes</v>
          </cell>
        </row>
        <row r="269">
          <cell r="G269" t="str">
            <v>Amstel</v>
          </cell>
          <cell r="H269" t="str">
            <v>Heineken USA</v>
          </cell>
          <cell r="K269" t="str">
            <v>Package</v>
          </cell>
          <cell r="L269" t="str">
            <v>Yes</v>
          </cell>
        </row>
        <row r="270">
          <cell r="G270" t="str">
            <v>Amstel</v>
          </cell>
          <cell r="H270" t="str">
            <v>Heineken USA</v>
          </cell>
          <cell r="K270" t="str">
            <v>Package</v>
          </cell>
          <cell r="L270" t="str">
            <v>Yes</v>
          </cell>
        </row>
        <row r="271">
          <cell r="G271" t="str">
            <v>Amstel</v>
          </cell>
          <cell r="H271" t="str">
            <v>Heineken USA</v>
          </cell>
          <cell r="K271" t="str">
            <v>Package</v>
          </cell>
          <cell r="L271" t="str">
            <v>Yes</v>
          </cell>
        </row>
        <row r="272">
          <cell r="G272" t="str">
            <v>Dos Equis</v>
          </cell>
          <cell r="H272" t="str">
            <v>Heineken USA</v>
          </cell>
          <cell r="K272" t="str">
            <v>Draft</v>
          </cell>
          <cell r="L272" t="str">
            <v>Yes</v>
          </cell>
        </row>
        <row r="273">
          <cell r="G273" t="str">
            <v>Dos Equis</v>
          </cell>
          <cell r="H273" t="str">
            <v>Heineken USA</v>
          </cell>
          <cell r="K273" t="str">
            <v>Draft</v>
          </cell>
          <cell r="L273" t="str">
            <v>Yes</v>
          </cell>
        </row>
        <row r="274">
          <cell r="G274" t="str">
            <v>Dos Equis</v>
          </cell>
          <cell r="H274" t="str">
            <v>Heineken USA</v>
          </cell>
          <cell r="K274" t="str">
            <v>Package</v>
          </cell>
          <cell r="L274" t="str">
            <v>Yes</v>
          </cell>
        </row>
        <row r="275">
          <cell r="G275" t="str">
            <v>Dos Equis</v>
          </cell>
          <cell r="H275" t="str">
            <v>Heineken USA</v>
          </cell>
          <cell r="K275" t="str">
            <v>Package</v>
          </cell>
          <cell r="L275" t="str">
            <v>Yes</v>
          </cell>
        </row>
        <row r="276">
          <cell r="G276" t="str">
            <v>Dos Equis</v>
          </cell>
          <cell r="H276" t="str">
            <v>Heineken USA</v>
          </cell>
          <cell r="K276" t="str">
            <v>Package</v>
          </cell>
          <cell r="L276" t="str">
            <v>Yes</v>
          </cell>
        </row>
        <row r="277">
          <cell r="G277" t="str">
            <v>Dos Equis</v>
          </cell>
          <cell r="H277" t="str">
            <v>Heineken USA</v>
          </cell>
          <cell r="K277" t="str">
            <v>Package</v>
          </cell>
          <cell r="L277" t="str">
            <v>Yes</v>
          </cell>
        </row>
        <row r="278">
          <cell r="G278" t="str">
            <v>Dos Equis</v>
          </cell>
          <cell r="H278" t="str">
            <v>Heineken USA</v>
          </cell>
          <cell r="K278" t="str">
            <v>Package</v>
          </cell>
          <cell r="L278" t="str">
            <v>Yes</v>
          </cell>
        </row>
        <row r="279">
          <cell r="G279" t="str">
            <v>Dos Equis</v>
          </cell>
          <cell r="H279" t="str">
            <v>Heineken USA</v>
          </cell>
          <cell r="K279" t="str">
            <v>Package</v>
          </cell>
          <cell r="L279" t="str">
            <v>Yes</v>
          </cell>
        </row>
        <row r="280">
          <cell r="G280" t="str">
            <v>Dos Equis</v>
          </cell>
          <cell r="H280" t="str">
            <v>Heineken USA</v>
          </cell>
          <cell r="K280" t="str">
            <v>Package</v>
          </cell>
          <cell r="L280" t="str">
            <v>No</v>
          </cell>
        </row>
        <row r="281">
          <cell r="G281" t="str">
            <v>Dos Equis</v>
          </cell>
          <cell r="H281" t="str">
            <v>Heineken USA</v>
          </cell>
          <cell r="K281" t="str">
            <v>Package</v>
          </cell>
          <cell r="L281" t="str">
            <v>Yes</v>
          </cell>
        </row>
        <row r="282">
          <cell r="G282" t="str">
            <v>Dos Equis</v>
          </cell>
          <cell r="H282" t="str">
            <v>Heineken USA</v>
          </cell>
          <cell r="K282" t="str">
            <v>Package</v>
          </cell>
          <cell r="L282" t="str">
            <v>No</v>
          </cell>
        </row>
        <row r="283">
          <cell r="G283" t="str">
            <v>Dos Equis</v>
          </cell>
          <cell r="H283" t="str">
            <v>Heineken USA</v>
          </cell>
          <cell r="K283" t="str">
            <v>Package</v>
          </cell>
          <cell r="L283" t="str">
            <v>No</v>
          </cell>
        </row>
        <row r="284">
          <cell r="G284" t="str">
            <v>Tecate</v>
          </cell>
          <cell r="H284" t="str">
            <v>Heineken USA</v>
          </cell>
          <cell r="K284" t="str">
            <v>Package</v>
          </cell>
          <cell r="L284" t="str">
            <v>Yes</v>
          </cell>
        </row>
        <row r="285">
          <cell r="G285" t="str">
            <v>Tecate</v>
          </cell>
          <cell r="H285" t="str">
            <v>Heineken USA</v>
          </cell>
          <cell r="K285" t="str">
            <v>Package</v>
          </cell>
          <cell r="L285" t="str">
            <v>Yes</v>
          </cell>
        </row>
        <row r="286">
          <cell r="G286" t="str">
            <v>Tecate</v>
          </cell>
          <cell r="H286" t="str">
            <v>Heineken USA</v>
          </cell>
          <cell r="K286" t="str">
            <v>Package</v>
          </cell>
          <cell r="L286" t="str">
            <v>Yes</v>
          </cell>
        </row>
        <row r="287">
          <cell r="G287" t="str">
            <v>Tecate</v>
          </cell>
          <cell r="H287" t="str">
            <v>Heineken USA</v>
          </cell>
          <cell r="K287" t="str">
            <v>Package</v>
          </cell>
          <cell r="L287" t="str">
            <v>Yes</v>
          </cell>
        </row>
        <row r="288">
          <cell r="G288" t="str">
            <v>Tecate Light</v>
          </cell>
          <cell r="H288" t="str">
            <v>Heineken USA</v>
          </cell>
          <cell r="K288" t="str">
            <v>Package</v>
          </cell>
          <cell r="L288" t="str">
            <v>Yes</v>
          </cell>
        </row>
        <row r="289">
          <cell r="G289" t="str">
            <v>Tecate</v>
          </cell>
          <cell r="H289" t="str">
            <v>Heineken USA</v>
          </cell>
          <cell r="K289" t="str">
            <v>Package</v>
          </cell>
          <cell r="L289" t="str">
            <v>Yes</v>
          </cell>
        </row>
        <row r="290">
          <cell r="G290" t="str">
            <v>Tecate</v>
          </cell>
          <cell r="H290" t="str">
            <v>Heineken USA</v>
          </cell>
          <cell r="K290" t="str">
            <v>Package</v>
          </cell>
          <cell r="L290" t="str">
            <v>No</v>
          </cell>
        </row>
        <row r="291">
          <cell r="G291" t="str">
            <v>Tecate</v>
          </cell>
          <cell r="H291" t="str">
            <v>Heineken USA</v>
          </cell>
          <cell r="K291" t="str">
            <v>Package</v>
          </cell>
          <cell r="L291" t="str">
            <v>Yes</v>
          </cell>
        </row>
        <row r="292">
          <cell r="G292" t="str">
            <v>Carta Blanca</v>
          </cell>
          <cell r="H292" t="str">
            <v>Heineken USA</v>
          </cell>
          <cell r="K292" t="str">
            <v>Package</v>
          </cell>
          <cell r="L292" t="str">
            <v>Yes</v>
          </cell>
        </row>
        <row r="293">
          <cell r="G293" t="str">
            <v>Carta Blanca</v>
          </cell>
          <cell r="H293" t="str">
            <v>Heineken USA</v>
          </cell>
          <cell r="K293" t="str">
            <v>Package</v>
          </cell>
          <cell r="L293" t="str">
            <v>Yes</v>
          </cell>
        </row>
        <row r="294">
          <cell r="G294" t="str">
            <v>Dos Equis</v>
          </cell>
          <cell r="H294" t="str">
            <v>Heineken USA</v>
          </cell>
          <cell r="K294" t="str">
            <v>Draft</v>
          </cell>
          <cell r="L294" t="str">
            <v>Yes</v>
          </cell>
        </row>
        <row r="295">
          <cell r="G295" t="str">
            <v>Dos Equis</v>
          </cell>
          <cell r="H295" t="str">
            <v>Heineken USA</v>
          </cell>
          <cell r="K295" t="str">
            <v>Draft</v>
          </cell>
          <cell r="L295" t="str">
            <v>Yes</v>
          </cell>
        </row>
        <row r="296">
          <cell r="G296" t="str">
            <v>Dos Equis</v>
          </cell>
          <cell r="H296" t="str">
            <v>Heineken USA</v>
          </cell>
          <cell r="K296" t="str">
            <v>Package</v>
          </cell>
          <cell r="L296" t="str">
            <v>Yes</v>
          </cell>
        </row>
        <row r="297">
          <cell r="G297" t="str">
            <v>Bohemia</v>
          </cell>
          <cell r="H297" t="str">
            <v>Heineken USA</v>
          </cell>
          <cell r="K297" t="str">
            <v>Package</v>
          </cell>
          <cell r="L297" t="str">
            <v>Yes</v>
          </cell>
        </row>
        <row r="298">
          <cell r="G298" t="str">
            <v>Sol</v>
          </cell>
          <cell r="H298" t="str">
            <v>MolsonCoors Beverage Company</v>
          </cell>
          <cell r="K298" t="str">
            <v>Package</v>
          </cell>
          <cell r="L298" t="str">
            <v>Yes</v>
          </cell>
        </row>
        <row r="299">
          <cell r="G299" t="str">
            <v>Sol</v>
          </cell>
          <cell r="H299" t="str">
            <v>MolsonCoors Beverage Company</v>
          </cell>
          <cell r="K299" t="str">
            <v>Package</v>
          </cell>
          <cell r="L299" t="str">
            <v>Yes</v>
          </cell>
        </row>
        <row r="300">
          <cell r="G300" t="str">
            <v>Sol</v>
          </cell>
          <cell r="H300" t="str">
            <v>MolsonCoors Beverage Company</v>
          </cell>
          <cell r="K300" t="str">
            <v>Package</v>
          </cell>
          <cell r="L300" t="str">
            <v>No</v>
          </cell>
        </row>
        <row r="301">
          <cell r="G301" t="str">
            <v>Newcastle</v>
          </cell>
          <cell r="H301" t="str">
            <v>Heineken USA</v>
          </cell>
          <cell r="K301" t="str">
            <v>Package</v>
          </cell>
          <cell r="L301" t="str">
            <v>Yes</v>
          </cell>
        </row>
        <row r="302">
          <cell r="G302" t="str">
            <v>Newcastle</v>
          </cell>
          <cell r="H302" t="str">
            <v>Heineken USA</v>
          </cell>
          <cell r="K302" t="str">
            <v>Package</v>
          </cell>
          <cell r="L302" t="str">
            <v>Yes</v>
          </cell>
        </row>
        <row r="303">
          <cell r="G303" t="str">
            <v>Sagres Cerveja</v>
          </cell>
          <cell r="H303" t="str">
            <v>US Beverage</v>
          </cell>
          <cell r="K303" t="str">
            <v>Package</v>
          </cell>
          <cell r="L303" t="str">
            <v>Yes</v>
          </cell>
        </row>
        <row r="304">
          <cell r="G304" t="str">
            <v>Quilmes</v>
          </cell>
          <cell r="H304" t="str">
            <v>Pampa Beverages</v>
          </cell>
          <cell r="K304" t="str">
            <v>Package</v>
          </cell>
          <cell r="L304" t="str">
            <v>Yes</v>
          </cell>
        </row>
        <row r="305">
          <cell r="G305" t="str">
            <v>Dragon Stout</v>
          </cell>
          <cell r="H305" t="str">
            <v>US Beverage</v>
          </cell>
          <cell r="K305" t="str">
            <v>Package</v>
          </cell>
          <cell r="L305" t="str">
            <v>Yes</v>
          </cell>
        </row>
        <row r="306">
          <cell r="G306" t="str">
            <v>Dragon Stout</v>
          </cell>
          <cell r="H306" t="str">
            <v>US Beverage</v>
          </cell>
          <cell r="K306" t="str">
            <v>Package</v>
          </cell>
          <cell r="L306" t="str">
            <v>Yes</v>
          </cell>
        </row>
        <row r="307">
          <cell r="G307" t="str">
            <v>Prestige Lager</v>
          </cell>
          <cell r="H307" t="str">
            <v>Heineken USA</v>
          </cell>
          <cell r="K307" t="str">
            <v>Package</v>
          </cell>
          <cell r="L307" t="str">
            <v>Yes</v>
          </cell>
        </row>
        <row r="308">
          <cell r="G308" t="str">
            <v>Red Stripe</v>
          </cell>
          <cell r="H308" t="str">
            <v>Heineken USA</v>
          </cell>
          <cell r="K308" t="str">
            <v>Package</v>
          </cell>
          <cell r="L308" t="str">
            <v>Yes</v>
          </cell>
        </row>
        <row r="309">
          <cell r="G309" t="str">
            <v>Red Stripe</v>
          </cell>
          <cell r="H309" t="str">
            <v>Heineken USA</v>
          </cell>
          <cell r="K309" t="str">
            <v>Package</v>
          </cell>
          <cell r="L309" t="str">
            <v>Yes</v>
          </cell>
        </row>
        <row r="310">
          <cell r="G310" t="str">
            <v>Red Stripe</v>
          </cell>
          <cell r="H310" t="str">
            <v>Heineken USA</v>
          </cell>
          <cell r="K310" t="str">
            <v>Package</v>
          </cell>
          <cell r="L310" t="str">
            <v>Yes</v>
          </cell>
        </row>
        <row r="311">
          <cell r="G311" t="str">
            <v>Red Stripe</v>
          </cell>
          <cell r="H311" t="str">
            <v>Heineken USA</v>
          </cell>
          <cell r="K311" t="str">
            <v>Draft</v>
          </cell>
          <cell r="L311" t="str">
            <v>Yes</v>
          </cell>
        </row>
        <row r="312">
          <cell r="G312" t="str">
            <v>Birra Moretti</v>
          </cell>
          <cell r="H312" t="str">
            <v>US Beverage</v>
          </cell>
          <cell r="K312" t="str">
            <v>Package</v>
          </cell>
          <cell r="L312" t="str">
            <v>Yes</v>
          </cell>
        </row>
        <row r="313">
          <cell r="G313" t="str">
            <v>Birra Moretti</v>
          </cell>
          <cell r="H313" t="str">
            <v>US Beverage</v>
          </cell>
          <cell r="K313" t="str">
            <v>Package</v>
          </cell>
          <cell r="L313" t="str">
            <v>No</v>
          </cell>
        </row>
        <row r="314">
          <cell r="G314" t="str">
            <v>Corona Extra</v>
          </cell>
          <cell r="H314" t="str">
            <v>Constellation Brands</v>
          </cell>
          <cell r="K314" t="str">
            <v>Draft</v>
          </cell>
          <cell r="L314" t="str">
            <v>Yes</v>
          </cell>
        </row>
        <row r="315">
          <cell r="G315" t="str">
            <v>Corona Extra</v>
          </cell>
          <cell r="H315" t="str">
            <v>Constellation Brands</v>
          </cell>
          <cell r="K315" t="str">
            <v>Package</v>
          </cell>
          <cell r="L315" t="str">
            <v>Yes</v>
          </cell>
        </row>
        <row r="316">
          <cell r="G316" t="str">
            <v>Corona Extra</v>
          </cell>
          <cell r="H316" t="str">
            <v>Constellation Brands</v>
          </cell>
          <cell r="K316" t="str">
            <v>Package</v>
          </cell>
          <cell r="L316" t="str">
            <v>Yes</v>
          </cell>
        </row>
        <row r="317">
          <cell r="G317" t="str">
            <v>Corona Extra</v>
          </cell>
          <cell r="H317" t="str">
            <v>Constellation Brands</v>
          </cell>
          <cell r="K317" t="str">
            <v>Package</v>
          </cell>
          <cell r="L317" t="str">
            <v>Yes</v>
          </cell>
        </row>
        <row r="318">
          <cell r="G318" t="str">
            <v>Corona Extra</v>
          </cell>
          <cell r="H318" t="str">
            <v>Constellation Brands</v>
          </cell>
          <cell r="K318" t="str">
            <v>Package</v>
          </cell>
          <cell r="L318" t="str">
            <v>Yes</v>
          </cell>
        </row>
        <row r="319">
          <cell r="G319" t="str">
            <v>Corona Extra</v>
          </cell>
          <cell r="H319" t="str">
            <v>Constellation Brands</v>
          </cell>
          <cell r="K319" t="str">
            <v>Package</v>
          </cell>
          <cell r="L319" t="str">
            <v>Yes</v>
          </cell>
        </row>
        <row r="320">
          <cell r="G320" t="str">
            <v>Corona Extra</v>
          </cell>
          <cell r="H320" t="str">
            <v>Constellation Brands</v>
          </cell>
          <cell r="K320" t="str">
            <v>Package</v>
          </cell>
          <cell r="L320" t="str">
            <v>Yes</v>
          </cell>
        </row>
        <row r="321">
          <cell r="G321" t="str">
            <v>Corona Extra</v>
          </cell>
          <cell r="H321" t="str">
            <v>Constellation Brands</v>
          </cell>
          <cell r="K321" t="str">
            <v>Package</v>
          </cell>
          <cell r="L321" t="str">
            <v>Yes</v>
          </cell>
        </row>
        <row r="322">
          <cell r="G322" t="str">
            <v>Corona Extra</v>
          </cell>
          <cell r="H322" t="str">
            <v>Constellation Brands</v>
          </cell>
          <cell r="K322" t="str">
            <v>Package</v>
          </cell>
          <cell r="L322" t="str">
            <v>Yes</v>
          </cell>
        </row>
        <row r="323">
          <cell r="G323" t="str">
            <v>Corona Familiar</v>
          </cell>
          <cell r="H323" t="str">
            <v>Constellation Brands</v>
          </cell>
          <cell r="K323" t="str">
            <v>Package</v>
          </cell>
          <cell r="L323" t="str">
            <v>Yes</v>
          </cell>
        </row>
        <row r="324">
          <cell r="G324" t="str">
            <v>Corona Extra</v>
          </cell>
          <cell r="H324" t="str">
            <v>Constellation Brands</v>
          </cell>
          <cell r="K324" t="str">
            <v>Package</v>
          </cell>
          <cell r="L324" t="str">
            <v>Yes</v>
          </cell>
        </row>
        <row r="325">
          <cell r="G325" t="str">
            <v>Corona Extra</v>
          </cell>
          <cell r="H325" t="str">
            <v>Constellation Brands</v>
          </cell>
          <cell r="K325" t="str">
            <v>Package</v>
          </cell>
          <cell r="L325" t="str">
            <v>Yes</v>
          </cell>
        </row>
        <row r="326">
          <cell r="G326" t="str">
            <v>Corona Familiar</v>
          </cell>
          <cell r="H326" t="str">
            <v>Constellation Brands</v>
          </cell>
          <cell r="K326" t="str">
            <v>Package</v>
          </cell>
          <cell r="L326" t="str">
            <v>Yes</v>
          </cell>
        </row>
        <row r="327">
          <cell r="G327" t="str">
            <v>Corona Familiar</v>
          </cell>
          <cell r="H327" t="str">
            <v>Constellation Brands</v>
          </cell>
          <cell r="K327" t="str">
            <v>Package</v>
          </cell>
          <cell r="L327" t="str">
            <v>Yes</v>
          </cell>
        </row>
        <row r="328">
          <cell r="G328" t="str">
            <v>Corona Extra</v>
          </cell>
          <cell r="H328" t="str">
            <v>Constellation Brands</v>
          </cell>
          <cell r="K328" t="str">
            <v>Package</v>
          </cell>
          <cell r="L328" t="str">
            <v>Yes</v>
          </cell>
        </row>
        <row r="329">
          <cell r="G329" t="str">
            <v>Corona Familiar</v>
          </cell>
          <cell r="H329" t="str">
            <v>Constellation Brands</v>
          </cell>
          <cell r="K329" t="str">
            <v>Package</v>
          </cell>
          <cell r="L329" t="str">
            <v>Yes</v>
          </cell>
        </row>
        <row r="330">
          <cell r="G330" t="str">
            <v>Corona Extra</v>
          </cell>
          <cell r="H330" t="str">
            <v>Constellation Brands</v>
          </cell>
          <cell r="K330" t="str">
            <v>Package</v>
          </cell>
          <cell r="L330" t="str">
            <v>Yes</v>
          </cell>
        </row>
        <row r="331">
          <cell r="G331" t="str">
            <v>Corona Extra</v>
          </cell>
          <cell r="H331" t="str">
            <v>Constellation Brands</v>
          </cell>
          <cell r="K331" t="str">
            <v>Package</v>
          </cell>
          <cell r="L331" t="str">
            <v>Yes</v>
          </cell>
        </row>
        <row r="332">
          <cell r="G332" t="str">
            <v>Corona Sunbrew</v>
          </cell>
          <cell r="H332" t="str">
            <v>Constellation Brands</v>
          </cell>
          <cell r="K332" t="str">
            <v>Package</v>
          </cell>
          <cell r="L332" t="str">
            <v>Yes</v>
          </cell>
        </row>
        <row r="333">
          <cell r="G333" t="str">
            <v>Corona Sunbrew</v>
          </cell>
          <cell r="H333" t="str">
            <v>Constellation Brands</v>
          </cell>
          <cell r="K333" t="str">
            <v>Package</v>
          </cell>
          <cell r="L333" t="str">
            <v>Yes</v>
          </cell>
        </row>
        <row r="334">
          <cell r="G334" t="str">
            <v>Corona Sunbrew</v>
          </cell>
          <cell r="H334" t="str">
            <v>Constellation Brands</v>
          </cell>
          <cell r="K334" t="str">
            <v>Package</v>
          </cell>
          <cell r="L334" t="str">
            <v>Yes</v>
          </cell>
        </row>
        <row r="335">
          <cell r="G335" t="str">
            <v>Corona Sunbrew</v>
          </cell>
          <cell r="H335" t="str">
            <v>Constellation Brands</v>
          </cell>
          <cell r="K335" t="str">
            <v>Package</v>
          </cell>
          <cell r="L335" t="str">
            <v>Yes</v>
          </cell>
        </row>
        <row r="336">
          <cell r="G336" t="str">
            <v>Corona Premier</v>
          </cell>
          <cell r="H336" t="str">
            <v>Constellation Brands</v>
          </cell>
          <cell r="K336" t="str">
            <v>Package</v>
          </cell>
          <cell r="L336" t="str">
            <v>Yes</v>
          </cell>
        </row>
        <row r="337">
          <cell r="G337" t="str">
            <v>Corona Premier</v>
          </cell>
          <cell r="H337" t="str">
            <v>Constellation Brands</v>
          </cell>
          <cell r="K337" t="str">
            <v>Package</v>
          </cell>
          <cell r="L337" t="str">
            <v>Yes</v>
          </cell>
        </row>
        <row r="338">
          <cell r="G338" t="str">
            <v>Corona Premier</v>
          </cell>
          <cell r="H338" t="str">
            <v>Constellation Brands</v>
          </cell>
          <cell r="K338" t="str">
            <v>Package</v>
          </cell>
          <cell r="L338" t="str">
            <v>Yes</v>
          </cell>
        </row>
        <row r="339">
          <cell r="G339" t="str">
            <v>Corona Premier</v>
          </cell>
          <cell r="H339" t="str">
            <v>Constellation Brands</v>
          </cell>
          <cell r="K339" t="str">
            <v>Package</v>
          </cell>
          <cell r="L339" t="str">
            <v>Yes</v>
          </cell>
        </row>
        <row r="340">
          <cell r="G340" t="str">
            <v>Corona Premier</v>
          </cell>
          <cell r="H340" t="str">
            <v>Constellation Brands</v>
          </cell>
          <cell r="K340" t="str">
            <v>Draft</v>
          </cell>
          <cell r="L340" t="str">
            <v>Yes</v>
          </cell>
        </row>
        <row r="341">
          <cell r="G341" t="str">
            <v>Corona Premier</v>
          </cell>
          <cell r="H341" t="str">
            <v>Constellation Brands</v>
          </cell>
          <cell r="K341" t="str">
            <v>Draft</v>
          </cell>
          <cell r="L341" t="str">
            <v>Yes</v>
          </cell>
        </row>
        <row r="342">
          <cell r="G342" t="str">
            <v>Corona Premier</v>
          </cell>
          <cell r="H342" t="str">
            <v>Constellation Brands</v>
          </cell>
          <cell r="K342" t="str">
            <v>Package</v>
          </cell>
          <cell r="L342" t="str">
            <v>Yes</v>
          </cell>
        </row>
        <row r="343">
          <cell r="G343" t="str">
            <v>Corona Premier</v>
          </cell>
          <cell r="H343" t="str">
            <v>Constellation Brands</v>
          </cell>
          <cell r="K343" t="str">
            <v>Package</v>
          </cell>
          <cell r="L343" t="str">
            <v>Yes</v>
          </cell>
        </row>
        <row r="344">
          <cell r="G344" t="str">
            <v>Corona Light</v>
          </cell>
          <cell r="H344" t="str">
            <v>Constellation Brands</v>
          </cell>
          <cell r="K344" t="str">
            <v>Package</v>
          </cell>
          <cell r="L344" t="str">
            <v>Yes</v>
          </cell>
        </row>
        <row r="345">
          <cell r="G345" t="str">
            <v>Corona Light</v>
          </cell>
          <cell r="H345" t="str">
            <v>Constellation Brands</v>
          </cell>
          <cell r="K345" t="str">
            <v>Package</v>
          </cell>
          <cell r="L345" t="str">
            <v>Yes</v>
          </cell>
        </row>
        <row r="346">
          <cell r="G346" t="str">
            <v>Corona Light</v>
          </cell>
          <cell r="H346" t="str">
            <v>Constellation Brands</v>
          </cell>
          <cell r="K346" t="str">
            <v>Package</v>
          </cell>
          <cell r="L346" t="str">
            <v>Yes</v>
          </cell>
        </row>
        <row r="347">
          <cell r="G347" t="str">
            <v>Corona Light</v>
          </cell>
          <cell r="H347" t="str">
            <v>Constellation Brands</v>
          </cell>
          <cell r="K347" t="str">
            <v>Package</v>
          </cell>
          <cell r="L347" t="str">
            <v>Yes</v>
          </cell>
        </row>
        <row r="348">
          <cell r="G348" t="str">
            <v>Corona Light</v>
          </cell>
          <cell r="H348" t="str">
            <v>Constellation Brands</v>
          </cell>
          <cell r="K348" t="str">
            <v>Package</v>
          </cell>
          <cell r="L348" t="str">
            <v>Yes</v>
          </cell>
        </row>
        <row r="349">
          <cell r="G349" t="str">
            <v>Corona Light</v>
          </cell>
          <cell r="H349" t="str">
            <v>Constellation Brands</v>
          </cell>
          <cell r="K349" t="str">
            <v>Package</v>
          </cell>
          <cell r="L349" t="str">
            <v>No</v>
          </cell>
        </row>
        <row r="350">
          <cell r="G350" t="str">
            <v>Corona Light</v>
          </cell>
          <cell r="H350" t="str">
            <v>Constellation Brands</v>
          </cell>
          <cell r="K350" t="str">
            <v>Draft</v>
          </cell>
          <cell r="L350" t="str">
            <v>Yes</v>
          </cell>
        </row>
        <row r="351">
          <cell r="G351" t="str">
            <v>Corona Light</v>
          </cell>
          <cell r="H351" t="str">
            <v>Constellation Brands</v>
          </cell>
          <cell r="K351" t="str">
            <v>Draft</v>
          </cell>
          <cell r="L351" t="str">
            <v>Yes</v>
          </cell>
        </row>
        <row r="352">
          <cell r="G352" t="str">
            <v>Pacifico</v>
          </cell>
          <cell r="H352" t="str">
            <v>Constellation Brands</v>
          </cell>
          <cell r="K352" t="str">
            <v>Draft</v>
          </cell>
          <cell r="L352" t="str">
            <v>Yes</v>
          </cell>
        </row>
        <row r="353">
          <cell r="G353" t="str">
            <v>Pacifico</v>
          </cell>
          <cell r="H353" t="str">
            <v>Constellation Brands</v>
          </cell>
          <cell r="K353" t="str">
            <v>Draft</v>
          </cell>
          <cell r="L353" t="str">
            <v>Yes</v>
          </cell>
        </row>
        <row r="354">
          <cell r="G354" t="str">
            <v>Pacifico</v>
          </cell>
          <cell r="H354" t="str">
            <v>Constellation Brands</v>
          </cell>
          <cell r="K354" t="str">
            <v>Package</v>
          </cell>
          <cell r="L354" t="str">
            <v>Yes</v>
          </cell>
        </row>
        <row r="355">
          <cell r="G355" t="str">
            <v>Pacifico</v>
          </cell>
          <cell r="H355" t="str">
            <v>Constellation Brands</v>
          </cell>
          <cell r="K355" t="str">
            <v>Package</v>
          </cell>
          <cell r="L355" t="str">
            <v>Yes</v>
          </cell>
        </row>
        <row r="356">
          <cell r="G356" t="str">
            <v>Pacifico</v>
          </cell>
          <cell r="H356" t="str">
            <v>Constellation Brands</v>
          </cell>
          <cell r="K356" t="str">
            <v>Package</v>
          </cell>
          <cell r="L356" t="str">
            <v>Yes</v>
          </cell>
        </row>
        <row r="357">
          <cell r="G357" t="str">
            <v>Pacifico</v>
          </cell>
          <cell r="H357" t="str">
            <v>Constellation Brands</v>
          </cell>
          <cell r="K357" t="str">
            <v>Package</v>
          </cell>
          <cell r="L357" t="str">
            <v>Yes</v>
          </cell>
        </row>
        <row r="358">
          <cell r="G358" t="str">
            <v>Pacifico</v>
          </cell>
          <cell r="H358" t="str">
            <v>Constellation Brands</v>
          </cell>
          <cell r="K358" t="str">
            <v>Package</v>
          </cell>
          <cell r="L358" t="str">
            <v>Yes</v>
          </cell>
        </row>
        <row r="359">
          <cell r="G359" t="str">
            <v>Pacifico</v>
          </cell>
          <cell r="H359" t="str">
            <v>Constellation Brands</v>
          </cell>
          <cell r="K359" t="str">
            <v>Package</v>
          </cell>
          <cell r="L359" t="str">
            <v>Yes</v>
          </cell>
        </row>
        <row r="360">
          <cell r="G360" t="str">
            <v>Victoria</v>
          </cell>
          <cell r="H360" t="str">
            <v>Constellation Brands</v>
          </cell>
          <cell r="K360" t="str">
            <v>Package</v>
          </cell>
          <cell r="L360" t="str">
            <v>Yes</v>
          </cell>
        </row>
        <row r="361">
          <cell r="G361" t="str">
            <v>Victoria</v>
          </cell>
          <cell r="H361" t="str">
            <v>Constellation Brands</v>
          </cell>
          <cell r="K361" t="str">
            <v>Package</v>
          </cell>
          <cell r="L361" t="str">
            <v>Yes</v>
          </cell>
        </row>
        <row r="362">
          <cell r="G362" t="str">
            <v>Victoria</v>
          </cell>
          <cell r="H362" t="str">
            <v>Constellation Brands</v>
          </cell>
          <cell r="K362" t="str">
            <v>Package</v>
          </cell>
          <cell r="L362" t="str">
            <v>Yes</v>
          </cell>
        </row>
        <row r="363">
          <cell r="G363" t="str">
            <v>Victoria</v>
          </cell>
          <cell r="H363" t="str">
            <v>Constellation Brands</v>
          </cell>
          <cell r="K363" t="str">
            <v>Package</v>
          </cell>
          <cell r="L363" t="str">
            <v>Yes</v>
          </cell>
        </row>
        <row r="364">
          <cell r="G364" t="str">
            <v>Victoria</v>
          </cell>
          <cell r="H364" t="str">
            <v>Constellation Brands</v>
          </cell>
          <cell r="K364" t="str">
            <v>Package</v>
          </cell>
          <cell r="L364" t="str">
            <v>Yes</v>
          </cell>
        </row>
        <row r="365">
          <cell r="G365" t="str">
            <v>Victoria</v>
          </cell>
          <cell r="H365" t="str">
            <v>Constellation Brands</v>
          </cell>
          <cell r="K365" t="str">
            <v>Package</v>
          </cell>
          <cell r="L365" t="str">
            <v>Yes</v>
          </cell>
        </row>
        <row r="366">
          <cell r="G366" t="str">
            <v>Victoria</v>
          </cell>
          <cell r="H366" t="str">
            <v>Constellation Brands</v>
          </cell>
          <cell r="K366" t="str">
            <v>Package</v>
          </cell>
          <cell r="L366" t="str">
            <v>Yes</v>
          </cell>
        </row>
        <row r="367">
          <cell r="G367" t="str">
            <v>Victoria</v>
          </cell>
          <cell r="H367" t="str">
            <v>Constellation Brands</v>
          </cell>
          <cell r="K367" t="str">
            <v>Package</v>
          </cell>
          <cell r="L367" t="str">
            <v>Yes</v>
          </cell>
        </row>
        <row r="368">
          <cell r="G368" t="str">
            <v>Modelo Negra</v>
          </cell>
          <cell r="H368" t="str">
            <v>Constellation Brands</v>
          </cell>
          <cell r="K368" t="str">
            <v>Draft</v>
          </cell>
          <cell r="L368" t="str">
            <v>Yes</v>
          </cell>
        </row>
        <row r="369">
          <cell r="G369" t="str">
            <v>Modelo Especial</v>
          </cell>
          <cell r="H369" t="str">
            <v>Constellation Brands</v>
          </cell>
          <cell r="K369" t="str">
            <v>Draft</v>
          </cell>
          <cell r="L369" t="str">
            <v>Yes</v>
          </cell>
        </row>
        <row r="370">
          <cell r="G370" t="str">
            <v>Modelo Negra</v>
          </cell>
          <cell r="H370" t="str">
            <v>Constellation Brands</v>
          </cell>
          <cell r="K370" t="str">
            <v>Draft</v>
          </cell>
          <cell r="L370" t="str">
            <v>Yes</v>
          </cell>
        </row>
        <row r="371">
          <cell r="G371" t="str">
            <v>Modelo Especial</v>
          </cell>
          <cell r="H371" t="str">
            <v>Constellation Brands</v>
          </cell>
          <cell r="K371" t="str">
            <v>Draft</v>
          </cell>
          <cell r="L371" t="str">
            <v>Yes</v>
          </cell>
        </row>
        <row r="372">
          <cell r="G372" t="str">
            <v>Modelo Negra</v>
          </cell>
          <cell r="H372" t="str">
            <v>Constellation Brands</v>
          </cell>
          <cell r="K372" t="str">
            <v>Package</v>
          </cell>
          <cell r="L372" t="str">
            <v>Yes</v>
          </cell>
        </row>
        <row r="373">
          <cell r="G373" t="str">
            <v>Modelo Especial</v>
          </cell>
          <cell r="H373" t="str">
            <v>Constellation Brands</v>
          </cell>
          <cell r="K373" t="str">
            <v>Package</v>
          </cell>
          <cell r="L373" t="str">
            <v>Yes</v>
          </cell>
        </row>
        <row r="374">
          <cell r="G374" t="str">
            <v>Modelo Especial</v>
          </cell>
          <cell r="H374" t="str">
            <v>Constellation Brands</v>
          </cell>
          <cell r="K374" t="str">
            <v>Package</v>
          </cell>
          <cell r="L374" t="str">
            <v>Yes</v>
          </cell>
        </row>
        <row r="375">
          <cell r="G375" t="str">
            <v>Modelo Especial</v>
          </cell>
          <cell r="H375" t="str">
            <v>Constellation Brands</v>
          </cell>
          <cell r="K375" t="str">
            <v>Package</v>
          </cell>
          <cell r="L375" t="str">
            <v>Yes</v>
          </cell>
        </row>
        <row r="376">
          <cell r="G376" t="str">
            <v>Modelo Especial</v>
          </cell>
          <cell r="H376" t="str">
            <v>Constellation Brands</v>
          </cell>
          <cell r="K376" t="str">
            <v>Package</v>
          </cell>
          <cell r="L376" t="str">
            <v>Yes</v>
          </cell>
        </row>
        <row r="377">
          <cell r="G377" t="str">
            <v>Modelo Especial</v>
          </cell>
          <cell r="H377" t="str">
            <v>Constellation Brands</v>
          </cell>
          <cell r="K377" t="str">
            <v>Package</v>
          </cell>
          <cell r="L377" t="str">
            <v>Yes</v>
          </cell>
        </row>
        <row r="378">
          <cell r="G378" t="str">
            <v>Modelo Negra</v>
          </cell>
          <cell r="H378" t="str">
            <v>Constellation Brands</v>
          </cell>
          <cell r="K378" t="str">
            <v>Package</v>
          </cell>
          <cell r="L378" t="str">
            <v>Yes</v>
          </cell>
        </row>
        <row r="379">
          <cell r="G379" t="str">
            <v>Modelo Negra</v>
          </cell>
          <cell r="H379" t="str">
            <v>Constellation Brands</v>
          </cell>
          <cell r="K379" t="str">
            <v>Package</v>
          </cell>
          <cell r="L379" t="str">
            <v>Yes</v>
          </cell>
        </row>
        <row r="380">
          <cell r="G380" t="str">
            <v>Modelo Especial</v>
          </cell>
          <cell r="H380" t="str">
            <v>Constellation Brands</v>
          </cell>
          <cell r="K380" t="str">
            <v>Package</v>
          </cell>
          <cell r="L380" t="str">
            <v>Yes</v>
          </cell>
        </row>
        <row r="381">
          <cell r="G381" t="str">
            <v>Modelo Especial</v>
          </cell>
          <cell r="H381" t="str">
            <v>Constellation Brands</v>
          </cell>
          <cell r="K381" t="str">
            <v>Package</v>
          </cell>
          <cell r="L381" t="str">
            <v>Yes</v>
          </cell>
        </row>
        <row r="382">
          <cell r="G382" t="str">
            <v>Modelo Especial</v>
          </cell>
          <cell r="H382" t="str">
            <v>Constellation Brands</v>
          </cell>
          <cell r="K382" t="str">
            <v>Package</v>
          </cell>
          <cell r="L382" t="str">
            <v>Yes</v>
          </cell>
        </row>
        <row r="383">
          <cell r="G383" t="str">
            <v>Modelo Especial</v>
          </cell>
          <cell r="H383" t="str">
            <v>Constellation Brands</v>
          </cell>
          <cell r="K383" t="str">
            <v>Package</v>
          </cell>
          <cell r="L383" t="str">
            <v>Yes</v>
          </cell>
        </row>
        <row r="384">
          <cell r="G384" t="str">
            <v>Modelo Chelada</v>
          </cell>
          <cell r="H384" t="str">
            <v>Constellation Brands</v>
          </cell>
          <cell r="K384" t="str">
            <v>Package</v>
          </cell>
          <cell r="L384" t="str">
            <v>Yes</v>
          </cell>
        </row>
        <row r="385">
          <cell r="G385" t="str">
            <v>Modelo Chelada</v>
          </cell>
          <cell r="H385" t="str">
            <v>Constellation Brands</v>
          </cell>
          <cell r="K385" t="str">
            <v>Package</v>
          </cell>
          <cell r="L385" t="str">
            <v>No</v>
          </cell>
        </row>
        <row r="386">
          <cell r="G386" t="str">
            <v>Modelo Especial</v>
          </cell>
          <cell r="H386" t="str">
            <v>Constellation Brands</v>
          </cell>
          <cell r="K386" t="str">
            <v>Package</v>
          </cell>
          <cell r="L386" t="str">
            <v>No</v>
          </cell>
        </row>
        <row r="387">
          <cell r="G387" t="str">
            <v>Modelo Chelada</v>
          </cell>
          <cell r="H387" t="str">
            <v>Constellation Brands</v>
          </cell>
          <cell r="K387" t="str">
            <v>Package</v>
          </cell>
          <cell r="L387" t="str">
            <v>Yes</v>
          </cell>
        </row>
        <row r="388">
          <cell r="G388" t="str">
            <v>Modelo Negra</v>
          </cell>
          <cell r="H388" t="str">
            <v>Constellation Brands</v>
          </cell>
          <cell r="K388" t="str">
            <v>Package</v>
          </cell>
          <cell r="L388" t="str">
            <v>Yes</v>
          </cell>
        </row>
        <row r="389">
          <cell r="G389" t="str">
            <v>Modelo Especial</v>
          </cell>
          <cell r="H389" t="str">
            <v>Constellation Brands</v>
          </cell>
          <cell r="K389" t="str">
            <v>Package</v>
          </cell>
          <cell r="L389" t="str">
            <v>Yes</v>
          </cell>
        </row>
        <row r="390">
          <cell r="G390" t="str">
            <v>Modelo Chelada</v>
          </cell>
          <cell r="H390" t="str">
            <v>Constellation Brands</v>
          </cell>
          <cell r="K390" t="str">
            <v>Package</v>
          </cell>
          <cell r="L390" t="str">
            <v>Yes</v>
          </cell>
        </row>
        <row r="391">
          <cell r="G391" t="str">
            <v>Modelo Chelada</v>
          </cell>
          <cell r="H391" t="str">
            <v>Constellation Brands</v>
          </cell>
          <cell r="K391" t="str">
            <v>Package</v>
          </cell>
          <cell r="L391" t="str">
            <v>Yes</v>
          </cell>
        </row>
        <row r="392">
          <cell r="G392" t="str">
            <v>Modelo Chelada</v>
          </cell>
          <cell r="H392" t="str">
            <v>Constellation Brands</v>
          </cell>
          <cell r="K392" t="str">
            <v>Package</v>
          </cell>
          <cell r="L392" t="str">
            <v>Yes</v>
          </cell>
        </row>
        <row r="393">
          <cell r="G393" t="str">
            <v>Modelo Chelada</v>
          </cell>
          <cell r="H393" t="str">
            <v>Constellation Brands</v>
          </cell>
          <cell r="K393" t="str">
            <v>Package</v>
          </cell>
          <cell r="L393" t="str">
            <v>Yes</v>
          </cell>
        </row>
        <row r="394">
          <cell r="G394" t="str">
            <v>Modelo Especial</v>
          </cell>
          <cell r="H394" t="str">
            <v>Constellation Brands</v>
          </cell>
          <cell r="K394" t="str">
            <v>Package</v>
          </cell>
          <cell r="L394" t="str">
            <v>Yes</v>
          </cell>
        </row>
        <row r="395">
          <cell r="G395" t="str">
            <v>Modelo Chelada</v>
          </cell>
          <cell r="H395" t="str">
            <v>Constellation Brands</v>
          </cell>
          <cell r="K395" t="str">
            <v>Package</v>
          </cell>
          <cell r="L395" t="str">
            <v>Yes</v>
          </cell>
        </row>
        <row r="396">
          <cell r="G396" t="str">
            <v>Modelo Oro</v>
          </cell>
          <cell r="H396" t="str">
            <v>Constellation Brands</v>
          </cell>
          <cell r="K396" t="str">
            <v>Package</v>
          </cell>
          <cell r="L396" t="str">
            <v>Yes</v>
          </cell>
        </row>
        <row r="397">
          <cell r="G397" t="str">
            <v>Modelo Oro</v>
          </cell>
          <cell r="H397" t="str">
            <v>Constellation Brands</v>
          </cell>
          <cell r="K397" t="str">
            <v>Package</v>
          </cell>
          <cell r="L397" t="str">
            <v>Yes</v>
          </cell>
        </row>
        <row r="398">
          <cell r="G398" t="str">
            <v>Modelo Chelada</v>
          </cell>
          <cell r="H398" t="str">
            <v>Constellation Brands</v>
          </cell>
          <cell r="K398" t="str">
            <v>Package</v>
          </cell>
          <cell r="L398" t="str">
            <v>Yes</v>
          </cell>
        </row>
        <row r="399">
          <cell r="G399" t="str">
            <v>Modelo Chelada</v>
          </cell>
          <cell r="H399" t="str">
            <v>Constellation Brands</v>
          </cell>
          <cell r="K399" t="str">
            <v>Package</v>
          </cell>
          <cell r="L399" t="str">
            <v>Yes</v>
          </cell>
        </row>
        <row r="400">
          <cell r="G400" t="str">
            <v>Modelo Oro</v>
          </cell>
          <cell r="H400" t="str">
            <v>Constellation Brands</v>
          </cell>
          <cell r="K400" t="str">
            <v>Package</v>
          </cell>
          <cell r="L400" t="str">
            <v>Yes</v>
          </cell>
        </row>
        <row r="401">
          <cell r="G401" t="str">
            <v>Modelo Chelada</v>
          </cell>
          <cell r="H401" t="str">
            <v>Constellation Brands</v>
          </cell>
          <cell r="K401" t="str">
            <v>Package</v>
          </cell>
          <cell r="L401" t="str">
            <v>Yes</v>
          </cell>
        </row>
        <row r="402">
          <cell r="G402" t="str">
            <v>Modelo Oro</v>
          </cell>
          <cell r="H402" t="str">
            <v>Constellation Brands</v>
          </cell>
          <cell r="K402" t="str">
            <v>Package</v>
          </cell>
          <cell r="L402" t="str">
            <v>Yes</v>
          </cell>
        </row>
        <row r="403">
          <cell r="G403" t="str">
            <v>Modelo Chelada</v>
          </cell>
          <cell r="H403" t="str">
            <v>Constellation Brands</v>
          </cell>
          <cell r="K403" t="str">
            <v>Package</v>
          </cell>
          <cell r="L403" t="str">
            <v>Yes</v>
          </cell>
        </row>
        <row r="404">
          <cell r="G404" t="str">
            <v>Modelo Chelada</v>
          </cell>
          <cell r="H404" t="str">
            <v>Constellation Brands</v>
          </cell>
          <cell r="K404" t="str">
            <v>Package</v>
          </cell>
          <cell r="L404" t="str">
            <v>Yes</v>
          </cell>
        </row>
        <row r="405">
          <cell r="G405" t="str">
            <v>Modelo Chelada</v>
          </cell>
          <cell r="H405" t="str">
            <v>Constellation Brands</v>
          </cell>
          <cell r="K405" t="str">
            <v>Package</v>
          </cell>
          <cell r="L405" t="str">
            <v>Yes</v>
          </cell>
        </row>
        <row r="406">
          <cell r="G406" t="str">
            <v>Modelo Chelada</v>
          </cell>
          <cell r="H406" t="str">
            <v>Constellation Brands</v>
          </cell>
          <cell r="K406" t="str">
            <v>Package</v>
          </cell>
          <cell r="L406" t="str">
            <v>Yes</v>
          </cell>
        </row>
        <row r="407">
          <cell r="G407" t="str">
            <v>Modelo Especial</v>
          </cell>
          <cell r="H407" t="str">
            <v>Constellation Brands</v>
          </cell>
          <cell r="K407" t="str">
            <v>Package</v>
          </cell>
          <cell r="L407" t="str">
            <v>No</v>
          </cell>
        </row>
        <row r="408">
          <cell r="G408" t="str">
            <v>Moosehead</v>
          </cell>
          <cell r="H408" t="str">
            <v>US Beverage</v>
          </cell>
          <cell r="K408" t="str">
            <v>Package</v>
          </cell>
          <cell r="L408" t="str">
            <v>Yes</v>
          </cell>
        </row>
        <row r="409">
          <cell r="G409" t="str">
            <v>Moosehead</v>
          </cell>
          <cell r="H409" t="str">
            <v>US Beverage</v>
          </cell>
          <cell r="K409" t="str">
            <v>Package</v>
          </cell>
          <cell r="L409" t="str">
            <v>Yes</v>
          </cell>
        </row>
        <row r="410">
          <cell r="G410" t="str">
            <v>Snow Beer</v>
          </cell>
          <cell r="H410" t="str">
            <v>Ever Grand Group LLC</v>
          </cell>
          <cell r="K410" t="str">
            <v>Package</v>
          </cell>
          <cell r="L410" t="str">
            <v>Yes</v>
          </cell>
        </row>
        <row r="411">
          <cell r="G411" t="str">
            <v>Snow Beer</v>
          </cell>
          <cell r="H411" t="str">
            <v>Ever Grand Group LLC</v>
          </cell>
          <cell r="K411" t="str">
            <v>Package</v>
          </cell>
          <cell r="L411" t="str">
            <v>Yes</v>
          </cell>
        </row>
        <row r="412">
          <cell r="G412" t="str">
            <v>Kingfisher Premium</v>
          </cell>
          <cell r="H412" t="str">
            <v>FX Matt</v>
          </cell>
          <cell r="K412" t="str">
            <v>Package</v>
          </cell>
          <cell r="L412" t="str">
            <v>Yes</v>
          </cell>
        </row>
        <row r="413">
          <cell r="G413" t="str">
            <v>Charro</v>
          </cell>
          <cell r="H413" t="str">
            <v>Primos Imports LLC</v>
          </cell>
          <cell r="K413" t="str">
            <v>Package</v>
          </cell>
          <cell r="L413" t="str">
            <v>Yes</v>
          </cell>
        </row>
        <row r="414">
          <cell r="G414" t="str">
            <v>Cerveza Republica LA Tuya</v>
          </cell>
          <cell r="H414" t="str">
            <v>Vinaio Imports LTD</v>
          </cell>
          <cell r="K414" t="str">
            <v>Package</v>
          </cell>
          <cell r="L414" t="str">
            <v>Yes</v>
          </cell>
        </row>
        <row r="415">
          <cell r="G415" t="str">
            <v>Cerveza Republica LA Tuya</v>
          </cell>
          <cell r="H415" t="str">
            <v>Vinaio Imports LTD</v>
          </cell>
          <cell r="K415" t="str">
            <v>Package</v>
          </cell>
          <cell r="L415" t="str">
            <v>No</v>
          </cell>
        </row>
        <row r="416">
          <cell r="G416" t="str">
            <v>Cerveza Republica La Tuya 5.0 La Dura</v>
          </cell>
          <cell r="H416" t="str">
            <v>Vinaio Imports LTD</v>
          </cell>
          <cell r="K416" t="str">
            <v>Package</v>
          </cell>
          <cell r="L416" t="str">
            <v>Yes</v>
          </cell>
        </row>
        <row r="417">
          <cell r="G417" t="str">
            <v>Efes</v>
          </cell>
          <cell r="H417" t="str">
            <v>Efes</v>
          </cell>
          <cell r="K417" t="str">
            <v>Package</v>
          </cell>
          <cell r="L417" t="str">
            <v>Yes</v>
          </cell>
        </row>
        <row r="418">
          <cell r="G418" t="str">
            <v>Cerveza Republica La Tuya 5.0 La Dura</v>
          </cell>
          <cell r="H418" t="str">
            <v>Vinaio Imports LTD</v>
          </cell>
          <cell r="K418" t="str">
            <v>Package</v>
          </cell>
          <cell r="L418" t="str">
            <v>Yes</v>
          </cell>
        </row>
        <row r="419">
          <cell r="G419" t="str">
            <v>Stiegl</v>
          </cell>
          <cell r="H419" t="str">
            <v>Global Beer</v>
          </cell>
          <cell r="K419" t="str">
            <v>Draft</v>
          </cell>
          <cell r="L419" t="str">
            <v>Yes</v>
          </cell>
        </row>
        <row r="420">
          <cell r="G420" t="str">
            <v>Stiegl</v>
          </cell>
          <cell r="H420" t="str">
            <v>Global Beer</v>
          </cell>
          <cell r="K420" t="str">
            <v>Package</v>
          </cell>
          <cell r="L420" t="str">
            <v>Yes</v>
          </cell>
        </row>
        <row r="421">
          <cell r="G421" t="str">
            <v>Stiegl</v>
          </cell>
          <cell r="H421" t="str">
            <v>Global Beer</v>
          </cell>
          <cell r="K421" t="str">
            <v>Package</v>
          </cell>
          <cell r="L421" t="str">
            <v>Yes</v>
          </cell>
        </row>
        <row r="422">
          <cell r="G422" t="str">
            <v>Stiegl</v>
          </cell>
          <cell r="H422" t="str">
            <v>Global Beer</v>
          </cell>
          <cell r="K422" t="str">
            <v>Package</v>
          </cell>
          <cell r="L422" t="str">
            <v>Yes</v>
          </cell>
        </row>
        <row r="423">
          <cell r="G423" t="str">
            <v>Stiegl</v>
          </cell>
          <cell r="H423" t="str">
            <v>Global Beer</v>
          </cell>
          <cell r="K423" t="str">
            <v>Package</v>
          </cell>
          <cell r="L423" t="str">
            <v>No</v>
          </cell>
        </row>
        <row r="424">
          <cell r="G424" t="str">
            <v>Stiegl</v>
          </cell>
          <cell r="H424" t="str">
            <v>Global Beer</v>
          </cell>
          <cell r="K424" t="str">
            <v>Package</v>
          </cell>
          <cell r="L424" t="str">
            <v>No</v>
          </cell>
        </row>
        <row r="425">
          <cell r="G425" t="str">
            <v>Stiegl</v>
          </cell>
          <cell r="H425" t="str">
            <v>Global Beer</v>
          </cell>
          <cell r="K425" t="str">
            <v>Package</v>
          </cell>
          <cell r="L425" t="str">
            <v>Yes</v>
          </cell>
        </row>
        <row r="426">
          <cell r="G426" t="str">
            <v>Stiegl</v>
          </cell>
          <cell r="H426" t="str">
            <v>Global Beer</v>
          </cell>
          <cell r="K426" t="str">
            <v>Draft</v>
          </cell>
          <cell r="L426" t="str">
            <v>Yes</v>
          </cell>
        </row>
        <row r="427">
          <cell r="G427" t="str">
            <v>Stiegl</v>
          </cell>
          <cell r="H427" t="str">
            <v>Global Beer</v>
          </cell>
          <cell r="K427" t="str">
            <v>Package</v>
          </cell>
          <cell r="L427" t="str">
            <v>Yes</v>
          </cell>
        </row>
        <row r="428">
          <cell r="G428" t="str">
            <v>Stiegl</v>
          </cell>
          <cell r="H428" t="str">
            <v>Global Beer</v>
          </cell>
          <cell r="K428" t="str">
            <v>Package</v>
          </cell>
          <cell r="L428" t="str">
            <v>Yes</v>
          </cell>
        </row>
        <row r="429">
          <cell r="G429" t="str">
            <v>Schofferhofer</v>
          </cell>
          <cell r="H429" t="str">
            <v>Radeberger USA</v>
          </cell>
          <cell r="K429" t="str">
            <v>Draft</v>
          </cell>
          <cell r="L429" t="str">
            <v>Yes</v>
          </cell>
        </row>
        <row r="430">
          <cell r="G430" t="str">
            <v>Schofferhofer</v>
          </cell>
          <cell r="H430" t="str">
            <v>Radeberger USA</v>
          </cell>
          <cell r="K430" t="str">
            <v>Package</v>
          </cell>
          <cell r="L430" t="str">
            <v>Yes</v>
          </cell>
        </row>
        <row r="431">
          <cell r="G431" t="str">
            <v>Schofferhofer</v>
          </cell>
          <cell r="H431" t="str">
            <v>Radeberger USA</v>
          </cell>
          <cell r="K431" t="str">
            <v>Package</v>
          </cell>
          <cell r="L431" t="str">
            <v>Yes</v>
          </cell>
        </row>
        <row r="432">
          <cell r="G432" t="str">
            <v>Schofferhofer</v>
          </cell>
          <cell r="H432" t="str">
            <v>Radeberger USA</v>
          </cell>
          <cell r="K432" t="str">
            <v>Draft</v>
          </cell>
          <cell r="L432" t="str">
            <v>No</v>
          </cell>
        </row>
        <row r="433">
          <cell r="G433" t="str">
            <v>Schofferhofer</v>
          </cell>
          <cell r="H433" t="str">
            <v>Radeberger USA</v>
          </cell>
          <cell r="K433" t="str">
            <v>Package</v>
          </cell>
          <cell r="L433" t="str">
            <v>Yes</v>
          </cell>
        </row>
        <row r="434">
          <cell r="G434" t="str">
            <v>Schofferhofer</v>
          </cell>
          <cell r="H434" t="str">
            <v>Radeberger USA</v>
          </cell>
          <cell r="K434" t="str">
            <v>Package</v>
          </cell>
          <cell r="L434" t="str">
            <v>No</v>
          </cell>
        </row>
        <row r="435">
          <cell r="G435" t="str">
            <v>Schofferhofer</v>
          </cell>
          <cell r="H435" t="str">
            <v>Radeberger USA</v>
          </cell>
          <cell r="K435" t="str">
            <v>Package</v>
          </cell>
          <cell r="L435" t="str">
            <v>No</v>
          </cell>
        </row>
        <row r="436">
          <cell r="G436" t="str">
            <v>Schofferhofer</v>
          </cell>
          <cell r="H436" t="str">
            <v>Radeberger USA</v>
          </cell>
          <cell r="K436" t="str">
            <v>Package</v>
          </cell>
          <cell r="L436" t="str">
            <v>No</v>
          </cell>
        </row>
        <row r="437">
          <cell r="G437" t="str">
            <v>Schofferhofer</v>
          </cell>
          <cell r="H437" t="str">
            <v>Radeberger USA</v>
          </cell>
          <cell r="K437" t="str">
            <v>Package</v>
          </cell>
          <cell r="L437" t="str">
            <v>Yes</v>
          </cell>
        </row>
        <row r="438">
          <cell r="G438" t="str">
            <v>Hofbrau Usa</v>
          </cell>
          <cell r="H438" t="str">
            <v>Hofbrauhaus USA</v>
          </cell>
          <cell r="K438" t="str">
            <v>Draft</v>
          </cell>
          <cell r="L438" t="str">
            <v>Yes</v>
          </cell>
        </row>
        <row r="439">
          <cell r="G439" t="str">
            <v>Hofbrau Usa</v>
          </cell>
          <cell r="H439" t="str">
            <v>Hofbrauhaus USA</v>
          </cell>
          <cell r="K439" t="str">
            <v>Draft</v>
          </cell>
          <cell r="L439" t="str">
            <v>Yes</v>
          </cell>
        </row>
        <row r="440">
          <cell r="G440" t="str">
            <v>Hofbrau Usa</v>
          </cell>
          <cell r="H440" t="str">
            <v>Hofbrauhaus USA</v>
          </cell>
          <cell r="K440" t="str">
            <v>Draft</v>
          </cell>
          <cell r="L440" t="str">
            <v>Yes</v>
          </cell>
        </row>
        <row r="441">
          <cell r="G441" t="str">
            <v>Hofbrau Usa</v>
          </cell>
          <cell r="H441" t="str">
            <v>Hofbrauhaus USA</v>
          </cell>
          <cell r="K441" t="str">
            <v>Draft</v>
          </cell>
          <cell r="L441" t="str">
            <v>Yes</v>
          </cell>
        </row>
        <row r="442">
          <cell r="G442" t="str">
            <v>Hofbrau Usa</v>
          </cell>
          <cell r="H442" t="str">
            <v>Hofbrauhaus USA</v>
          </cell>
          <cell r="K442" t="str">
            <v>Draft</v>
          </cell>
          <cell r="L442" t="str">
            <v>Yes</v>
          </cell>
        </row>
        <row r="443">
          <cell r="G443" t="str">
            <v>Hofbrau Usa</v>
          </cell>
          <cell r="H443" t="str">
            <v>Hofbrauhaus USA</v>
          </cell>
          <cell r="K443" t="str">
            <v>Draft</v>
          </cell>
          <cell r="L443" t="str">
            <v>Yes</v>
          </cell>
        </row>
        <row r="444">
          <cell r="G444" t="str">
            <v>Hofbrau Usa</v>
          </cell>
          <cell r="H444" t="str">
            <v>Hofbrauhaus USA</v>
          </cell>
          <cell r="K444" t="str">
            <v>Package</v>
          </cell>
          <cell r="L444" t="str">
            <v>Yes</v>
          </cell>
        </row>
        <row r="445">
          <cell r="G445" t="str">
            <v>Hofbrau Usa</v>
          </cell>
          <cell r="H445" t="str">
            <v>Hofbrauhaus USA</v>
          </cell>
          <cell r="K445" t="str">
            <v>Package</v>
          </cell>
          <cell r="L445" t="str">
            <v>Yes</v>
          </cell>
        </row>
        <row r="446">
          <cell r="G446" t="str">
            <v>Hofbrau Usa</v>
          </cell>
          <cell r="H446" t="str">
            <v>Hofbrauhaus USA</v>
          </cell>
          <cell r="K446" t="str">
            <v>Package</v>
          </cell>
          <cell r="L446" t="str">
            <v>No</v>
          </cell>
        </row>
        <row r="447">
          <cell r="G447" t="str">
            <v>Hofbrau Usa</v>
          </cell>
          <cell r="H447" t="str">
            <v>Hofbrauhaus USA</v>
          </cell>
          <cell r="K447" t="str">
            <v>Package</v>
          </cell>
          <cell r="L447" t="str">
            <v>Yes</v>
          </cell>
        </row>
        <row r="448">
          <cell r="G448" t="str">
            <v>Hofbrau Usa</v>
          </cell>
          <cell r="H448" t="str">
            <v>Hofbrauhaus USA</v>
          </cell>
          <cell r="K448" t="str">
            <v>Package</v>
          </cell>
          <cell r="L448" t="str">
            <v>Yes</v>
          </cell>
        </row>
        <row r="449">
          <cell r="G449" t="str">
            <v>Hofbrau Usa</v>
          </cell>
          <cell r="H449" t="str">
            <v>Hofbrauhaus USA</v>
          </cell>
          <cell r="K449" t="str">
            <v>Package</v>
          </cell>
          <cell r="L449" t="str">
            <v>No</v>
          </cell>
        </row>
        <row r="450">
          <cell r="G450" t="str">
            <v>Hofbrau Usa</v>
          </cell>
          <cell r="H450" t="str">
            <v>Hofbrauhaus USA</v>
          </cell>
          <cell r="K450" t="str">
            <v>Package</v>
          </cell>
          <cell r="L450" t="str">
            <v>Yes</v>
          </cell>
        </row>
        <row r="451">
          <cell r="G451" t="str">
            <v>Hofbrau Usa</v>
          </cell>
          <cell r="H451" t="str">
            <v>Hofbrauhaus USA</v>
          </cell>
          <cell r="K451" t="str">
            <v>Package</v>
          </cell>
          <cell r="L451" t="str">
            <v>Yes</v>
          </cell>
        </row>
        <row r="452">
          <cell r="G452" t="str">
            <v>Hofbrau Usa</v>
          </cell>
          <cell r="H452" t="str">
            <v>Hofbrauhaus USA</v>
          </cell>
          <cell r="K452" t="str">
            <v>Package</v>
          </cell>
          <cell r="L452" t="str">
            <v>Yes</v>
          </cell>
        </row>
        <row r="453">
          <cell r="G453" t="str">
            <v>Hofbrau Usa</v>
          </cell>
          <cell r="H453" t="str">
            <v>Hofbrauhaus USA</v>
          </cell>
          <cell r="K453" t="str">
            <v>Package</v>
          </cell>
          <cell r="L453" t="str">
            <v>Yes</v>
          </cell>
        </row>
        <row r="454">
          <cell r="G454" t="str">
            <v>Hofbrau Usa</v>
          </cell>
          <cell r="H454" t="str">
            <v>Hofbrauhaus USA</v>
          </cell>
          <cell r="K454" t="str">
            <v>Package</v>
          </cell>
          <cell r="L454" t="str">
            <v>Yes</v>
          </cell>
        </row>
        <row r="455">
          <cell r="G455" t="str">
            <v>Hofbrau Usa</v>
          </cell>
          <cell r="H455" t="str">
            <v>Hofbrauhaus USA</v>
          </cell>
          <cell r="K455" t="str">
            <v>Package</v>
          </cell>
          <cell r="L455" t="str">
            <v>Yes</v>
          </cell>
        </row>
        <row r="456">
          <cell r="G456" t="str">
            <v>Hofbrau Usa</v>
          </cell>
          <cell r="H456" t="str">
            <v>Hofbrauhaus USA</v>
          </cell>
          <cell r="K456" t="str">
            <v>Package</v>
          </cell>
          <cell r="L456" t="str">
            <v>Yes</v>
          </cell>
        </row>
        <row r="457">
          <cell r="G457" t="str">
            <v>Hofbrau Usa</v>
          </cell>
          <cell r="H457" t="str">
            <v>Hofbrauhaus USA</v>
          </cell>
          <cell r="K457" t="str">
            <v>Package</v>
          </cell>
          <cell r="L457" t="str">
            <v>No</v>
          </cell>
        </row>
        <row r="458">
          <cell r="G458" t="str">
            <v>Hofbrau Usa</v>
          </cell>
          <cell r="H458" t="str">
            <v>Hofbrauhaus USA</v>
          </cell>
          <cell r="K458" t="str">
            <v>Package</v>
          </cell>
          <cell r="L458" t="str">
            <v>No</v>
          </cell>
        </row>
        <row r="459">
          <cell r="G459" t="str">
            <v>Hofbrau Usa</v>
          </cell>
          <cell r="H459" t="str">
            <v>Hofbrauhaus USA</v>
          </cell>
          <cell r="K459" t="str">
            <v>Draft</v>
          </cell>
          <cell r="L459" t="str">
            <v>No</v>
          </cell>
        </row>
        <row r="460">
          <cell r="G460" t="str">
            <v>Hofbrau Usa</v>
          </cell>
          <cell r="H460" t="str">
            <v>Hofbrauhaus USA</v>
          </cell>
          <cell r="K460" t="str">
            <v>Draft</v>
          </cell>
          <cell r="L460" t="str">
            <v>Yes</v>
          </cell>
        </row>
        <row r="461">
          <cell r="G461" t="str">
            <v>Hofbrau Usa</v>
          </cell>
          <cell r="H461" t="str">
            <v>Hofbrauhaus USA</v>
          </cell>
          <cell r="K461" t="str">
            <v>Package</v>
          </cell>
          <cell r="L461" t="str">
            <v>Yes</v>
          </cell>
        </row>
        <row r="462">
          <cell r="G462" t="str">
            <v>Tsingtao</v>
          </cell>
          <cell r="H462" t="str">
            <v>Paulaner</v>
          </cell>
          <cell r="K462" t="str">
            <v>Package</v>
          </cell>
          <cell r="L462" t="str">
            <v>Yes</v>
          </cell>
        </row>
        <row r="463">
          <cell r="G463" t="str">
            <v>Tsingtao</v>
          </cell>
          <cell r="H463" t="str">
            <v>Paulaner</v>
          </cell>
          <cell r="K463" t="str">
            <v>Package</v>
          </cell>
          <cell r="L463" t="str">
            <v>Yes</v>
          </cell>
        </row>
        <row r="464">
          <cell r="G464" t="str">
            <v>Tsingtao</v>
          </cell>
          <cell r="H464" t="str">
            <v>Paulaner</v>
          </cell>
          <cell r="K464" t="str">
            <v>Package</v>
          </cell>
          <cell r="L464" t="str">
            <v>Yes</v>
          </cell>
        </row>
        <row r="465">
          <cell r="G465" t="str">
            <v>Tsingtao</v>
          </cell>
          <cell r="H465" t="str">
            <v>Paulaner</v>
          </cell>
          <cell r="K465" t="str">
            <v>Package</v>
          </cell>
          <cell r="L465" t="str">
            <v>Yes</v>
          </cell>
        </row>
        <row r="466">
          <cell r="G466" t="str">
            <v>Tsingtao</v>
          </cell>
          <cell r="H466" t="str">
            <v>Paulaner</v>
          </cell>
          <cell r="K466" t="str">
            <v>Package</v>
          </cell>
          <cell r="L466" t="str">
            <v>Yes</v>
          </cell>
        </row>
        <row r="467">
          <cell r="G467" t="str">
            <v>Augustiner</v>
          </cell>
          <cell r="H467" t="str">
            <v>Global Village Imp.</v>
          </cell>
          <cell r="K467" t="str">
            <v>Package</v>
          </cell>
          <cell r="L467" t="str">
            <v>Yes</v>
          </cell>
        </row>
        <row r="468">
          <cell r="G468" t="str">
            <v>Augustiner</v>
          </cell>
          <cell r="H468" t="str">
            <v>Global Village Imp.</v>
          </cell>
          <cell r="K468" t="str">
            <v>Package</v>
          </cell>
          <cell r="L468" t="str">
            <v>Yes</v>
          </cell>
        </row>
        <row r="469">
          <cell r="G469" t="str">
            <v>Innis &amp; Gunn</v>
          </cell>
          <cell r="H469" t="str">
            <v>US Beverage</v>
          </cell>
          <cell r="K469" t="str">
            <v>Package</v>
          </cell>
          <cell r="L469" t="str">
            <v>No</v>
          </cell>
        </row>
        <row r="470">
          <cell r="G470" t="str">
            <v>Innis &amp; Gunn</v>
          </cell>
          <cell r="H470" t="str">
            <v>US Beverage</v>
          </cell>
          <cell r="K470" t="str">
            <v>Package</v>
          </cell>
          <cell r="L470" t="str">
            <v>No</v>
          </cell>
        </row>
        <row r="471">
          <cell r="G471" t="str">
            <v>Innis &amp; Gunn</v>
          </cell>
          <cell r="H471" t="str">
            <v>US Beverage</v>
          </cell>
          <cell r="K471" t="str">
            <v>Package</v>
          </cell>
          <cell r="L471" t="str">
            <v>No</v>
          </cell>
        </row>
        <row r="472">
          <cell r="G472" t="str">
            <v>Innis &amp; Gunn</v>
          </cell>
          <cell r="H472" t="str">
            <v>US Beverage</v>
          </cell>
          <cell r="K472" t="str">
            <v>Package</v>
          </cell>
          <cell r="L472" t="str">
            <v>Yes</v>
          </cell>
        </row>
        <row r="473">
          <cell r="G473" t="str">
            <v>Innis &amp; Gunn</v>
          </cell>
          <cell r="H473" t="str">
            <v>US Beverage</v>
          </cell>
          <cell r="K473" t="str">
            <v>Package</v>
          </cell>
          <cell r="L473" t="str">
            <v>Yes</v>
          </cell>
        </row>
        <row r="474">
          <cell r="G474" t="str">
            <v>Sullivan's</v>
          </cell>
          <cell r="H474" t="str">
            <v>Global Beer</v>
          </cell>
          <cell r="K474" t="str">
            <v>Draft</v>
          </cell>
          <cell r="L474" t="str">
            <v>No</v>
          </cell>
        </row>
        <row r="475">
          <cell r="G475" t="str">
            <v>Sullivan's</v>
          </cell>
          <cell r="H475" t="str">
            <v>Global Beer</v>
          </cell>
          <cell r="K475" t="str">
            <v>Draft</v>
          </cell>
          <cell r="L475" t="str">
            <v>No</v>
          </cell>
        </row>
        <row r="476">
          <cell r="G476" t="str">
            <v>Sullivan's</v>
          </cell>
          <cell r="H476" t="str">
            <v>Global Beer</v>
          </cell>
          <cell r="K476" t="str">
            <v>Draft</v>
          </cell>
          <cell r="L476" t="str">
            <v>No</v>
          </cell>
        </row>
        <row r="477">
          <cell r="G477" t="str">
            <v>Sullivan's</v>
          </cell>
          <cell r="H477" t="str">
            <v>Global Beer</v>
          </cell>
          <cell r="K477" t="str">
            <v>Package</v>
          </cell>
          <cell r="L477" t="str">
            <v>No</v>
          </cell>
        </row>
        <row r="478">
          <cell r="G478" t="str">
            <v>Sullivan's</v>
          </cell>
          <cell r="H478" t="str">
            <v>Global Beer</v>
          </cell>
          <cell r="K478" t="str">
            <v>Package</v>
          </cell>
          <cell r="L478" t="str">
            <v>No</v>
          </cell>
        </row>
        <row r="479">
          <cell r="G479" t="str">
            <v>Sullivan's</v>
          </cell>
          <cell r="H479" t="str">
            <v>Global Beer</v>
          </cell>
          <cell r="K479" t="str">
            <v>Package</v>
          </cell>
          <cell r="L479" t="str">
            <v>No</v>
          </cell>
        </row>
        <row r="480">
          <cell r="G480" t="str">
            <v>Sullivan's</v>
          </cell>
          <cell r="H480" t="str">
            <v>Global Beer</v>
          </cell>
          <cell r="K480" t="str">
            <v>Draft</v>
          </cell>
          <cell r="L480" t="str">
            <v>Yes</v>
          </cell>
        </row>
        <row r="481">
          <cell r="G481" t="str">
            <v>Sullivan's</v>
          </cell>
          <cell r="H481" t="str">
            <v>Global Beer</v>
          </cell>
          <cell r="K481" t="str">
            <v>Draft</v>
          </cell>
          <cell r="L481" t="str">
            <v>Yes</v>
          </cell>
        </row>
        <row r="482">
          <cell r="G482" t="str">
            <v>Sullivan's</v>
          </cell>
          <cell r="H482" t="str">
            <v>Global Beer</v>
          </cell>
          <cell r="K482" t="str">
            <v>Draft</v>
          </cell>
          <cell r="L482" t="str">
            <v>Yes</v>
          </cell>
        </row>
        <row r="483">
          <cell r="G483" t="str">
            <v>Sullivan's</v>
          </cell>
          <cell r="H483" t="str">
            <v>Global Beer</v>
          </cell>
          <cell r="K483" t="str">
            <v>Package</v>
          </cell>
          <cell r="L483" t="str">
            <v>Yes</v>
          </cell>
        </row>
        <row r="484">
          <cell r="G484" t="str">
            <v>Sullivan's</v>
          </cell>
          <cell r="H484" t="str">
            <v>Global Beer</v>
          </cell>
          <cell r="K484" t="str">
            <v>Package</v>
          </cell>
          <cell r="L484" t="str">
            <v>Yes</v>
          </cell>
        </row>
        <row r="485">
          <cell r="G485" t="str">
            <v>Sullivan's</v>
          </cell>
          <cell r="H485" t="str">
            <v>Global Beer</v>
          </cell>
          <cell r="K485" t="str">
            <v>Package</v>
          </cell>
          <cell r="L485" t="str">
            <v>Yes</v>
          </cell>
        </row>
        <row r="486">
          <cell r="G486" t="str">
            <v>Famosa</v>
          </cell>
          <cell r="H486" t="str">
            <v>Famosa</v>
          </cell>
          <cell r="K486" t="str">
            <v>Package</v>
          </cell>
          <cell r="L486" t="str">
            <v>Yes</v>
          </cell>
        </row>
        <row r="487">
          <cell r="G487" t="str">
            <v>Famosa</v>
          </cell>
          <cell r="H487" t="str">
            <v>Famosa</v>
          </cell>
          <cell r="K487" t="str">
            <v>Package</v>
          </cell>
          <cell r="L487" t="str">
            <v>Yes</v>
          </cell>
        </row>
        <row r="488">
          <cell r="G488" t="str">
            <v>Famosa</v>
          </cell>
          <cell r="H488" t="str">
            <v>Famosa</v>
          </cell>
          <cell r="K488" t="str">
            <v>Package</v>
          </cell>
          <cell r="L488" t="str">
            <v>No</v>
          </cell>
        </row>
        <row r="489">
          <cell r="G489" t="str">
            <v>Famosa</v>
          </cell>
          <cell r="H489" t="str">
            <v>Famosa</v>
          </cell>
          <cell r="K489" t="str">
            <v>Package</v>
          </cell>
          <cell r="L489" t="str">
            <v>Yes</v>
          </cell>
        </row>
        <row r="490">
          <cell r="G490" t="str">
            <v>Famosa</v>
          </cell>
          <cell r="H490" t="str">
            <v>Famosa</v>
          </cell>
          <cell r="K490" t="str">
            <v>Package</v>
          </cell>
          <cell r="L490" t="str">
            <v>No</v>
          </cell>
        </row>
        <row r="491">
          <cell r="G491" t="str">
            <v>Famosa</v>
          </cell>
          <cell r="H491" t="str">
            <v>Famosa</v>
          </cell>
          <cell r="K491" t="str">
            <v>Package</v>
          </cell>
          <cell r="L491" t="str">
            <v>Yes</v>
          </cell>
        </row>
        <row r="492">
          <cell r="G492" t="str">
            <v>Famosa</v>
          </cell>
          <cell r="H492" t="str">
            <v>Famosa</v>
          </cell>
          <cell r="K492" t="str">
            <v>Package</v>
          </cell>
          <cell r="L492" t="str">
            <v>No</v>
          </cell>
        </row>
        <row r="493">
          <cell r="G493" t="str">
            <v>Famosa</v>
          </cell>
          <cell r="H493" t="str">
            <v>Famosa</v>
          </cell>
          <cell r="K493" t="str">
            <v>Package</v>
          </cell>
          <cell r="L493" t="str">
            <v>No</v>
          </cell>
        </row>
        <row r="494">
          <cell r="G494" t="str">
            <v>Famosa</v>
          </cell>
          <cell r="H494" t="str">
            <v>Famosa</v>
          </cell>
          <cell r="K494" t="str">
            <v>Package</v>
          </cell>
          <cell r="L494" t="str">
            <v>Yes</v>
          </cell>
        </row>
        <row r="495">
          <cell r="G495" t="str">
            <v>Famosa</v>
          </cell>
          <cell r="H495" t="str">
            <v>Famosa</v>
          </cell>
          <cell r="K495" t="str">
            <v>Package</v>
          </cell>
          <cell r="L495" t="str">
            <v>Yes</v>
          </cell>
        </row>
        <row r="496">
          <cell r="G496" t="str">
            <v>Samuel Adams</v>
          </cell>
          <cell r="H496" t="str">
            <v>Boston Beer Company</v>
          </cell>
          <cell r="K496" t="str">
            <v>Draft</v>
          </cell>
          <cell r="L496" t="str">
            <v>Yes</v>
          </cell>
        </row>
        <row r="497">
          <cell r="G497" t="str">
            <v>Samuel Adams</v>
          </cell>
          <cell r="H497" t="str">
            <v>Boston Beer Company</v>
          </cell>
          <cell r="K497" t="str">
            <v>Draft</v>
          </cell>
          <cell r="L497" t="str">
            <v>Yes</v>
          </cell>
        </row>
        <row r="498">
          <cell r="G498" t="str">
            <v>Samuel Adams</v>
          </cell>
          <cell r="H498" t="str">
            <v>Boston Beer Company</v>
          </cell>
          <cell r="K498" t="str">
            <v>Draft</v>
          </cell>
          <cell r="L498" t="str">
            <v>Yes</v>
          </cell>
        </row>
        <row r="499">
          <cell r="G499" t="str">
            <v>Samuel Adams</v>
          </cell>
          <cell r="H499" t="str">
            <v>Boston Beer Company</v>
          </cell>
          <cell r="K499" t="str">
            <v>Draft</v>
          </cell>
          <cell r="L499" t="str">
            <v>Yes</v>
          </cell>
        </row>
        <row r="500">
          <cell r="G500" t="str">
            <v>Samuel Adams</v>
          </cell>
          <cell r="H500" t="str">
            <v>Boston Beer Company</v>
          </cell>
          <cell r="K500" t="str">
            <v>Draft</v>
          </cell>
          <cell r="L500" t="str">
            <v>Yes</v>
          </cell>
        </row>
        <row r="501">
          <cell r="G501" t="str">
            <v>Samuel Adams</v>
          </cell>
          <cell r="H501" t="str">
            <v>Boston Beer Company</v>
          </cell>
          <cell r="K501" t="str">
            <v>Draft</v>
          </cell>
          <cell r="L501" t="str">
            <v>Yes</v>
          </cell>
        </row>
        <row r="502">
          <cell r="G502" t="str">
            <v>Samuel Adams</v>
          </cell>
          <cell r="H502" t="str">
            <v>Boston Beer Company</v>
          </cell>
          <cell r="K502" t="str">
            <v>Draft</v>
          </cell>
          <cell r="L502" t="str">
            <v>Yes</v>
          </cell>
        </row>
        <row r="503">
          <cell r="G503" t="str">
            <v>Samuel Adams</v>
          </cell>
          <cell r="H503" t="str">
            <v>Boston Beer Company</v>
          </cell>
          <cell r="K503" t="str">
            <v>Package</v>
          </cell>
          <cell r="L503" t="str">
            <v>No</v>
          </cell>
        </row>
        <row r="504">
          <cell r="G504" t="str">
            <v>Samuel Adams</v>
          </cell>
          <cell r="H504" t="str">
            <v>Boston Beer Company</v>
          </cell>
          <cell r="K504" t="str">
            <v>Package</v>
          </cell>
          <cell r="L504" t="str">
            <v>Yes</v>
          </cell>
        </row>
        <row r="505">
          <cell r="G505" t="str">
            <v>Samuel Adams</v>
          </cell>
          <cell r="H505" t="str">
            <v>Boston Beer Company</v>
          </cell>
          <cell r="K505" t="str">
            <v>Package</v>
          </cell>
          <cell r="L505" t="str">
            <v>Yes</v>
          </cell>
        </row>
        <row r="506">
          <cell r="G506" t="str">
            <v>Samuel Adams</v>
          </cell>
          <cell r="H506" t="str">
            <v>Boston Beer Company</v>
          </cell>
          <cell r="K506" t="str">
            <v>Package</v>
          </cell>
          <cell r="L506" t="str">
            <v>Yes</v>
          </cell>
        </row>
        <row r="507">
          <cell r="G507" t="str">
            <v>Samuel Adams</v>
          </cell>
          <cell r="H507" t="str">
            <v>Boston Beer Company</v>
          </cell>
          <cell r="K507" t="str">
            <v>Package</v>
          </cell>
          <cell r="L507" t="str">
            <v>Yes</v>
          </cell>
        </row>
        <row r="508">
          <cell r="G508" t="str">
            <v>Samuel Adams</v>
          </cell>
          <cell r="H508" t="str">
            <v>Boston Beer Company</v>
          </cell>
          <cell r="K508" t="str">
            <v>Package</v>
          </cell>
          <cell r="L508" t="str">
            <v>Yes</v>
          </cell>
        </row>
        <row r="509">
          <cell r="G509" t="str">
            <v>Samuel Adams</v>
          </cell>
          <cell r="H509" t="str">
            <v>Boston Beer Company</v>
          </cell>
          <cell r="K509" t="str">
            <v>Package</v>
          </cell>
          <cell r="L509" t="str">
            <v>Yes</v>
          </cell>
        </row>
        <row r="510">
          <cell r="G510" t="str">
            <v>Samuel Adams</v>
          </cell>
          <cell r="H510" t="str">
            <v>Boston Beer Company</v>
          </cell>
          <cell r="K510" t="str">
            <v>Package</v>
          </cell>
          <cell r="L510" t="str">
            <v>Yes</v>
          </cell>
        </row>
        <row r="511">
          <cell r="G511" t="str">
            <v>Samuel Adams</v>
          </cell>
          <cell r="H511" t="str">
            <v>Boston Beer Company</v>
          </cell>
          <cell r="K511" t="str">
            <v>Package</v>
          </cell>
          <cell r="L511" t="str">
            <v>Yes</v>
          </cell>
        </row>
        <row r="512">
          <cell r="G512" t="str">
            <v>Samuel Adams</v>
          </cell>
          <cell r="H512" t="str">
            <v>Boston Beer Company</v>
          </cell>
          <cell r="K512" t="str">
            <v>Package</v>
          </cell>
          <cell r="L512" t="str">
            <v>Yes</v>
          </cell>
        </row>
        <row r="513">
          <cell r="G513" t="str">
            <v>Samuel Adams</v>
          </cell>
          <cell r="H513" t="str">
            <v>Boston Beer Company</v>
          </cell>
          <cell r="K513" t="str">
            <v>Package</v>
          </cell>
          <cell r="L513" t="str">
            <v>Yes</v>
          </cell>
        </row>
        <row r="514">
          <cell r="G514" t="str">
            <v>Samuel Adams</v>
          </cell>
          <cell r="H514" t="str">
            <v>Boston Beer Company</v>
          </cell>
          <cell r="K514" t="str">
            <v>Package</v>
          </cell>
          <cell r="L514" t="str">
            <v>Yes</v>
          </cell>
        </row>
        <row r="515">
          <cell r="G515" t="str">
            <v>Samuel Adams</v>
          </cell>
          <cell r="H515" t="str">
            <v>Boston Beer Company</v>
          </cell>
          <cell r="K515" t="str">
            <v>Package</v>
          </cell>
          <cell r="L515" t="str">
            <v>Yes</v>
          </cell>
        </row>
        <row r="516">
          <cell r="G516" t="str">
            <v>Samuel Adams</v>
          </cell>
          <cell r="H516" t="str">
            <v>Boston Beer Company</v>
          </cell>
          <cell r="K516" t="str">
            <v>Package</v>
          </cell>
          <cell r="L516" t="str">
            <v>Yes</v>
          </cell>
        </row>
        <row r="517">
          <cell r="G517" t="str">
            <v>Samuel Adams</v>
          </cell>
          <cell r="H517" t="str">
            <v>Boston Beer Company</v>
          </cell>
          <cell r="K517" t="str">
            <v>Package</v>
          </cell>
          <cell r="L517" t="str">
            <v>Yes</v>
          </cell>
        </row>
        <row r="518">
          <cell r="G518" t="str">
            <v>Samuel Adams</v>
          </cell>
          <cell r="H518" t="str">
            <v>Boston Beer Company</v>
          </cell>
          <cell r="K518" t="str">
            <v>Package</v>
          </cell>
          <cell r="L518" t="str">
            <v>Yes</v>
          </cell>
        </row>
        <row r="519">
          <cell r="G519" t="str">
            <v>Samuel Adams</v>
          </cell>
          <cell r="H519" t="str">
            <v>Boston Beer Company</v>
          </cell>
          <cell r="K519" t="str">
            <v>Package</v>
          </cell>
          <cell r="L519" t="str">
            <v>Yes</v>
          </cell>
        </row>
        <row r="520">
          <cell r="G520" t="str">
            <v>Samuel Adams</v>
          </cell>
          <cell r="H520" t="str">
            <v>Boston Beer Company</v>
          </cell>
          <cell r="K520" t="str">
            <v>Package</v>
          </cell>
          <cell r="L520" t="str">
            <v>Yes</v>
          </cell>
        </row>
        <row r="521">
          <cell r="G521" t="str">
            <v>Samuel Adams</v>
          </cell>
          <cell r="H521" t="str">
            <v>Boston Beer Company</v>
          </cell>
          <cell r="K521" t="str">
            <v>Package</v>
          </cell>
          <cell r="L521" t="str">
            <v>Yes</v>
          </cell>
        </row>
        <row r="522">
          <cell r="G522" t="str">
            <v>Samuel Adams</v>
          </cell>
          <cell r="H522" t="str">
            <v>Boston Beer Company</v>
          </cell>
          <cell r="K522" t="str">
            <v>Package</v>
          </cell>
          <cell r="L522" t="str">
            <v>Yes</v>
          </cell>
        </row>
        <row r="523">
          <cell r="G523" t="str">
            <v>Samuel Adams</v>
          </cell>
          <cell r="H523" t="str">
            <v>Boston Beer Company</v>
          </cell>
          <cell r="K523" t="str">
            <v>Package</v>
          </cell>
          <cell r="L523" t="str">
            <v>Yes</v>
          </cell>
        </row>
        <row r="524">
          <cell r="G524" t="str">
            <v>Samuel Adams</v>
          </cell>
          <cell r="H524" t="str">
            <v>Boston Beer Company</v>
          </cell>
          <cell r="K524" t="str">
            <v>Package</v>
          </cell>
          <cell r="L524" t="str">
            <v>Yes</v>
          </cell>
        </row>
        <row r="525">
          <cell r="G525" t="str">
            <v>Samuel Adams</v>
          </cell>
          <cell r="H525" t="str">
            <v>Boston Beer Company</v>
          </cell>
          <cell r="K525" t="str">
            <v>Package</v>
          </cell>
          <cell r="L525" t="str">
            <v>Yes</v>
          </cell>
        </row>
        <row r="526">
          <cell r="G526" t="str">
            <v>Samuel Adams</v>
          </cell>
          <cell r="H526" t="str">
            <v>Boston Beer Company</v>
          </cell>
          <cell r="K526" t="str">
            <v>Draft</v>
          </cell>
          <cell r="L526" t="str">
            <v>Yes</v>
          </cell>
        </row>
        <row r="527">
          <cell r="G527" t="str">
            <v>Samuel Adams</v>
          </cell>
          <cell r="H527" t="str">
            <v>Boston Beer Company</v>
          </cell>
          <cell r="K527" t="str">
            <v>Draft</v>
          </cell>
          <cell r="L527" t="str">
            <v>Yes</v>
          </cell>
        </row>
        <row r="528">
          <cell r="G528" t="str">
            <v>Samuel Adams</v>
          </cell>
          <cell r="H528" t="str">
            <v>Boston Beer Company</v>
          </cell>
          <cell r="K528" t="str">
            <v>Draft</v>
          </cell>
          <cell r="L528" t="str">
            <v>Yes</v>
          </cell>
        </row>
        <row r="529">
          <cell r="G529" t="str">
            <v>Samuel Adams</v>
          </cell>
          <cell r="H529" t="str">
            <v>Boston Beer Company</v>
          </cell>
          <cell r="K529" t="str">
            <v>Draft</v>
          </cell>
          <cell r="L529" t="str">
            <v>Yes</v>
          </cell>
        </row>
        <row r="530">
          <cell r="G530" t="str">
            <v>Samuel Adams</v>
          </cell>
          <cell r="H530" t="str">
            <v>Boston Beer Company</v>
          </cell>
          <cell r="K530" t="str">
            <v>Draft</v>
          </cell>
          <cell r="L530" t="str">
            <v>Yes</v>
          </cell>
        </row>
        <row r="531">
          <cell r="G531" t="str">
            <v>Samuel Adams</v>
          </cell>
          <cell r="H531" t="str">
            <v>Boston Beer Company</v>
          </cell>
          <cell r="K531" t="str">
            <v>Package</v>
          </cell>
          <cell r="L531" t="str">
            <v>No</v>
          </cell>
        </row>
        <row r="532">
          <cell r="G532" t="str">
            <v>Samuel Adams</v>
          </cell>
          <cell r="H532" t="str">
            <v>Boston Beer Company</v>
          </cell>
          <cell r="K532" t="str">
            <v>Package</v>
          </cell>
          <cell r="L532" t="str">
            <v>Yes</v>
          </cell>
        </row>
        <row r="533">
          <cell r="G533" t="str">
            <v>Samuel Adams</v>
          </cell>
          <cell r="H533" t="str">
            <v>Boston Beer Company</v>
          </cell>
          <cell r="K533" t="str">
            <v>Package</v>
          </cell>
          <cell r="L533" t="str">
            <v>Yes</v>
          </cell>
        </row>
        <row r="534">
          <cell r="G534" t="str">
            <v>Samuel Adams</v>
          </cell>
          <cell r="H534" t="str">
            <v>Boston Beer Company</v>
          </cell>
          <cell r="K534" t="str">
            <v>Package</v>
          </cell>
          <cell r="L534" t="str">
            <v>Yes</v>
          </cell>
        </row>
        <row r="535">
          <cell r="G535" t="str">
            <v>Samuel Adams</v>
          </cell>
          <cell r="H535" t="str">
            <v>Boston Beer Company</v>
          </cell>
          <cell r="K535" t="str">
            <v>Package</v>
          </cell>
          <cell r="L535" t="str">
            <v>Yes</v>
          </cell>
        </row>
        <row r="536">
          <cell r="G536" t="str">
            <v>Samuel Adams</v>
          </cell>
          <cell r="H536" t="str">
            <v>Boston Beer Company</v>
          </cell>
          <cell r="K536" t="str">
            <v>Package</v>
          </cell>
          <cell r="L536" t="str">
            <v>Yes</v>
          </cell>
        </row>
        <row r="537">
          <cell r="G537" t="str">
            <v>Samuel Adams</v>
          </cell>
          <cell r="H537" t="str">
            <v>Boston Beer Company</v>
          </cell>
          <cell r="K537" t="str">
            <v>Package</v>
          </cell>
          <cell r="L537" t="str">
            <v>Yes</v>
          </cell>
        </row>
        <row r="538">
          <cell r="G538" t="str">
            <v>Samuel Adams</v>
          </cell>
          <cell r="H538" t="str">
            <v>Boston Beer Company</v>
          </cell>
          <cell r="K538" t="str">
            <v>Package</v>
          </cell>
          <cell r="L538" t="str">
            <v>Yes</v>
          </cell>
        </row>
        <row r="539">
          <cell r="G539" t="str">
            <v>Samuel Adams</v>
          </cell>
          <cell r="H539" t="str">
            <v>Boston Beer Company</v>
          </cell>
          <cell r="K539" t="str">
            <v>Package</v>
          </cell>
          <cell r="L539" t="str">
            <v>Yes</v>
          </cell>
        </row>
        <row r="540">
          <cell r="G540" t="str">
            <v>Samuel Adams</v>
          </cell>
          <cell r="H540" t="str">
            <v>Boston Beer Company</v>
          </cell>
          <cell r="K540" t="str">
            <v>Package</v>
          </cell>
          <cell r="L540" t="str">
            <v>Yes</v>
          </cell>
        </row>
        <row r="541">
          <cell r="G541" t="str">
            <v>Samuel Adams</v>
          </cell>
          <cell r="H541" t="str">
            <v>Boston Beer Company</v>
          </cell>
          <cell r="K541" t="str">
            <v>Package</v>
          </cell>
          <cell r="L541" t="str">
            <v>Yes</v>
          </cell>
        </row>
        <row r="542">
          <cell r="G542" t="str">
            <v>Samuel Adams</v>
          </cell>
          <cell r="H542" t="str">
            <v>Boston Beer Company</v>
          </cell>
          <cell r="K542" t="str">
            <v>Package</v>
          </cell>
          <cell r="L542" t="str">
            <v>Yes</v>
          </cell>
        </row>
        <row r="543">
          <cell r="G543" t="str">
            <v>Samuel Adams</v>
          </cell>
          <cell r="H543" t="str">
            <v>Boston Beer Company</v>
          </cell>
          <cell r="K543" t="str">
            <v>Package</v>
          </cell>
          <cell r="L543" t="str">
            <v>Yes</v>
          </cell>
        </row>
        <row r="544">
          <cell r="G544" t="str">
            <v>Samuel Adams</v>
          </cell>
          <cell r="H544" t="str">
            <v>Boston Beer Company</v>
          </cell>
          <cell r="K544" t="str">
            <v>Draft</v>
          </cell>
          <cell r="L544" t="str">
            <v>Yes</v>
          </cell>
        </row>
        <row r="545">
          <cell r="G545" t="str">
            <v>Samuel Adams</v>
          </cell>
          <cell r="H545" t="str">
            <v>Boston Beer Company</v>
          </cell>
          <cell r="K545" t="str">
            <v>Draft</v>
          </cell>
          <cell r="L545" t="str">
            <v>Yes</v>
          </cell>
        </row>
        <row r="546">
          <cell r="G546" t="str">
            <v>Samuel Adams</v>
          </cell>
          <cell r="H546" t="str">
            <v>Boston Beer Company</v>
          </cell>
          <cell r="K546" t="str">
            <v>Draft</v>
          </cell>
          <cell r="L546" t="str">
            <v>Yes</v>
          </cell>
        </row>
        <row r="547">
          <cell r="G547" t="str">
            <v>Samuel Adams</v>
          </cell>
          <cell r="H547" t="str">
            <v>Boston Beer Company</v>
          </cell>
          <cell r="K547" t="str">
            <v>Draft</v>
          </cell>
          <cell r="L547" t="str">
            <v>Yes</v>
          </cell>
        </row>
        <row r="548">
          <cell r="G548" t="str">
            <v>Samuel Adams</v>
          </cell>
          <cell r="H548" t="str">
            <v>Boston Beer Company</v>
          </cell>
          <cell r="K548" t="str">
            <v>Package</v>
          </cell>
          <cell r="L548" t="str">
            <v>Yes</v>
          </cell>
        </row>
        <row r="549">
          <cell r="G549" t="str">
            <v>Samuel Adams</v>
          </cell>
          <cell r="H549" t="str">
            <v>Boston Beer Company</v>
          </cell>
          <cell r="K549" t="str">
            <v>Package</v>
          </cell>
          <cell r="L549" t="str">
            <v>Yes</v>
          </cell>
        </row>
        <row r="550">
          <cell r="G550" t="str">
            <v>Samuel Adams</v>
          </cell>
          <cell r="H550" t="str">
            <v>Boston Beer Company</v>
          </cell>
          <cell r="K550" t="str">
            <v>Package</v>
          </cell>
          <cell r="L550" t="str">
            <v>Yes</v>
          </cell>
        </row>
        <row r="551">
          <cell r="G551" t="str">
            <v>Samuel Adams</v>
          </cell>
          <cell r="H551" t="str">
            <v>Boston Beer Company</v>
          </cell>
          <cell r="K551" t="str">
            <v>Package</v>
          </cell>
          <cell r="L551" t="str">
            <v>Yes</v>
          </cell>
        </row>
        <row r="552">
          <cell r="G552" t="str">
            <v>Samuel Adams</v>
          </cell>
          <cell r="H552" t="str">
            <v>Boston Beer Company</v>
          </cell>
          <cell r="K552" t="str">
            <v>Package</v>
          </cell>
          <cell r="L552" t="str">
            <v>Yes</v>
          </cell>
        </row>
        <row r="553">
          <cell r="G553" t="str">
            <v>Samuel Adams</v>
          </cell>
          <cell r="H553" t="str">
            <v>Boston Beer Company</v>
          </cell>
          <cell r="K553" t="str">
            <v>Package</v>
          </cell>
          <cell r="L553" t="str">
            <v>Yes</v>
          </cell>
        </row>
        <row r="554">
          <cell r="G554" t="str">
            <v>Samuel Adams</v>
          </cell>
          <cell r="H554" t="str">
            <v>Boston Beer Company</v>
          </cell>
          <cell r="K554" t="str">
            <v>Package</v>
          </cell>
          <cell r="L554" t="str">
            <v>Yes</v>
          </cell>
        </row>
        <row r="555">
          <cell r="G555" t="str">
            <v>Samuel Adams</v>
          </cell>
          <cell r="H555" t="str">
            <v>Boston Beer Company</v>
          </cell>
          <cell r="K555" t="str">
            <v>Package</v>
          </cell>
          <cell r="L555" t="str">
            <v>Yes</v>
          </cell>
        </row>
        <row r="556">
          <cell r="G556" t="str">
            <v>Samuel Adams</v>
          </cell>
          <cell r="H556" t="str">
            <v>Boston Beer Company</v>
          </cell>
          <cell r="K556" t="str">
            <v>Package</v>
          </cell>
          <cell r="L556" t="str">
            <v>Yes</v>
          </cell>
        </row>
        <row r="557">
          <cell r="G557" t="str">
            <v>Samuel Adams</v>
          </cell>
          <cell r="H557" t="str">
            <v>Boston Beer Company</v>
          </cell>
          <cell r="K557" t="str">
            <v>Package</v>
          </cell>
          <cell r="L557" t="str">
            <v>Yes</v>
          </cell>
        </row>
        <row r="558">
          <cell r="G558" t="str">
            <v>Samuel Adams</v>
          </cell>
          <cell r="H558" t="str">
            <v>Boston Beer Company</v>
          </cell>
          <cell r="K558" t="str">
            <v>Package</v>
          </cell>
          <cell r="L558" t="str">
            <v>Yes</v>
          </cell>
        </row>
        <row r="559">
          <cell r="G559" t="str">
            <v>Samuel Adams</v>
          </cell>
          <cell r="H559" t="str">
            <v>Boston Beer Company</v>
          </cell>
          <cell r="K559" t="str">
            <v>Package</v>
          </cell>
          <cell r="L559" t="str">
            <v>Yes</v>
          </cell>
        </row>
        <row r="560">
          <cell r="G560" t="str">
            <v>Samuel Adams</v>
          </cell>
          <cell r="H560" t="str">
            <v>Boston Beer Company</v>
          </cell>
          <cell r="K560" t="str">
            <v>Package</v>
          </cell>
          <cell r="L560" t="str">
            <v>Yes</v>
          </cell>
        </row>
        <row r="561">
          <cell r="G561" t="str">
            <v>Samuel Adams</v>
          </cell>
          <cell r="H561" t="str">
            <v>Boston Beer Company</v>
          </cell>
          <cell r="K561" t="str">
            <v>Package</v>
          </cell>
          <cell r="L561" t="str">
            <v>Yes</v>
          </cell>
        </row>
        <row r="562">
          <cell r="G562" t="str">
            <v>Samuel Adams</v>
          </cell>
          <cell r="H562" t="str">
            <v>Boston Beer Company</v>
          </cell>
          <cell r="K562" t="str">
            <v>Package</v>
          </cell>
          <cell r="L562" t="str">
            <v>No</v>
          </cell>
        </row>
        <row r="563">
          <cell r="G563" t="str">
            <v>Samuel Adams</v>
          </cell>
          <cell r="H563" t="str">
            <v>Boston Beer Company</v>
          </cell>
          <cell r="K563" t="str">
            <v>Package</v>
          </cell>
          <cell r="L563" t="str">
            <v>Yes</v>
          </cell>
        </row>
        <row r="564">
          <cell r="G564" t="str">
            <v>Samuel Adams</v>
          </cell>
          <cell r="H564" t="str">
            <v>Boston Beer Company</v>
          </cell>
          <cell r="K564" t="str">
            <v>Package</v>
          </cell>
          <cell r="L564" t="str">
            <v>Yes</v>
          </cell>
        </row>
        <row r="565">
          <cell r="G565" t="str">
            <v>Samuel Adams</v>
          </cell>
          <cell r="H565" t="str">
            <v>Boston Beer Company</v>
          </cell>
          <cell r="K565" t="str">
            <v>Package</v>
          </cell>
          <cell r="L565" t="str">
            <v>Yes</v>
          </cell>
        </row>
        <row r="566">
          <cell r="G566" t="str">
            <v>Samuel Adams</v>
          </cell>
          <cell r="H566" t="str">
            <v>Boston Beer Company</v>
          </cell>
          <cell r="K566" t="str">
            <v>Package</v>
          </cell>
          <cell r="L566" t="str">
            <v>Yes</v>
          </cell>
        </row>
        <row r="567">
          <cell r="G567" t="str">
            <v>Samuel Adams</v>
          </cell>
          <cell r="H567" t="str">
            <v>Boston Beer Company</v>
          </cell>
          <cell r="K567" t="str">
            <v>Package</v>
          </cell>
          <cell r="L567" t="str">
            <v>Yes</v>
          </cell>
        </row>
        <row r="568">
          <cell r="G568" t="str">
            <v>Samuel Adams</v>
          </cell>
          <cell r="H568" t="str">
            <v>Boston Beer Company</v>
          </cell>
          <cell r="K568" t="str">
            <v>Package</v>
          </cell>
          <cell r="L568" t="str">
            <v>Yes</v>
          </cell>
        </row>
        <row r="569">
          <cell r="G569" t="str">
            <v>Samuel Adams</v>
          </cell>
          <cell r="H569" t="str">
            <v>Boston Beer Company</v>
          </cell>
          <cell r="K569" t="str">
            <v>Draft</v>
          </cell>
          <cell r="L569" t="str">
            <v>Yes</v>
          </cell>
        </row>
        <row r="570">
          <cell r="G570" t="str">
            <v>Samuel Adams</v>
          </cell>
          <cell r="H570" t="str">
            <v>Boston Beer Company</v>
          </cell>
          <cell r="K570" t="str">
            <v>Draft</v>
          </cell>
          <cell r="L570" t="str">
            <v>Yes</v>
          </cell>
        </row>
        <row r="571">
          <cell r="G571" t="str">
            <v>Samuel Adams</v>
          </cell>
          <cell r="H571" t="str">
            <v>Boston Beer Company</v>
          </cell>
          <cell r="K571" t="str">
            <v>Package</v>
          </cell>
          <cell r="L571" t="str">
            <v>Yes</v>
          </cell>
        </row>
        <row r="572">
          <cell r="G572" t="str">
            <v>Samuel Adams</v>
          </cell>
          <cell r="H572" t="str">
            <v>Boston Beer Company</v>
          </cell>
          <cell r="K572" t="str">
            <v>Package</v>
          </cell>
          <cell r="L572" t="str">
            <v>Yes</v>
          </cell>
        </row>
        <row r="573">
          <cell r="G573" t="str">
            <v>Samuel Adams</v>
          </cell>
          <cell r="H573" t="str">
            <v>Boston Beer Company</v>
          </cell>
          <cell r="K573" t="str">
            <v>Package</v>
          </cell>
          <cell r="L573" t="str">
            <v>Yes</v>
          </cell>
        </row>
        <row r="574">
          <cell r="G574" t="str">
            <v>Samuel Adams</v>
          </cell>
          <cell r="H574" t="str">
            <v>Boston Beer Company</v>
          </cell>
          <cell r="K574" t="str">
            <v>Package</v>
          </cell>
          <cell r="L574" t="str">
            <v>Yes</v>
          </cell>
        </row>
        <row r="575">
          <cell r="G575" t="str">
            <v>Samuel Adams</v>
          </cell>
          <cell r="H575" t="str">
            <v>Boston Beer Company</v>
          </cell>
          <cell r="K575" t="str">
            <v>Package</v>
          </cell>
          <cell r="L575" t="str">
            <v>Yes</v>
          </cell>
        </row>
        <row r="576">
          <cell r="G576" t="str">
            <v>Samuel Adams</v>
          </cell>
          <cell r="H576" t="str">
            <v>Boston Beer Company</v>
          </cell>
          <cell r="K576" t="str">
            <v>Package</v>
          </cell>
          <cell r="L576" t="str">
            <v>Yes</v>
          </cell>
        </row>
        <row r="577">
          <cell r="G577" t="str">
            <v>Samuel Adams</v>
          </cell>
          <cell r="H577" t="str">
            <v>Boston Beer Company</v>
          </cell>
          <cell r="K577" t="str">
            <v>Package</v>
          </cell>
          <cell r="L577" t="str">
            <v>Yes</v>
          </cell>
        </row>
        <row r="578">
          <cell r="G578" t="str">
            <v>Samuel Adams</v>
          </cell>
          <cell r="H578" t="str">
            <v>Boston Beer Company</v>
          </cell>
          <cell r="K578" t="str">
            <v>Package</v>
          </cell>
          <cell r="L578" t="str">
            <v>Yes</v>
          </cell>
        </row>
        <row r="579">
          <cell r="G579" t="str">
            <v>Samuel Adams</v>
          </cell>
          <cell r="H579" t="str">
            <v>Boston Beer Company</v>
          </cell>
          <cell r="K579" t="str">
            <v>Draft</v>
          </cell>
          <cell r="L579" t="str">
            <v>Yes</v>
          </cell>
        </row>
        <row r="580">
          <cell r="G580" t="str">
            <v>Samuel Adams</v>
          </cell>
          <cell r="H580" t="str">
            <v>Boston Beer Company</v>
          </cell>
          <cell r="K580" t="str">
            <v>Draft</v>
          </cell>
          <cell r="L580" t="str">
            <v>Yes</v>
          </cell>
        </row>
        <row r="581">
          <cell r="G581" t="str">
            <v>Samuel Adams</v>
          </cell>
          <cell r="H581" t="str">
            <v>Boston Beer Company</v>
          </cell>
          <cell r="K581" t="str">
            <v>Package</v>
          </cell>
          <cell r="L581" t="str">
            <v>Yes</v>
          </cell>
        </row>
        <row r="582">
          <cell r="G582" t="str">
            <v>Samuel Adams</v>
          </cell>
          <cell r="H582" t="str">
            <v>Boston Beer Company</v>
          </cell>
          <cell r="K582" t="str">
            <v>Package</v>
          </cell>
          <cell r="L582" t="str">
            <v>Yes</v>
          </cell>
        </row>
        <row r="583">
          <cell r="G583" t="str">
            <v>Samuel Adams</v>
          </cell>
          <cell r="H583" t="str">
            <v>Boston Beer Company</v>
          </cell>
          <cell r="K583" t="str">
            <v>Package</v>
          </cell>
          <cell r="L583" t="str">
            <v>Yes</v>
          </cell>
        </row>
        <row r="584">
          <cell r="G584" t="str">
            <v>Samuel Adams</v>
          </cell>
          <cell r="H584" t="str">
            <v>Boston Beer Company</v>
          </cell>
          <cell r="K584" t="str">
            <v>Package</v>
          </cell>
          <cell r="L584" t="str">
            <v>Yes</v>
          </cell>
        </row>
        <row r="585">
          <cell r="G585" t="str">
            <v>Samuel Adams</v>
          </cell>
          <cell r="H585" t="str">
            <v>Boston Beer Company</v>
          </cell>
          <cell r="K585" t="str">
            <v>Package</v>
          </cell>
          <cell r="L585" t="str">
            <v>Yes</v>
          </cell>
        </row>
        <row r="586">
          <cell r="G586" t="str">
            <v>Samuel Adams</v>
          </cell>
          <cell r="H586" t="str">
            <v>Boston Beer Company</v>
          </cell>
          <cell r="K586" t="str">
            <v>Package</v>
          </cell>
          <cell r="L586" t="str">
            <v>Yes</v>
          </cell>
        </row>
        <row r="587">
          <cell r="G587" t="str">
            <v>Samuel Adams</v>
          </cell>
          <cell r="H587" t="str">
            <v>Boston Beer Company</v>
          </cell>
          <cell r="K587" t="str">
            <v>Package</v>
          </cell>
          <cell r="L587" t="str">
            <v>No</v>
          </cell>
        </row>
        <row r="588">
          <cell r="G588" t="str">
            <v>Samuel Adams</v>
          </cell>
          <cell r="H588" t="str">
            <v>Boston Beer Company</v>
          </cell>
          <cell r="K588" t="str">
            <v>Draft</v>
          </cell>
          <cell r="L588" t="str">
            <v>Yes</v>
          </cell>
        </row>
        <row r="589">
          <cell r="G589" t="str">
            <v>Samuel Adams</v>
          </cell>
          <cell r="H589" t="str">
            <v>Boston Beer Company</v>
          </cell>
          <cell r="K589" t="str">
            <v>Draft</v>
          </cell>
          <cell r="L589" t="str">
            <v>Yes</v>
          </cell>
        </row>
        <row r="590">
          <cell r="G590" t="str">
            <v>Samuel Adams</v>
          </cell>
          <cell r="H590" t="str">
            <v>Boston Beer Company</v>
          </cell>
          <cell r="K590" t="str">
            <v>Package</v>
          </cell>
          <cell r="L590" t="str">
            <v>No</v>
          </cell>
        </row>
        <row r="591">
          <cell r="G591" t="str">
            <v>Samuel Adams</v>
          </cell>
          <cell r="H591" t="str">
            <v>Boston Beer Company</v>
          </cell>
          <cell r="K591" t="str">
            <v>Package</v>
          </cell>
          <cell r="L591" t="str">
            <v>Yes</v>
          </cell>
        </row>
        <row r="592">
          <cell r="G592" t="str">
            <v>Samuel Adams</v>
          </cell>
          <cell r="H592" t="str">
            <v>Boston Beer Company</v>
          </cell>
          <cell r="K592" t="str">
            <v>Package</v>
          </cell>
          <cell r="L592" t="str">
            <v>Yes</v>
          </cell>
        </row>
        <row r="593">
          <cell r="G593" t="str">
            <v>Samuel Adams</v>
          </cell>
          <cell r="H593" t="str">
            <v>Boston Beer Company</v>
          </cell>
          <cell r="K593" t="str">
            <v>Package</v>
          </cell>
          <cell r="L593" t="str">
            <v>Yes</v>
          </cell>
        </row>
        <row r="594">
          <cell r="G594" t="str">
            <v>Samuel Adams</v>
          </cell>
          <cell r="H594" t="str">
            <v>Boston Beer Company</v>
          </cell>
          <cell r="K594" t="str">
            <v>Package</v>
          </cell>
          <cell r="L594" t="str">
            <v>Yes</v>
          </cell>
        </row>
        <row r="595">
          <cell r="G595" t="str">
            <v>Mythos</v>
          </cell>
          <cell r="H595" t="str">
            <v>Prestige</v>
          </cell>
          <cell r="K595" t="str">
            <v>Package</v>
          </cell>
          <cell r="L595" t="str">
            <v>Yes</v>
          </cell>
        </row>
        <row r="596">
          <cell r="G596" t="str">
            <v>Fix Hellas</v>
          </cell>
          <cell r="H596" t="str">
            <v>Prestige</v>
          </cell>
          <cell r="K596" t="str">
            <v>Package</v>
          </cell>
          <cell r="L596" t="str">
            <v>Yes</v>
          </cell>
        </row>
        <row r="597">
          <cell r="G597" t="str">
            <v>Southern Tier</v>
          </cell>
          <cell r="H597" t="str">
            <v>Southern Tier Brewing Company</v>
          </cell>
          <cell r="K597" t="str">
            <v>Package</v>
          </cell>
          <cell r="L597" t="str">
            <v>No</v>
          </cell>
        </row>
        <row r="598">
          <cell r="G598" t="str">
            <v>Southern Tier</v>
          </cell>
          <cell r="H598" t="str">
            <v>Southern Tier Brewing Company</v>
          </cell>
          <cell r="K598" t="str">
            <v>Package</v>
          </cell>
          <cell r="L598" t="str">
            <v>No</v>
          </cell>
        </row>
        <row r="599">
          <cell r="G599" t="str">
            <v>Southern Tier</v>
          </cell>
          <cell r="H599" t="str">
            <v>Southern Tier Brewing Company</v>
          </cell>
          <cell r="K599" t="str">
            <v>Package</v>
          </cell>
          <cell r="L599" t="str">
            <v>No</v>
          </cell>
        </row>
        <row r="600">
          <cell r="G600" t="str">
            <v>Southern Tier</v>
          </cell>
          <cell r="H600" t="str">
            <v>Southern Tier Brewing Company</v>
          </cell>
          <cell r="K600" t="str">
            <v>Draft</v>
          </cell>
          <cell r="L600" t="str">
            <v>No</v>
          </cell>
        </row>
        <row r="601">
          <cell r="G601" t="str">
            <v>Southern Tier</v>
          </cell>
          <cell r="H601" t="str">
            <v>Southern Tier Brewing Company</v>
          </cell>
          <cell r="K601" t="str">
            <v>Draft</v>
          </cell>
          <cell r="L601" t="str">
            <v>No</v>
          </cell>
        </row>
        <row r="602">
          <cell r="G602" t="str">
            <v>Southern Tier</v>
          </cell>
          <cell r="H602" t="str">
            <v>Southern Tier Brewing Company</v>
          </cell>
          <cell r="K602" t="str">
            <v>Draft</v>
          </cell>
          <cell r="L602" t="str">
            <v>No</v>
          </cell>
        </row>
        <row r="603">
          <cell r="G603" t="str">
            <v>Southern Tier</v>
          </cell>
          <cell r="H603" t="str">
            <v>Southern Tier Brewing Company</v>
          </cell>
          <cell r="K603" t="str">
            <v>Draft</v>
          </cell>
          <cell r="L603" t="str">
            <v>No</v>
          </cell>
        </row>
        <row r="604">
          <cell r="G604" t="str">
            <v>Southern Tier</v>
          </cell>
          <cell r="H604" t="str">
            <v>Southern Tier Brewing Company</v>
          </cell>
          <cell r="K604" t="str">
            <v>Draft</v>
          </cell>
          <cell r="L604" t="str">
            <v>No</v>
          </cell>
        </row>
        <row r="605">
          <cell r="G605" t="str">
            <v>Southern Tier</v>
          </cell>
          <cell r="H605" t="str">
            <v>Southern Tier Brewing Company</v>
          </cell>
          <cell r="K605" t="str">
            <v>Package</v>
          </cell>
          <cell r="L605" t="str">
            <v>No</v>
          </cell>
        </row>
        <row r="606">
          <cell r="G606" t="str">
            <v>Southern Tier</v>
          </cell>
          <cell r="H606" t="str">
            <v>Southern Tier Brewing Company</v>
          </cell>
          <cell r="K606" t="str">
            <v>Package</v>
          </cell>
          <cell r="L606" t="str">
            <v>No</v>
          </cell>
        </row>
        <row r="607">
          <cell r="G607" t="str">
            <v>Southern Tier</v>
          </cell>
          <cell r="H607" t="str">
            <v>Southern Tier Brewing Company</v>
          </cell>
          <cell r="K607" t="str">
            <v>Package</v>
          </cell>
          <cell r="L607" t="str">
            <v>No</v>
          </cell>
        </row>
        <row r="608">
          <cell r="G608" t="str">
            <v>Southern Tier</v>
          </cell>
          <cell r="H608" t="str">
            <v>Southern Tier Brewing Company</v>
          </cell>
          <cell r="K608" t="str">
            <v>Package</v>
          </cell>
          <cell r="L608" t="str">
            <v>No</v>
          </cell>
        </row>
        <row r="609">
          <cell r="G609" t="str">
            <v>Southern Tier</v>
          </cell>
          <cell r="H609" t="str">
            <v>Southern Tier Brewing Company</v>
          </cell>
          <cell r="K609" t="str">
            <v>Package</v>
          </cell>
          <cell r="L609" t="str">
            <v>No</v>
          </cell>
        </row>
        <row r="610">
          <cell r="G610" t="str">
            <v>Southern Tier</v>
          </cell>
          <cell r="H610" t="str">
            <v>Southern Tier Brewing Company</v>
          </cell>
          <cell r="K610" t="str">
            <v>Package</v>
          </cell>
          <cell r="L610" t="str">
            <v>No</v>
          </cell>
        </row>
        <row r="611">
          <cell r="G611" t="str">
            <v>Southern Tier</v>
          </cell>
          <cell r="H611" t="str">
            <v>Southern Tier Brewing Company</v>
          </cell>
          <cell r="K611" t="str">
            <v>Package</v>
          </cell>
          <cell r="L611" t="str">
            <v>Yes</v>
          </cell>
        </row>
        <row r="612">
          <cell r="G612" t="str">
            <v>Southern Tier</v>
          </cell>
          <cell r="H612" t="str">
            <v>Southern Tier Brewing Company</v>
          </cell>
          <cell r="K612" t="str">
            <v>Draft</v>
          </cell>
          <cell r="L612" t="str">
            <v>No</v>
          </cell>
        </row>
        <row r="613">
          <cell r="G613" t="str">
            <v>Southern Tier</v>
          </cell>
          <cell r="H613" t="str">
            <v>Southern Tier Brewing Company</v>
          </cell>
          <cell r="K613" t="str">
            <v>Draft</v>
          </cell>
          <cell r="L613" t="str">
            <v>Yes</v>
          </cell>
        </row>
        <row r="614">
          <cell r="G614" t="str">
            <v>Southern Tier</v>
          </cell>
          <cell r="H614" t="str">
            <v>Southern Tier Brewing Company</v>
          </cell>
          <cell r="K614" t="str">
            <v>Draft</v>
          </cell>
          <cell r="L614" t="str">
            <v>No</v>
          </cell>
        </row>
        <row r="615">
          <cell r="G615" t="str">
            <v>Southern Tier</v>
          </cell>
          <cell r="H615" t="str">
            <v>Southern Tier Brewing Company</v>
          </cell>
          <cell r="K615" t="str">
            <v>Draft</v>
          </cell>
          <cell r="L615" t="str">
            <v>No</v>
          </cell>
        </row>
        <row r="616">
          <cell r="G616" t="str">
            <v>Southern Tier</v>
          </cell>
          <cell r="H616" t="str">
            <v>Southern Tier Brewing Company</v>
          </cell>
          <cell r="K616" t="str">
            <v>Draft</v>
          </cell>
          <cell r="L616" t="str">
            <v>Yes</v>
          </cell>
        </row>
        <row r="617">
          <cell r="G617" t="str">
            <v>Southern Tier</v>
          </cell>
          <cell r="H617" t="str">
            <v>Southern Tier Brewing Company</v>
          </cell>
          <cell r="K617" t="str">
            <v>Package</v>
          </cell>
          <cell r="L617" t="str">
            <v>No</v>
          </cell>
        </row>
        <row r="618">
          <cell r="G618" t="str">
            <v>Southern Tier</v>
          </cell>
          <cell r="H618" t="str">
            <v>Southern Tier Brewing Company</v>
          </cell>
          <cell r="K618" t="str">
            <v>Package</v>
          </cell>
          <cell r="L618" t="str">
            <v>Yes</v>
          </cell>
        </row>
        <row r="619">
          <cell r="G619" t="str">
            <v>Southern Tier</v>
          </cell>
          <cell r="H619" t="str">
            <v>Southern Tier Brewing Company</v>
          </cell>
          <cell r="K619" t="str">
            <v>Draft</v>
          </cell>
          <cell r="L619" t="str">
            <v>Yes</v>
          </cell>
        </row>
        <row r="620">
          <cell r="G620" t="str">
            <v>Southern Tier</v>
          </cell>
          <cell r="H620" t="str">
            <v>Southern Tier Brewing Company</v>
          </cell>
          <cell r="K620" t="str">
            <v>Draft</v>
          </cell>
          <cell r="L620" t="str">
            <v>No</v>
          </cell>
        </row>
        <row r="621">
          <cell r="G621" t="str">
            <v>Southern Tier</v>
          </cell>
          <cell r="H621" t="str">
            <v>Southern Tier Brewing Company</v>
          </cell>
          <cell r="K621" t="str">
            <v>Package</v>
          </cell>
          <cell r="L621" t="str">
            <v>Yes</v>
          </cell>
        </row>
        <row r="622">
          <cell r="G622" t="str">
            <v>Southern Tier</v>
          </cell>
          <cell r="H622" t="str">
            <v>Southern Tier Brewing Company</v>
          </cell>
          <cell r="K622" t="str">
            <v>Draft</v>
          </cell>
          <cell r="L622" t="str">
            <v>Yes</v>
          </cell>
        </row>
        <row r="623">
          <cell r="G623" t="str">
            <v>Southern Tier</v>
          </cell>
          <cell r="H623" t="str">
            <v>Southern Tier Brewing Company</v>
          </cell>
          <cell r="K623" t="str">
            <v>Draft</v>
          </cell>
          <cell r="L623" t="str">
            <v>Yes</v>
          </cell>
        </row>
        <row r="624">
          <cell r="G624" t="str">
            <v>Southern Tier</v>
          </cell>
          <cell r="H624" t="str">
            <v>Southern Tier Brewing Company</v>
          </cell>
          <cell r="K624" t="str">
            <v>Package</v>
          </cell>
          <cell r="L624" t="str">
            <v>No</v>
          </cell>
        </row>
        <row r="625">
          <cell r="G625" t="str">
            <v>Southern Tier</v>
          </cell>
          <cell r="H625" t="str">
            <v>Southern Tier Brewing Company</v>
          </cell>
          <cell r="K625" t="str">
            <v>Draft</v>
          </cell>
          <cell r="L625" t="str">
            <v>No</v>
          </cell>
        </row>
        <row r="626">
          <cell r="G626" t="str">
            <v>Southern Tier</v>
          </cell>
          <cell r="H626" t="str">
            <v>Southern Tier Brewing Company</v>
          </cell>
          <cell r="K626" t="str">
            <v>Draft</v>
          </cell>
          <cell r="L626" t="str">
            <v>No</v>
          </cell>
        </row>
        <row r="627">
          <cell r="G627" t="str">
            <v>Southern Tier</v>
          </cell>
          <cell r="H627" t="str">
            <v>Southern Tier Brewing Company</v>
          </cell>
          <cell r="K627" t="str">
            <v>Draft</v>
          </cell>
          <cell r="L627" t="str">
            <v>No</v>
          </cell>
        </row>
        <row r="628">
          <cell r="G628" t="str">
            <v>Southern Tier</v>
          </cell>
          <cell r="H628" t="str">
            <v>Southern Tier Brewing Company</v>
          </cell>
          <cell r="K628" t="str">
            <v>Draft</v>
          </cell>
          <cell r="L628" t="str">
            <v>No</v>
          </cell>
        </row>
        <row r="629">
          <cell r="G629" t="str">
            <v>Southern Tier</v>
          </cell>
          <cell r="H629" t="str">
            <v>Southern Tier Brewing Company</v>
          </cell>
          <cell r="K629" t="str">
            <v>Package</v>
          </cell>
          <cell r="L629" t="str">
            <v>No</v>
          </cell>
        </row>
        <row r="630">
          <cell r="G630" t="str">
            <v>Southern Tier</v>
          </cell>
          <cell r="H630" t="str">
            <v>Southern Tier Brewing Company</v>
          </cell>
          <cell r="K630" t="str">
            <v>Draft</v>
          </cell>
          <cell r="L630" t="str">
            <v>No</v>
          </cell>
        </row>
        <row r="631">
          <cell r="G631" t="str">
            <v>Southern Tier</v>
          </cell>
          <cell r="H631" t="str">
            <v>Southern Tier Brewing Company</v>
          </cell>
          <cell r="K631" t="str">
            <v>Package</v>
          </cell>
          <cell r="L631" t="str">
            <v>No</v>
          </cell>
        </row>
        <row r="632">
          <cell r="G632" t="str">
            <v>Southern Tier</v>
          </cell>
          <cell r="H632" t="str">
            <v>Southern Tier Brewing Company</v>
          </cell>
          <cell r="K632" t="str">
            <v>Draft</v>
          </cell>
          <cell r="L632" t="str">
            <v>Yes</v>
          </cell>
        </row>
        <row r="633">
          <cell r="G633" t="str">
            <v>Southern Tier</v>
          </cell>
          <cell r="H633" t="str">
            <v>Southern Tier Brewing Company</v>
          </cell>
          <cell r="K633" t="str">
            <v>Draft</v>
          </cell>
          <cell r="L633" t="str">
            <v>Yes</v>
          </cell>
        </row>
        <row r="634">
          <cell r="G634" t="str">
            <v>Southern Tier</v>
          </cell>
          <cell r="H634" t="str">
            <v>Southern Tier Brewing Company</v>
          </cell>
          <cell r="K634" t="str">
            <v>Package</v>
          </cell>
          <cell r="L634" t="str">
            <v>Yes</v>
          </cell>
        </row>
        <row r="635">
          <cell r="G635" t="str">
            <v>Southern Tier</v>
          </cell>
          <cell r="H635" t="str">
            <v>Southern Tier Brewing Company</v>
          </cell>
          <cell r="K635" t="str">
            <v>Draft</v>
          </cell>
          <cell r="L635" t="str">
            <v>No</v>
          </cell>
        </row>
        <row r="636">
          <cell r="G636" t="str">
            <v>Southern Tier</v>
          </cell>
          <cell r="H636" t="str">
            <v>Southern Tier Brewing Company</v>
          </cell>
          <cell r="K636" t="str">
            <v>Package</v>
          </cell>
          <cell r="L636" t="str">
            <v>No</v>
          </cell>
        </row>
        <row r="637">
          <cell r="G637" t="str">
            <v>Southern Tier</v>
          </cell>
          <cell r="H637" t="str">
            <v>Southern Tier Brewing Company</v>
          </cell>
          <cell r="K637" t="str">
            <v>Draft</v>
          </cell>
          <cell r="L637" t="str">
            <v>No</v>
          </cell>
        </row>
        <row r="638">
          <cell r="G638" t="str">
            <v>Southern Tier</v>
          </cell>
          <cell r="H638" t="str">
            <v>Southern Tier Brewing Company</v>
          </cell>
          <cell r="K638" t="str">
            <v>Package</v>
          </cell>
          <cell r="L638" t="str">
            <v>No</v>
          </cell>
        </row>
        <row r="639">
          <cell r="G639" t="str">
            <v>Southern Tier</v>
          </cell>
          <cell r="H639" t="str">
            <v>Southern Tier Brewing Company</v>
          </cell>
          <cell r="K639" t="str">
            <v>Package</v>
          </cell>
          <cell r="L639" t="str">
            <v>No</v>
          </cell>
        </row>
        <row r="640">
          <cell r="G640" t="str">
            <v>Southern Tier</v>
          </cell>
          <cell r="H640" t="str">
            <v>Southern Tier Brewing Company</v>
          </cell>
          <cell r="K640" t="str">
            <v>Draft</v>
          </cell>
          <cell r="L640" t="str">
            <v>No</v>
          </cell>
        </row>
        <row r="641">
          <cell r="G641" t="str">
            <v>Southern Tier</v>
          </cell>
          <cell r="H641" t="str">
            <v>Southern Tier Brewing Company</v>
          </cell>
          <cell r="K641" t="str">
            <v>Package</v>
          </cell>
          <cell r="L641" t="str">
            <v>No</v>
          </cell>
        </row>
        <row r="642">
          <cell r="G642" t="str">
            <v>Southern Tier</v>
          </cell>
          <cell r="H642" t="str">
            <v>Southern Tier Brewing Company</v>
          </cell>
          <cell r="K642" t="str">
            <v>Package</v>
          </cell>
          <cell r="L642" t="str">
            <v>No</v>
          </cell>
        </row>
        <row r="643">
          <cell r="G643" t="str">
            <v>Southern Tier</v>
          </cell>
          <cell r="H643" t="str">
            <v>Southern Tier Brewing Company</v>
          </cell>
          <cell r="K643" t="str">
            <v>Draft</v>
          </cell>
          <cell r="L643" t="str">
            <v>No</v>
          </cell>
        </row>
        <row r="644">
          <cell r="G644" t="str">
            <v>Southern Tier</v>
          </cell>
          <cell r="H644" t="str">
            <v>Southern Tier Brewing Company</v>
          </cell>
          <cell r="K644" t="str">
            <v>Draft</v>
          </cell>
          <cell r="L644" t="str">
            <v>No</v>
          </cell>
        </row>
        <row r="645">
          <cell r="G645" t="str">
            <v>Southern Tier</v>
          </cell>
          <cell r="H645" t="str">
            <v>Southern Tier Brewing Company</v>
          </cell>
          <cell r="K645" t="str">
            <v>Package</v>
          </cell>
          <cell r="L645" t="str">
            <v>No</v>
          </cell>
        </row>
        <row r="646">
          <cell r="G646" t="str">
            <v>Southern Tier</v>
          </cell>
          <cell r="H646" t="str">
            <v>Southern Tier Brewing Company</v>
          </cell>
          <cell r="K646" t="str">
            <v>Package</v>
          </cell>
          <cell r="L646" t="str">
            <v>No</v>
          </cell>
        </row>
        <row r="647">
          <cell r="G647" t="str">
            <v>Southern Tier</v>
          </cell>
          <cell r="H647" t="str">
            <v>Southern Tier Brewing Company</v>
          </cell>
          <cell r="K647" t="str">
            <v>Package</v>
          </cell>
          <cell r="L647" t="str">
            <v>No</v>
          </cell>
        </row>
        <row r="648">
          <cell r="G648" t="str">
            <v>Southern Tier</v>
          </cell>
          <cell r="H648" t="str">
            <v>Southern Tier Brewing Company</v>
          </cell>
          <cell r="K648" t="str">
            <v>Package</v>
          </cell>
          <cell r="L648" t="str">
            <v>Yes</v>
          </cell>
        </row>
        <row r="649">
          <cell r="G649" t="str">
            <v>Southern Tier</v>
          </cell>
          <cell r="H649" t="str">
            <v>Southern Tier Brewing Company</v>
          </cell>
          <cell r="K649" t="str">
            <v>Package</v>
          </cell>
          <cell r="L649" t="str">
            <v>Yes</v>
          </cell>
        </row>
        <row r="650">
          <cell r="G650" t="str">
            <v>Southern Tier</v>
          </cell>
          <cell r="H650" t="str">
            <v>Southern Tier Brewing Company</v>
          </cell>
          <cell r="K650" t="str">
            <v>Package</v>
          </cell>
          <cell r="L650" t="str">
            <v>No</v>
          </cell>
        </row>
        <row r="651">
          <cell r="G651" t="str">
            <v>Southern Tier</v>
          </cell>
          <cell r="H651" t="str">
            <v>Southern Tier Brewing Company</v>
          </cell>
          <cell r="K651" t="str">
            <v>Draft</v>
          </cell>
          <cell r="L651" t="str">
            <v>No</v>
          </cell>
        </row>
        <row r="652">
          <cell r="G652" t="str">
            <v>Southern Tier</v>
          </cell>
          <cell r="H652" t="str">
            <v>Southern Tier Brewing Company</v>
          </cell>
          <cell r="K652" t="str">
            <v>Draft</v>
          </cell>
          <cell r="L652" t="str">
            <v>No</v>
          </cell>
        </row>
        <row r="653">
          <cell r="G653" t="str">
            <v>Southern Tier</v>
          </cell>
          <cell r="H653" t="str">
            <v>Southern Tier Brewing Company</v>
          </cell>
          <cell r="K653" t="str">
            <v>Package</v>
          </cell>
          <cell r="L653" t="str">
            <v>No</v>
          </cell>
        </row>
        <row r="654">
          <cell r="G654" t="str">
            <v>Southern Tier</v>
          </cell>
          <cell r="H654" t="str">
            <v>Southern Tier Brewing Company</v>
          </cell>
          <cell r="K654" t="str">
            <v>Package</v>
          </cell>
          <cell r="L654" t="str">
            <v>No</v>
          </cell>
        </row>
        <row r="655">
          <cell r="G655" t="str">
            <v>Southern Tier</v>
          </cell>
          <cell r="H655" t="str">
            <v>Southern Tier Brewing Company</v>
          </cell>
          <cell r="K655" t="str">
            <v>Package</v>
          </cell>
          <cell r="L655" t="str">
            <v>No</v>
          </cell>
        </row>
        <row r="656">
          <cell r="G656" t="str">
            <v>Southern Tier</v>
          </cell>
          <cell r="H656" t="str">
            <v>Southern Tier Brewing Company</v>
          </cell>
          <cell r="K656" t="str">
            <v>Package</v>
          </cell>
          <cell r="L656" t="str">
            <v>No</v>
          </cell>
        </row>
        <row r="657">
          <cell r="G657" t="str">
            <v>Southern Tier</v>
          </cell>
          <cell r="H657" t="str">
            <v>Southern Tier Brewing Company</v>
          </cell>
          <cell r="K657" t="str">
            <v>Draft</v>
          </cell>
          <cell r="L657" t="str">
            <v>No</v>
          </cell>
        </row>
        <row r="658">
          <cell r="G658" t="str">
            <v>Southern Tier</v>
          </cell>
          <cell r="H658" t="str">
            <v>Southern Tier Brewing Company</v>
          </cell>
          <cell r="K658" t="str">
            <v>Draft</v>
          </cell>
          <cell r="L658" t="str">
            <v>No</v>
          </cell>
        </row>
        <row r="659">
          <cell r="G659" t="str">
            <v>Southern Tier</v>
          </cell>
          <cell r="H659" t="str">
            <v>Southern Tier Brewing Company</v>
          </cell>
          <cell r="K659" t="str">
            <v>Package</v>
          </cell>
          <cell r="L659" t="str">
            <v>No</v>
          </cell>
        </row>
        <row r="660">
          <cell r="G660" t="str">
            <v>Southern Tier</v>
          </cell>
          <cell r="H660" t="str">
            <v>Southern Tier Brewing Company</v>
          </cell>
          <cell r="K660" t="str">
            <v>Package</v>
          </cell>
          <cell r="L660" t="str">
            <v>No</v>
          </cell>
        </row>
        <row r="661">
          <cell r="G661" t="str">
            <v>Southern Tier</v>
          </cell>
          <cell r="H661" t="str">
            <v>Southern Tier Brewing Company</v>
          </cell>
          <cell r="K661" t="str">
            <v>Draft</v>
          </cell>
          <cell r="L661" t="str">
            <v>No</v>
          </cell>
        </row>
        <row r="662">
          <cell r="G662" t="str">
            <v>Southern Tier</v>
          </cell>
          <cell r="H662" t="str">
            <v>Southern Tier Brewing Company</v>
          </cell>
          <cell r="K662" t="str">
            <v>Draft</v>
          </cell>
          <cell r="L662" t="str">
            <v>No</v>
          </cell>
        </row>
        <row r="663">
          <cell r="G663" t="str">
            <v>Southern Tier</v>
          </cell>
          <cell r="H663" t="str">
            <v>Southern Tier Brewing Company</v>
          </cell>
          <cell r="K663" t="str">
            <v>Package</v>
          </cell>
          <cell r="L663" t="str">
            <v>No</v>
          </cell>
        </row>
        <row r="664">
          <cell r="G664" t="str">
            <v>Southern Tier</v>
          </cell>
          <cell r="H664" t="str">
            <v>Southern Tier Brewing Company</v>
          </cell>
          <cell r="K664" t="str">
            <v>Package</v>
          </cell>
          <cell r="L664" t="str">
            <v>No</v>
          </cell>
        </row>
        <row r="665">
          <cell r="G665" t="str">
            <v>Southern Tier</v>
          </cell>
          <cell r="H665" t="str">
            <v>Southern Tier Brewing Company</v>
          </cell>
          <cell r="K665" t="str">
            <v>Draft</v>
          </cell>
          <cell r="L665" t="str">
            <v>No</v>
          </cell>
        </row>
        <row r="666">
          <cell r="G666" t="str">
            <v>Southern Tier</v>
          </cell>
          <cell r="H666" t="str">
            <v>Southern Tier Brewing Company</v>
          </cell>
          <cell r="K666" t="str">
            <v>Draft</v>
          </cell>
          <cell r="L666" t="str">
            <v>No</v>
          </cell>
        </row>
        <row r="667">
          <cell r="G667" t="str">
            <v>Southern Tier</v>
          </cell>
          <cell r="H667" t="str">
            <v>Southern Tier Brewing Company</v>
          </cell>
          <cell r="K667" t="str">
            <v>Draft</v>
          </cell>
          <cell r="L667" t="str">
            <v>No</v>
          </cell>
        </row>
        <row r="668">
          <cell r="G668" t="str">
            <v>Southern Tier</v>
          </cell>
          <cell r="H668" t="str">
            <v>Southern Tier Brewing Company</v>
          </cell>
          <cell r="K668" t="str">
            <v>Package</v>
          </cell>
          <cell r="L668" t="str">
            <v>No</v>
          </cell>
        </row>
        <row r="669">
          <cell r="G669" t="str">
            <v>Southern Tier</v>
          </cell>
          <cell r="H669" t="str">
            <v>Southern Tier Brewing Company</v>
          </cell>
          <cell r="K669" t="str">
            <v>Package</v>
          </cell>
          <cell r="L669" t="str">
            <v>No</v>
          </cell>
        </row>
        <row r="670">
          <cell r="G670" t="str">
            <v>Southern Tier</v>
          </cell>
          <cell r="H670" t="str">
            <v>Southern Tier Brewing Company</v>
          </cell>
          <cell r="K670" t="str">
            <v>Package</v>
          </cell>
          <cell r="L670" t="str">
            <v>No</v>
          </cell>
        </row>
        <row r="671">
          <cell r="G671" t="str">
            <v>Sierra Nevada</v>
          </cell>
          <cell r="H671" t="str">
            <v>Sierra Nevada Brewing Company</v>
          </cell>
          <cell r="K671" t="str">
            <v>Package</v>
          </cell>
          <cell r="L671" t="str">
            <v>No</v>
          </cell>
        </row>
        <row r="672">
          <cell r="G672" t="str">
            <v>Strainge Beast</v>
          </cell>
          <cell r="H672" t="str">
            <v>Sierra Nevada Brewing Company</v>
          </cell>
          <cell r="K672" t="str">
            <v>Draft</v>
          </cell>
          <cell r="L672" t="str">
            <v>No</v>
          </cell>
        </row>
        <row r="673">
          <cell r="G673" t="str">
            <v>Strainge Beast</v>
          </cell>
          <cell r="H673" t="str">
            <v>Sierra Nevada Brewing Company</v>
          </cell>
          <cell r="K673" t="str">
            <v>Draft</v>
          </cell>
          <cell r="L673" t="str">
            <v>Yes</v>
          </cell>
        </row>
        <row r="674">
          <cell r="G674" t="str">
            <v>Sierra Nevada</v>
          </cell>
          <cell r="H674" t="str">
            <v>Sierra Nevada Brewing Company</v>
          </cell>
          <cell r="K674" t="str">
            <v>Draft</v>
          </cell>
          <cell r="L674" t="str">
            <v>Yes</v>
          </cell>
        </row>
        <row r="675">
          <cell r="G675" t="str">
            <v>Sierra Nevada</v>
          </cell>
          <cell r="H675" t="str">
            <v>Sierra Nevada Brewing Company</v>
          </cell>
          <cell r="K675" t="str">
            <v>Package</v>
          </cell>
          <cell r="L675" t="str">
            <v>Yes</v>
          </cell>
        </row>
        <row r="676">
          <cell r="G676" t="str">
            <v>Strainge Beast</v>
          </cell>
          <cell r="H676" t="str">
            <v>Sierra Nevada Brewing Company</v>
          </cell>
          <cell r="K676" t="str">
            <v>Package</v>
          </cell>
          <cell r="L676" t="str">
            <v>No</v>
          </cell>
        </row>
        <row r="677">
          <cell r="G677" t="str">
            <v>Sierra Nevada</v>
          </cell>
          <cell r="H677" t="str">
            <v>Sierra Nevada Brewing Company</v>
          </cell>
          <cell r="K677" t="str">
            <v>Draft</v>
          </cell>
          <cell r="L677" t="str">
            <v>No</v>
          </cell>
        </row>
        <row r="678">
          <cell r="G678" t="str">
            <v>Sierra Nevada</v>
          </cell>
          <cell r="H678" t="str">
            <v>Sierra Nevada Brewing Company</v>
          </cell>
          <cell r="K678" t="str">
            <v>Draft</v>
          </cell>
          <cell r="L678" t="str">
            <v>No</v>
          </cell>
        </row>
        <row r="679">
          <cell r="G679" t="str">
            <v>Sierra Nevada</v>
          </cell>
          <cell r="H679" t="str">
            <v>Sierra Nevada Brewing Company</v>
          </cell>
          <cell r="K679" t="str">
            <v>Package</v>
          </cell>
          <cell r="L679" t="str">
            <v>Yes</v>
          </cell>
        </row>
        <row r="680">
          <cell r="G680" t="str">
            <v>Sierra Nevada</v>
          </cell>
          <cell r="H680" t="str">
            <v>Sierra Nevada Brewing Company</v>
          </cell>
          <cell r="K680" t="str">
            <v>Package</v>
          </cell>
          <cell r="L680" t="str">
            <v>No</v>
          </cell>
        </row>
        <row r="681">
          <cell r="G681" t="str">
            <v>Sierra Nevada</v>
          </cell>
          <cell r="H681" t="str">
            <v>Sierra Nevada Brewing Company</v>
          </cell>
          <cell r="K681" t="str">
            <v>Package</v>
          </cell>
          <cell r="L681" t="str">
            <v>No</v>
          </cell>
        </row>
        <row r="682">
          <cell r="G682" t="str">
            <v>Sierra Nevada</v>
          </cell>
          <cell r="H682" t="str">
            <v>Sierra Nevada Brewing Company</v>
          </cell>
          <cell r="K682" t="str">
            <v>Package</v>
          </cell>
          <cell r="L682" t="str">
            <v>No</v>
          </cell>
        </row>
        <row r="683">
          <cell r="G683" t="str">
            <v>Strainge Beast</v>
          </cell>
          <cell r="H683" t="str">
            <v>Sierra Nevada Brewing Company</v>
          </cell>
          <cell r="K683" t="str">
            <v>Package</v>
          </cell>
          <cell r="L683" t="str">
            <v>No</v>
          </cell>
        </row>
        <row r="684">
          <cell r="G684" t="str">
            <v>Strainge Beast</v>
          </cell>
          <cell r="H684" t="str">
            <v>Sierra Nevada Brewing Company</v>
          </cell>
          <cell r="K684" t="str">
            <v>Package</v>
          </cell>
          <cell r="L684" t="str">
            <v>No</v>
          </cell>
        </row>
        <row r="685">
          <cell r="G685" t="str">
            <v>Strainge Beast</v>
          </cell>
          <cell r="H685" t="str">
            <v>Sierra Nevada Brewing Company</v>
          </cell>
          <cell r="K685" t="str">
            <v>Package</v>
          </cell>
          <cell r="L685" t="str">
            <v>No</v>
          </cell>
        </row>
        <row r="686">
          <cell r="G686" t="str">
            <v>Strainge Beast</v>
          </cell>
          <cell r="H686" t="str">
            <v>Sierra Nevada Brewing Company</v>
          </cell>
          <cell r="K686" t="str">
            <v>Package</v>
          </cell>
          <cell r="L686" t="str">
            <v>No</v>
          </cell>
        </row>
        <row r="687">
          <cell r="G687" t="str">
            <v>Sierra Nevada</v>
          </cell>
          <cell r="H687" t="str">
            <v>Sierra Nevada Brewing Company</v>
          </cell>
          <cell r="K687" t="str">
            <v>Draft</v>
          </cell>
          <cell r="L687" t="str">
            <v>No</v>
          </cell>
        </row>
        <row r="688">
          <cell r="G688" t="str">
            <v>Sierra Nevada</v>
          </cell>
          <cell r="H688" t="str">
            <v>Sierra Nevada Brewing Company</v>
          </cell>
          <cell r="K688" t="str">
            <v>Package</v>
          </cell>
          <cell r="L688" t="str">
            <v>No</v>
          </cell>
        </row>
        <row r="689">
          <cell r="G689" t="str">
            <v>Strainge Beast</v>
          </cell>
          <cell r="H689" t="str">
            <v>Sierra Nevada Brewing Company</v>
          </cell>
          <cell r="K689" t="str">
            <v>Package</v>
          </cell>
          <cell r="L689" t="str">
            <v>No</v>
          </cell>
        </row>
        <row r="690">
          <cell r="G690" t="str">
            <v>Sierra Nevada</v>
          </cell>
          <cell r="H690" t="str">
            <v>Sierra Nevada Brewing Company</v>
          </cell>
          <cell r="K690" t="str">
            <v>Package</v>
          </cell>
          <cell r="L690" t="str">
            <v>No</v>
          </cell>
        </row>
        <row r="691">
          <cell r="G691" t="str">
            <v>Sierra Nevada</v>
          </cell>
          <cell r="H691" t="str">
            <v>Sierra Nevada Brewing Company</v>
          </cell>
          <cell r="K691" t="str">
            <v>Draft</v>
          </cell>
          <cell r="L691" t="str">
            <v>No</v>
          </cell>
        </row>
        <row r="692">
          <cell r="G692" t="str">
            <v>Sierra Nevada</v>
          </cell>
          <cell r="H692" t="str">
            <v>Sierra Nevada Brewing Company</v>
          </cell>
          <cell r="K692" t="str">
            <v>Draft</v>
          </cell>
          <cell r="L692" t="str">
            <v>No</v>
          </cell>
        </row>
        <row r="693">
          <cell r="G693" t="str">
            <v>Sierra Nevada</v>
          </cell>
          <cell r="H693" t="str">
            <v>Sierra Nevada Brewing Company</v>
          </cell>
          <cell r="K693" t="str">
            <v>Package</v>
          </cell>
          <cell r="L693" t="str">
            <v>No</v>
          </cell>
        </row>
        <row r="694">
          <cell r="G694" t="str">
            <v>Sierra Nevada</v>
          </cell>
          <cell r="H694" t="str">
            <v>Sierra Nevada Brewing Company</v>
          </cell>
          <cell r="K694" t="str">
            <v>Package</v>
          </cell>
          <cell r="L694" t="str">
            <v>No</v>
          </cell>
        </row>
        <row r="695">
          <cell r="G695" t="str">
            <v>Sierra Nevada</v>
          </cell>
          <cell r="H695" t="str">
            <v>Sierra Nevada Brewing Company</v>
          </cell>
          <cell r="K695" t="str">
            <v>Package</v>
          </cell>
          <cell r="L695" t="str">
            <v>Yes</v>
          </cell>
        </row>
        <row r="696">
          <cell r="G696" t="str">
            <v>Sierra Nevada</v>
          </cell>
          <cell r="H696" t="str">
            <v>Sierra Nevada Brewing Company</v>
          </cell>
          <cell r="K696" t="str">
            <v>Package</v>
          </cell>
          <cell r="L696" t="str">
            <v>Yes</v>
          </cell>
        </row>
        <row r="697">
          <cell r="G697" t="str">
            <v>Sierra Nevada</v>
          </cell>
          <cell r="H697" t="str">
            <v>Sierra Nevada Brewing Company</v>
          </cell>
          <cell r="K697" t="str">
            <v>Package</v>
          </cell>
          <cell r="L697" t="str">
            <v>Yes</v>
          </cell>
        </row>
        <row r="698">
          <cell r="G698" t="str">
            <v>Sierra Nevada</v>
          </cell>
          <cell r="H698" t="str">
            <v>Sierra Nevada Brewing Company</v>
          </cell>
          <cell r="K698" t="str">
            <v>Package</v>
          </cell>
          <cell r="L698" t="str">
            <v>No</v>
          </cell>
        </row>
        <row r="699">
          <cell r="G699" t="str">
            <v>Sierra Nevada</v>
          </cell>
          <cell r="H699" t="str">
            <v>Sierra Nevada Brewing Company</v>
          </cell>
          <cell r="K699" t="str">
            <v>Package</v>
          </cell>
          <cell r="L699" t="str">
            <v>Yes</v>
          </cell>
        </row>
        <row r="700">
          <cell r="G700" t="str">
            <v>Sierra Nevada</v>
          </cell>
          <cell r="H700" t="str">
            <v>Sierra Nevada Brewing Company</v>
          </cell>
          <cell r="K700" t="str">
            <v>Draft</v>
          </cell>
          <cell r="L700" t="str">
            <v>Yes</v>
          </cell>
        </row>
        <row r="701">
          <cell r="G701" t="str">
            <v>Sierra Nevada</v>
          </cell>
          <cell r="H701" t="str">
            <v>Sierra Nevada Brewing Company</v>
          </cell>
          <cell r="K701" t="str">
            <v>Draft</v>
          </cell>
          <cell r="L701" t="str">
            <v>Yes</v>
          </cell>
        </row>
        <row r="702">
          <cell r="G702" t="str">
            <v>Strainge Beast</v>
          </cell>
          <cell r="H702" t="str">
            <v>Sierra Nevada Brewing Company</v>
          </cell>
          <cell r="K702" t="str">
            <v>Package</v>
          </cell>
          <cell r="L702" t="str">
            <v>No</v>
          </cell>
        </row>
        <row r="703">
          <cell r="G703" t="str">
            <v>Sierra Nevada</v>
          </cell>
          <cell r="H703" t="str">
            <v>Sierra Nevada Brewing Company</v>
          </cell>
          <cell r="K703" t="str">
            <v>Draft</v>
          </cell>
          <cell r="L703" t="str">
            <v>Yes</v>
          </cell>
        </row>
        <row r="704">
          <cell r="G704" t="str">
            <v>Sierra Nevada</v>
          </cell>
          <cell r="H704" t="str">
            <v>Sierra Nevada Brewing Company</v>
          </cell>
          <cell r="K704" t="str">
            <v>Package</v>
          </cell>
          <cell r="L704" t="str">
            <v>Yes</v>
          </cell>
        </row>
        <row r="705">
          <cell r="G705" t="str">
            <v>Sierra Nevada</v>
          </cell>
          <cell r="H705" t="str">
            <v>Sierra Nevada Brewing Company</v>
          </cell>
          <cell r="K705" t="str">
            <v>Draft</v>
          </cell>
          <cell r="L705" t="str">
            <v>No</v>
          </cell>
        </row>
        <row r="706">
          <cell r="G706" t="str">
            <v>Sierra Nevada</v>
          </cell>
          <cell r="H706" t="str">
            <v>Sierra Nevada Brewing Company</v>
          </cell>
          <cell r="K706" t="str">
            <v>Draft</v>
          </cell>
          <cell r="L706" t="str">
            <v>Yes</v>
          </cell>
        </row>
        <row r="707">
          <cell r="G707" t="str">
            <v>Sierra Nevada</v>
          </cell>
          <cell r="H707" t="str">
            <v>Sierra Nevada Brewing Company</v>
          </cell>
          <cell r="K707" t="str">
            <v>Package</v>
          </cell>
          <cell r="L707" t="str">
            <v>No</v>
          </cell>
        </row>
        <row r="708">
          <cell r="G708" t="str">
            <v>Sierra Nevada</v>
          </cell>
          <cell r="H708" t="str">
            <v>Sierra Nevada Brewing Company</v>
          </cell>
          <cell r="K708" t="str">
            <v>Draft</v>
          </cell>
          <cell r="L708" t="str">
            <v>Yes</v>
          </cell>
        </row>
        <row r="709">
          <cell r="G709" t="str">
            <v>Sierra Nevada</v>
          </cell>
          <cell r="H709" t="str">
            <v>Sierra Nevada Brewing Company</v>
          </cell>
          <cell r="K709" t="str">
            <v>Package</v>
          </cell>
          <cell r="L709" t="str">
            <v>Yes</v>
          </cell>
        </row>
        <row r="710">
          <cell r="G710" t="str">
            <v>Sierra Nevada</v>
          </cell>
          <cell r="H710" t="str">
            <v>Sierra Nevada Brewing Company</v>
          </cell>
          <cell r="K710" t="str">
            <v>Draft</v>
          </cell>
          <cell r="L710" t="str">
            <v>Yes</v>
          </cell>
        </row>
        <row r="711">
          <cell r="G711" t="str">
            <v>Sierra Nevada</v>
          </cell>
          <cell r="H711" t="str">
            <v>Sierra Nevada Brewing Company</v>
          </cell>
          <cell r="K711" t="str">
            <v>Package</v>
          </cell>
          <cell r="L711" t="str">
            <v>No</v>
          </cell>
        </row>
        <row r="712">
          <cell r="G712" t="str">
            <v>Sierra Nevada</v>
          </cell>
          <cell r="H712" t="str">
            <v>Sierra Nevada Brewing Company</v>
          </cell>
          <cell r="K712" t="str">
            <v>Package</v>
          </cell>
          <cell r="L712" t="str">
            <v>No</v>
          </cell>
        </row>
        <row r="713">
          <cell r="G713" t="str">
            <v>Sierra Nevada</v>
          </cell>
          <cell r="H713" t="str">
            <v>Sierra Nevada Brewing Company</v>
          </cell>
          <cell r="K713" t="str">
            <v>Package</v>
          </cell>
          <cell r="L713" t="str">
            <v>No</v>
          </cell>
        </row>
        <row r="714">
          <cell r="G714" t="str">
            <v>Sierra Nevada</v>
          </cell>
          <cell r="H714" t="str">
            <v>Sierra Nevada Brewing Company</v>
          </cell>
          <cell r="K714" t="str">
            <v>Package</v>
          </cell>
          <cell r="L714" t="str">
            <v>Yes</v>
          </cell>
        </row>
        <row r="715">
          <cell r="G715" t="str">
            <v>Sierra Nevada</v>
          </cell>
          <cell r="H715" t="str">
            <v>Sierra Nevada Brewing Company</v>
          </cell>
          <cell r="K715" t="str">
            <v>Package</v>
          </cell>
          <cell r="L715" t="str">
            <v>Yes</v>
          </cell>
        </row>
        <row r="716">
          <cell r="G716" t="str">
            <v>Sierra Nevada</v>
          </cell>
          <cell r="H716" t="str">
            <v>Sierra Nevada Brewing Company</v>
          </cell>
          <cell r="K716" t="str">
            <v>Draft</v>
          </cell>
          <cell r="L716" t="str">
            <v>Yes</v>
          </cell>
        </row>
        <row r="717">
          <cell r="G717" t="str">
            <v>Sierra Nevada</v>
          </cell>
          <cell r="H717" t="str">
            <v>Sierra Nevada Brewing Company</v>
          </cell>
          <cell r="K717" t="str">
            <v>Draft</v>
          </cell>
          <cell r="L717" t="str">
            <v>No</v>
          </cell>
        </row>
        <row r="718">
          <cell r="G718" t="str">
            <v>Sierra Nevada</v>
          </cell>
          <cell r="H718" t="str">
            <v>Sierra Nevada Brewing Company</v>
          </cell>
          <cell r="K718" t="str">
            <v>Package</v>
          </cell>
          <cell r="L718" t="str">
            <v>No</v>
          </cell>
        </row>
        <row r="719">
          <cell r="G719" t="str">
            <v>Sierra Nevada</v>
          </cell>
          <cell r="H719" t="str">
            <v>Sierra Nevada Brewing Company</v>
          </cell>
          <cell r="K719" t="str">
            <v>Draft</v>
          </cell>
          <cell r="L719" t="str">
            <v>Yes</v>
          </cell>
        </row>
        <row r="720">
          <cell r="G720" t="str">
            <v>Sierra Nevada</v>
          </cell>
          <cell r="H720" t="str">
            <v>Sierra Nevada Brewing Company</v>
          </cell>
          <cell r="K720" t="str">
            <v>Package</v>
          </cell>
          <cell r="L720" t="str">
            <v>No</v>
          </cell>
        </row>
        <row r="721">
          <cell r="G721" t="str">
            <v>Sierra Nevada</v>
          </cell>
          <cell r="H721" t="str">
            <v>Sierra Nevada Brewing Company</v>
          </cell>
          <cell r="K721" t="str">
            <v>Package</v>
          </cell>
          <cell r="L721" t="str">
            <v>No</v>
          </cell>
        </row>
        <row r="722">
          <cell r="G722" t="str">
            <v>Sierra Nevada</v>
          </cell>
          <cell r="H722" t="str">
            <v>Sierra Nevada Brewing Company</v>
          </cell>
          <cell r="K722" t="str">
            <v>Package</v>
          </cell>
          <cell r="L722" t="str">
            <v>No</v>
          </cell>
        </row>
        <row r="723">
          <cell r="G723" t="str">
            <v>Sierra Nevada</v>
          </cell>
          <cell r="H723" t="str">
            <v>Sierra Nevada Brewing Company</v>
          </cell>
          <cell r="K723" t="str">
            <v>Package</v>
          </cell>
          <cell r="L723" t="str">
            <v>Yes</v>
          </cell>
        </row>
        <row r="724">
          <cell r="G724" t="str">
            <v>Sierra Nevada</v>
          </cell>
          <cell r="H724" t="str">
            <v>Sierra Nevada Brewing Company</v>
          </cell>
          <cell r="K724" t="str">
            <v>Package</v>
          </cell>
          <cell r="L724" t="str">
            <v>Yes</v>
          </cell>
        </row>
        <row r="725">
          <cell r="G725" t="str">
            <v>Sierra Nevada</v>
          </cell>
          <cell r="H725" t="str">
            <v>Sierra Nevada Brewing Company</v>
          </cell>
          <cell r="K725" t="str">
            <v>Package</v>
          </cell>
          <cell r="L725" t="str">
            <v>Yes</v>
          </cell>
        </row>
        <row r="726">
          <cell r="G726" t="str">
            <v>Sierra Nevada</v>
          </cell>
          <cell r="H726" t="str">
            <v>Sierra Nevada Brewing Company</v>
          </cell>
          <cell r="K726" t="str">
            <v>Package</v>
          </cell>
          <cell r="L726" t="str">
            <v>Yes</v>
          </cell>
        </row>
        <row r="727">
          <cell r="G727" t="str">
            <v>Sierra Nevada</v>
          </cell>
          <cell r="H727" t="str">
            <v>Sierra Nevada Brewing Company</v>
          </cell>
          <cell r="K727" t="str">
            <v>Package</v>
          </cell>
          <cell r="L727" t="str">
            <v>Yes</v>
          </cell>
        </row>
        <row r="728">
          <cell r="G728" t="str">
            <v>Sierra Nevada</v>
          </cell>
          <cell r="H728" t="str">
            <v>Sierra Nevada Brewing Company</v>
          </cell>
          <cell r="K728" t="str">
            <v>Draft</v>
          </cell>
          <cell r="L728" t="str">
            <v>No</v>
          </cell>
        </row>
        <row r="729">
          <cell r="G729" t="str">
            <v>Sierra Nevada</v>
          </cell>
          <cell r="H729" t="str">
            <v>Sierra Nevada Brewing Company</v>
          </cell>
          <cell r="K729" t="str">
            <v>Package</v>
          </cell>
          <cell r="L729" t="str">
            <v>Yes</v>
          </cell>
        </row>
        <row r="730">
          <cell r="G730" t="str">
            <v>Sierra Nevada</v>
          </cell>
          <cell r="H730" t="str">
            <v>Sierra Nevada Brewing Company</v>
          </cell>
          <cell r="K730" t="str">
            <v>Package</v>
          </cell>
          <cell r="L730" t="str">
            <v>Yes</v>
          </cell>
        </row>
        <row r="731">
          <cell r="G731" t="str">
            <v>Sierra Nevada</v>
          </cell>
          <cell r="H731" t="str">
            <v>Sierra Nevada Brewing Company</v>
          </cell>
          <cell r="K731" t="str">
            <v>Package</v>
          </cell>
          <cell r="L731" t="str">
            <v>Yes</v>
          </cell>
        </row>
        <row r="732">
          <cell r="G732" t="str">
            <v>Sierra Nevada</v>
          </cell>
          <cell r="H732" t="str">
            <v>Sierra Nevada Brewing Company</v>
          </cell>
          <cell r="K732" t="str">
            <v>Draft</v>
          </cell>
          <cell r="L732" t="str">
            <v>Yes</v>
          </cell>
        </row>
        <row r="733">
          <cell r="G733" t="str">
            <v>Sierra Nevada</v>
          </cell>
          <cell r="H733" t="str">
            <v>Sierra Nevada Brewing Company</v>
          </cell>
          <cell r="K733" t="str">
            <v>Draft</v>
          </cell>
          <cell r="L733" t="str">
            <v>Yes</v>
          </cell>
        </row>
        <row r="734">
          <cell r="G734" t="str">
            <v>Sierra Nevada</v>
          </cell>
          <cell r="H734" t="str">
            <v>Sierra Nevada Brewing Company</v>
          </cell>
          <cell r="K734" t="str">
            <v>Draft</v>
          </cell>
          <cell r="L734" t="str">
            <v>No</v>
          </cell>
        </row>
        <row r="735">
          <cell r="G735" t="str">
            <v>Sierra Nevada</v>
          </cell>
          <cell r="H735" t="str">
            <v>Sierra Nevada Brewing Company</v>
          </cell>
          <cell r="K735" t="str">
            <v>Package</v>
          </cell>
          <cell r="L735" t="str">
            <v>No</v>
          </cell>
        </row>
        <row r="736">
          <cell r="G736" t="str">
            <v>Sierra Nevada</v>
          </cell>
          <cell r="H736" t="str">
            <v>Sierra Nevada Brewing Company</v>
          </cell>
          <cell r="K736" t="str">
            <v>Package</v>
          </cell>
          <cell r="L736" t="str">
            <v>Yes</v>
          </cell>
        </row>
        <row r="737">
          <cell r="G737" t="str">
            <v>Sierra Nevada</v>
          </cell>
          <cell r="H737" t="str">
            <v>Sierra Nevada Brewing Company</v>
          </cell>
          <cell r="K737" t="str">
            <v>Package</v>
          </cell>
          <cell r="L737" t="str">
            <v>Yes</v>
          </cell>
        </row>
        <row r="738">
          <cell r="G738" t="str">
            <v>Sierra Nevada</v>
          </cell>
          <cell r="H738" t="str">
            <v>Sierra Nevada Brewing Company</v>
          </cell>
          <cell r="K738" t="str">
            <v>Draft</v>
          </cell>
          <cell r="L738" t="str">
            <v>Yes</v>
          </cell>
        </row>
        <row r="739">
          <cell r="G739" t="str">
            <v>Sierra Nevada</v>
          </cell>
          <cell r="H739" t="str">
            <v>Sierra Nevada Brewing Company</v>
          </cell>
          <cell r="K739" t="str">
            <v>Draft</v>
          </cell>
          <cell r="L739" t="str">
            <v>Yes</v>
          </cell>
        </row>
        <row r="740">
          <cell r="G740" t="str">
            <v>Sierra Nevada</v>
          </cell>
          <cell r="H740" t="str">
            <v>Sierra Nevada Brewing Company</v>
          </cell>
          <cell r="K740" t="str">
            <v>Package</v>
          </cell>
          <cell r="L740" t="str">
            <v>Yes</v>
          </cell>
        </row>
        <row r="741">
          <cell r="G741" t="str">
            <v>Sierra Nevada</v>
          </cell>
          <cell r="H741" t="str">
            <v>Sierra Nevada Brewing Company</v>
          </cell>
          <cell r="K741" t="str">
            <v>Package</v>
          </cell>
          <cell r="L741" t="str">
            <v>No</v>
          </cell>
        </row>
        <row r="742">
          <cell r="G742" t="str">
            <v>Yuengling Lager</v>
          </cell>
          <cell r="H742" t="str">
            <v>DG Yuengling Inc</v>
          </cell>
          <cell r="K742" t="str">
            <v>Draft</v>
          </cell>
          <cell r="L742" t="str">
            <v>Yes</v>
          </cell>
        </row>
        <row r="743">
          <cell r="G743" t="str">
            <v>Yuengling Lager</v>
          </cell>
          <cell r="H743" t="str">
            <v>DG Yuengling Inc</v>
          </cell>
          <cell r="K743" t="str">
            <v>Draft</v>
          </cell>
          <cell r="L743" t="str">
            <v>Yes</v>
          </cell>
        </row>
        <row r="744">
          <cell r="G744" t="str">
            <v>Yuengling Oktoberfest</v>
          </cell>
          <cell r="H744" t="str">
            <v>DG Yuengling Inc</v>
          </cell>
          <cell r="K744" t="str">
            <v>Draft</v>
          </cell>
          <cell r="L744" t="str">
            <v>Yes</v>
          </cell>
        </row>
        <row r="745">
          <cell r="G745" t="str">
            <v>Yuengling Black &amp; Tan</v>
          </cell>
          <cell r="H745" t="str">
            <v>DG Yuengling Inc</v>
          </cell>
          <cell r="K745" t="str">
            <v>Draft</v>
          </cell>
          <cell r="L745" t="str">
            <v>Yes</v>
          </cell>
        </row>
        <row r="746">
          <cell r="G746" t="str">
            <v>Yuengling Oktoberfest</v>
          </cell>
          <cell r="H746" t="str">
            <v>DG Yuengling Inc</v>
          </cell>
          <cell r="K746" t="str">
            <v>Draft</v>
          </cell>
          <cell r="L746" t="str">
            <v>Yes</v>
          </cell>
        </row>
        <row r="747">
          <cell r="G747" t="str">
            <v>Yuengling Lager</v>
          </cell>
          <cell r="H747" t="str">
            <v>DG Yuengling Inc</v>
          </cell>
          <cell r="K747" t="str">
            <v>Package</v>
          </cell>
          <cell r="L747" t="str">
            <v>Yes</v>
          </cell>
        </row>
        <row r="748">
          <cell r="G748" t="str">
            <v>Yuengling Lager</v>
          </cell>
          <cell r="H748" t="str">
            <v>DG Yuengling Inc</v>
          </cell>
          <cell r="K748" t="str">
            <v>Package</v>
          </cell>
          <cell r="L748" t="str">
            <v>Yes</v>
          </cell>
        </row>
        <row r="749">
          <cell r="G749" t="str">
            <v>Yuengling Lager</v>
          </cell>
          <cell r="H749" t="str">
            <v>DG Yuengling Inc</v>
          </cell>
          <cell r="K749" t="str">
            <v>Package</v>
          </cell>
          <cell r="L749" t="str">
            <v>Yes</v>
          </cell>
        </row>
        <row r="750">
          <cell r="G750" t="str">
            <v>Yuengling Lager</v>
          </cell>
          <cell r="H750" t="str">
            <v>DG Yuengling Inc</v>
          </cell>
          <cell r="K750" t="str">
            <v>Package</v>
          </cell>
          <cell r="L750" t="str">
            <v>Yes</v>
          </cell>
        </row>
        <row r="751">
          <cell r="G751" t="str">
            <v>Sierra Nevada</v>
          </cell>
          <cell r="H751" t="str">
            <v>Sierra Nevada Brewing Company</v>
          </cell>
          <cell r="K751" t="str">
            <v>Package</v>
          </cell>
          <cell r="L751" t="str">
            <v>No</v>
          </cell>
        </row>
        <row r="752">
          <cell r="G752" t="str">
            <v>Yuengling Lager</v>
          </cell>
          <cell r="H752" t="str">
            <v>DG Yuengling Inc</v>
          </cell>
          <cell r="K752" t="str">
            <v>Package</v>
          </cell>
          <cell r="L752" t="str">
            <v>Yes</v>
          </cell>
        </row>
        <row r="753">
          <cell r="G753" t="str">
            <v>Yuengling Lager</v>
          </cell>
          <cell r="H753" t="str">
            <v>DG Yuengling Inc</v>
          </cell>
          <cell r="K753" t="str">
            <v>Package</v>
          </cell>
          <cell r="L753" t="str">
            <v>Yes</v>
          </cell>
        </row>
        <row r="754">
          <cell r="G754" t="str">
            <v>Yuengling Black &amp; Tan</v>
          </cell>
          <cell r="H754" t="str">
            <v>DG Yuengling Inc</v>
          </cell>
          <cell r="K754" t="str">
            <v>Package</v>
          </cell>
          <cell r="L754" t="str">
            <v>Yes</v>
          </cell>
        </row>
        <row r="755">
          <cell r="G755" t="str">
            <v>Yuengling Black &amp; Tan</v>
          </cell>
          <cell r="H755" t="str">
            <v>DG Yuengling Inc</v>
          </cell>
          <cell r="K755" t="str">
            <v>Package</v>
          </cell>
          <cell r="L755" t="str">
            <v>Yes</v>
          </cell>
        </row>
        <row r="756">
          <cell r="G756" t="str">
            <v>Yuengling Black &amp; Tan</v>
          </cell>
          <cell r="H756" t="str">
            <v>DG Yuengling Inc</v>
          </cell>
          <cell r="K756" t="str">
            <v>Package</v>
          </cell>
          <cell r="L756" t="str">
            <v>Yes</v>
          </cell>
        </row>
        <row r="757">
          <cell r="G757" t="str">
            <v>Sierra Nevada</v>
          </cell>
          <cell r="H757" t="str">
            <v>Sierra Nevada Brewing Company</v>
          </cell>
          <cell r="K757" t="str">
            <v>Package</v>
          </cell>
          <cell r="L757" t="str">
            <v>Yes</v>
          </cell>
        </row>
        <row r="758">
          <cell r="G758" t="str">
            <v>Sierra Nevada</v>
          </cell>
          <cell r="H758" t="str">
            <v>Sierra Nevada Brewing Company</v>
          </cell>
          <cell r="K758" t="str">
            <v>Package</v>
          </cell>
          <cell r="L758" t="str">
            <v>Yes</v>
          </cell>
        </row>
        <row r="759">
          <cell r="G759" t="str">
            <v>Dg Yuengling Inc</v>
          </cell>
          <cell r="H759" t="str">
            <v>DG Yuengling Inc</v>
          </cell>
          <cell r="K759" t="str">
            <v>Package</v>
          </cell>
          <cell r="L759" t="str">
            <v>No</v>
          </cell>
        </row>
        <row r="760">
          <cell r="G760" t="str">
            <v>Sierra Nevada</v>
          </cell>
          <cell r="H760" t="str">
            <v>Sierra Nevada Brewing Company</v>
          </cell>
          <cell r="K760" t="str">
            <v>Package</v>
          </cell>
          <cell r="L760" t="str">
            <v>Yes</v>
          </cell>
        </row>
        <row r="761">
          <cell r="G761" t="str">
            <v>Dg Yuengling Inc</v>
          </cell>
          <cell r="H761" t="str">
            <v>DG Yuengling Inc</v>
          </cell>
          <cell r="K761" t="str">
            <v>Package</v>
          </cell>
          <cell r="L761" t="str">
            <v>No</v>
          </cell>
        </row>
        <row r="762">
          <cell r="G762" t="str">
            <v>Sierra Nevada</v>
          </cell>
          <cell r="H762" t="str">
            <v>Sierra Nevada Brewing Company</v>
          </cell>
          <cell r="K762" t="str">
            <v>Package</v>
          </cell>
          <cell r="L762" t="str">
            <v>No</v>
          </cell>
        </row>
        <row r="763">
          <cell r="G763" t="str">
            <v>Sierra Nevada</v>
          </cell>
          <cell r="H763" t="str">
            <v>Sierra Nevada Brewing Company</v>
          </cell>
          <cell r="K763" t="str">
            <v>Draft</v>
          </cell>
          <cell r="L763" t="str">
            <v>No</v>
          </cell>
        </row>
        <row r="764">
          <cell r="G764" t="str">
            <v>Yuengling Lager</v>
          </cell>
          <cell r="H764" t="str">
            <v>DG Yuengling Inc</v>
          </cell>
          <cell r="K764" t="str">
            <v>Package</v>
          </cell>
          <cell r="L764" t="str">
            <v>Yes</v>
          </cell>
        </row>
        <row r="765">
          <cell r="G765" t="str">
            <v>Yuengling Premium</v>
          </cell>
          <cell r="H765" t="str">
            <v>DG Yuengling Inc</v>
          </cell>
          <cell r="K765" t="str">
            <v>Package</v>
          </cell>
          <cell r="L765" t="str">
            <v>No</v>
          </cell>
        </row>
        <row r="766">
          <cell r="G766" t="str">
            <v>Yuengling Lager</v>
          </cell>
          <cell r="H766" t="str">
            <v>DG Yuengling Inc</v>
          </cell>
          <cell r="K766" t="str">
            <v>Package</v>
          </cell>
          <cell r="L766" t="str">
            <v>Yes</v>
          </cell>
        </row>
        <row r="767">
          <cell r="G767" t="str">
            <v>Yuengling Light Lager</v>
          </cell>
          <cell r="H767" t="str">
            <v>DG Yuengling Inc</v>
          </cell>
          <cell r="K767" t="str">
            <v>Package</v>
          </cell>
          <cell r="L767" t="str">
            <v>Yes</v>
          </cell>
        </row>
        <row r="768">
          <cell r="G768" t="str">
            <v>Yuengling Light Lager</v>
          </cell>
          <cell r="H768" t="str">
            <v>DG Yuengling Inc</v>
          </cell>
          <cell r="K768" t="str">
            <v>Package</v>
          </cell>
          <cell r="L768" t="str">
            <v>Yes</v>
          </cell>
        </row>
        <row r="769">
          <cell r="G769" t="str">
            <v>Sierra Nevada</v>
          </cell>
          <cell r="H769" t="str">
            <v>Sierra Nevada Brewing Company</v>
          </cell>
          <cell r="K769" t="str">
            <v>Package</v>
          </cell>
          <cell r="L769" t="str">
            <v>No</v>
          </cell>
        </row>
        <row r="770">
          <cell r="G770" t="str">
            <v>Yuengling Light Lager</v>
          </cell>
          <cell r="H770" t="str">
            <v>DG Yuengling Inc</v>
          </cell>
          <cell r="K770" t="str">
            <v>Package</v>
          </cell>
          <cell r="L770" t="str">
            <v>Yes</v>
          </cell>
        </row>
        <row r="771">
          <cell r="G771" t="str">
            <v>Yuengling Light Lager</v>
          </cell>
          <cell r="H771" t="str">
            <v>DG Yuengling Inc</v>
          </cell>
          <cell r="K771" t="str">
            <v>Package</v>
          </cell>
          <cell r="L771" t="str">
            <v>Yes</v>
          </cell>
        </row>
        <row r="772">
          <cell r="G772" t="str">
            <v>Yuengling Light Lager</v>
          </cell>
          <cell r="H772" t="str">
            <v>DG Yuengling Inc</v>
          </cell>
          <cell r="K772" t="str">
            <v>Package</v>
          </cell>
          <cell r="L772" t="str">
            <v>Yes</v>
          </cell>
        </row>
        <row r="773">
          <cell r="G773" t="str">
            <v>Yuengling Light Lager</v>
          </cell>
          <cell r="H773" t="str">
            <v>DG Yuengling Inc</v>
          </cell>
          <cell r="K773" t="str">
            <v>Package</v>
          </cell>
          <cell r="L773" t="str">
            <v>Yes</v>
          </cell>
        </row>
        <row r="774">
          <cell r="G774" t="str">
            <v>Yuengling Premium</v>
          </cell>
          <cell r="H774" t="str">
            <v>DG Yuengling Inc</v>
          </cell>
          <cell r="K774" t="str">
            <v>Package</v>
          </cell>
          <cell r="L774" t="str">
            <v>Yes</v>
          </cell>
        </row>
        <row r="775">
          <cell r="G775" t="str">
            <v>Dg Yuengling Inc</v>
          </cell>
          <cell r="H775" t="str">
            <v>DG Yuengling Inc</v>
          </cell>
          <cell r="K775" t="str">
            <v>Package</v>
          </cell>
          <cell r="L775" t="str">
            <v>Yes</v>
          </cell>
        </row>
        <row r="776">
          <cell r="G776" t="str">
            <v>Yuengling Premium Light</v>
          </cell>
          <cell r="H776" t="str">
            <v>DG Yuengling Inc</v>
          </cell>
          <cell r="K776" t="str">
            <v>Package</v>
          </cell>
          <cell r="L776" t="str">
            <v>Yes</v>
          </cell>
        </row>
        <row r="777">
          <cell r="G777" t="str">
            <v>Yuengling Raging Eagle</v>
          </cell>
          <cell r="H777" t="str">
            <v>DG Yuengling Inc</v>
          </cell>
          <cell r="K777" t="str">
            <v>Package</v>
          </cell>
          <cell r="L777" t="str">
            <v>No</v>
          </cell>
        </row>
        <row r="778">
          <cell r="G778" t="str">
            <v>Yuengling Raging Eagle</v>
          </cell>
          <cell r="H778" t="str">
            <v>DG Yuengling Inc</v>
          </cell>
          <cell r="K778" t="str">
            <v>Package</v>
          </cell>
          <cell r="L778" t="str">
            <v>No</v>
          </cell>
        </row>
        <row r="779">
          <cell r="G779" t="str">
            <v>Yuengling Oktoberfest</v>
          </cell>
          <cell r="H779" t="str">
            <v>DG Yuengling Inc</v>
          </cell>
          <cell r="K779" t="str">
            <v>Package</v>
          </cell>
          <cell r="L779" t="str">
            <v>Yes</v>
          </cell>
        </row>
        <row r="780">
          <cell r="G780" t="str">
            <v>Yuengling Oktoberfest</v>
          </cell>
          <cell r="H780" t="str">
            <v>DG Yuengling Inc</v>
          </cell>
          <cell r="K780" t="str">
            <v>Package</v>
          </cell>
          <cell r="L780" t="str">
            <v>Yes</v>
          </cell>
        </row>
        <row r="781">
          <cell r="G781" t="str">
            <v>Dg Yuengling Inc</v>
          </cell>
          <cell r="H781" t="str">
            <v>DG Yuengling Inc</v>
          </cell>
          <cell r="K781" t="str">
            <v>Draft</v>
          </cell>
          <cell r="L781" t="str">
            <v>Yes</v>
          </cell>
        </row>
        <row r="782">
          <cell r="G782" t="str">
            <v>Yuengling Golden Pilsner</v>
          </cell>
          <cell r="H782" t="str">
            <v>DG Yuengling Inc</v>
          </cell>
          <cell r="K782" t="str">
            <v>Package</v>
          </cell>
          <cell r="L782" t="str">
            <v>Yes</v>
          </cell>
        </row>
        <row r="783">
          <cell r="G783" t="str">
            <v>Yuengling Golden Pilsner</v>
          </cell>
          <cell r="H783" t="str">
            <v>DG Yuengling Inc</v>
          </cell>
          <cell r="K783" t="str">
            <v>Package</v>
          </cell>
          <cell r="L783" t="str">
            <v>Yes</v>
          </cell>
        </row>
        <row r="784">
          <cell r="G784" t="str">
            <v>Yuengling Golden Pilsner</v>
          </cell>
          <cell r="H784" t="str">
            <v>DG Yuengling Inc</v>
          </cell>
          <cell r="K784" t="str">
            <v>Package</v>
          </cell>
          <cell r="L784" t="str">
            <v>Yes</v>
          </cell>
        </row>
        <row r="785">
          <cell r="G785" t="str">
            <v>Yuengling Golden Pilsner</v>
          </cell>
          <cell r="H785" t="str">
            <v>DG Yuengling Inc</v>
          </cell>
          <cell r="K785" t="str">
            <v>Package</v>
          </cell>
          <cell r="L785" t="str">
            <v>No</v>
          </cell>
        </row>
        <row r="786">
          <cell r="G786" t="str">
            <v>Yuengling Golden Pilsner</v>
          </cell>
          <cell r="H786" t="str">
            <v>DG Yuengling Inc</v>
          </cell>
          <cell r="K786" t="str">
            <v>Package</v>
          </cell>
          <cell r="L786" t="str">
            <v>No</v>
          </cell>
        </row>
        <row r="787">
          <cell r="G787" t="str">
            <v>Yuengling Golden Pilsner</v>
          </cell>
          <cell r="H787" t="str">
            <v>DG Yuengling Inc</v>
          </cell>
          <cell r="K787" t="str">
            <v>Package</v>
          </cell>
          <cell r="L787" t="str">
            <v>No</v>
          </cell>
        </row>
        <row r="788">
          <cell r="G788" t="str">
            <v>Yuengling Oktoberfest</v>
          </cell>
          <cell r="H788" t="str">
            <v>DG Yuengling Inc</v>
          </cell>
          <cell r="K788" t="str">
            <v>Package</v>
          </cell>
          <cell r="L788" t="str">
            <v>No</v>
          </cell>
        </row>
        <row r="789">
          <cell r="G789" t="str">
            <v>Yuengling Hershey's Chocolate Porter</v>
          </cell>
          <cell r="H789" t="str">
            <v>DG Yuengling Inc</v>
          </cell>
          <cell r="K789" t="str">
            <v>Draft</v>
          </cell>
          <cell r="L789" t="str">
            <v>No</v>
          </cell>
        </row>
        <row r="790">
          <cell r="G790" t="str">
            <v>Yuengling Hershey's Chocolate Porter</v>
          </cell>
          <cell r="H790" t="str">
            <v>DG Yuengling Inc</v>
          </cell>
          <cell r="K790" t="str">
            <v>Draft</v>
          </cell>
          <cell r="L790" t="str">
            <v>No</v>
          </cell>
        </row>
        <row r="791">
          <cell r="G791" t="str">
            <v>Yuengling Hershey's Chocolate Porter</v>
          </cell>
          <cell r="H791" t="str">
            <v>DG Yuengling Inc</v>
          </cell>
          <cell r="K791" t="str">
            <v>Package</v>
          </cell>
          <cell r="L791" t="str">
            <v>No</v>
          </cell>
        </row>
        <row r="792">
          <cell r="G792" t="str">
            <v>Yuengling Hershey's Chocolate Porter</v>
          </cell>
          <cell r="H792" t="str">
            <v>DG Yuengling Inc</v>
          </cell>
          <cell r="K792" t="str">
            <v>Package</v>
          </cell>
          <cell r="L792" t="str">
            <v>No</v>
          </cell>
        </row>
        <row r="793">
          <cell r="G793" t="str">
            <v>Yuengling Flight</v>
          </cell>
          <cell r="H793" t="str">
            <v>DG Yuengling Inc</v>
          </cell>
          <cell r="K793" t="str">
            <v>Draft</v>
          </cell>
          <cell r="L793" t="str">
            <v>Yes</v>
          </cell>
        </row>
        <row r="794">
          <cell r="G794" t="str">
            <v>Yuengling Flight</v>
          </cell>
          <cell r="H794" t="str">
            <v>DG Yuengling Inc</v>
          </cell>
          <cell r="K794" t="str">
            <v>Package</v>
          </cell>
          <cell r="L794" t="str">
            <v>Yes</v>
          </cell>
        </row>
        <row r="795">
          <cell r="G795" t="str">
            <v>Yuengling Flight</v>
          </cell>
          <cell r="H795" t="str">
            <v>DG Yuengling Inc</v>
          </cell>
          <cell r="K795" t="str">
            <v>Package</v>
          </cell>
          <cell r="L795" t="str">
            <v>Yes</v>
          </cell>
        </row>
        <row r="796">
          <cell r="G796" t="str">
            <v>Yuengling Flight</v>
          </cell>
          <cell r="H796" t="str">
            <v>DG Yuengling Inc</v>
          </cell>
          <cell r="K796" t="str">
            <v>Package</v>
          </cell>
          <cell r="L796" t="str">
            <v>No</v>
          </cell>
        </row>
        <row r="797">
          <cell r="G797" t="str">
            <v>Yuengling Flight</v>
          </cell>
          <cell r="H797" t="str">
            <v>DG Yuengling Inc</v>
          </cell>
          <cell r="K797" t="str">
            <v>Package</v>
          </cell>
          <cell r="L797" t="str">
            <v>Yes</v>
          </cell>
        </row>
        <row r="798">
          <cell r="G798" t="str">
            <v>Yuengling Flight</v>
          </cell>
          <cell r="H798" t="str">
            <v>DG Yuengling Inc</v>
          </cell>
          <cell r="K798" t="str">
            <v>Draft</v>
          </cell>
          <cell r="L798" t="str">
            <v>Yes</v>
          </cell>
        </row>
        <row r="799">
          <cell r="G799" t="str">
            <v>Yuengling Flight</v>
          </cell>
          <cell r="H799" t="str">
            <v>DG Yuengling Inc</v>
          </cell>
          <cell r="K799" t="str">
            <v>Package</v>
          </cell>
          <cell r="L799" t="str">
            <v>Yes</v>
          </cell>
        </row>
        <row r="800">
          <cell r="G800" t="str">
            <v>Sierra Nevada</v>
          </cell>
          <cell r="H800" t="str">
            <v>Sierra Nevada Brewing Company</v>
          </cell>
          <cell r="K800" t="str">
            <v>Package</v>
          </cell>
          <cell r="L800" t="str">
            <v>No</v>
          </cell>
        </row>
        <row r="801">
          <cell r="G801" t="str">
            <v>Sierra Nevada</v>
          </cell>
          <cell r="H801" t="str">
            <v>Sierra Nevada Brewing Company</v>
          </cell>
          <cell r="K801" t="str">
            <v>Package</v>
          </cell>
          <cell r="L801" t="str">
            <v>No</v>
          </cell>
        </row>
        <row r="802">
          <cell r="G802" t="str">
            <v>Sierra Nevada</v>
          </cell>
          <cell r="H802" t="str">
            <v>Sierra Nevada Brewing Company</v>
          </cell>
          <cell r="K802" t="str">
            <v>Draft</v>
          </cell>
          <cell r="L802" t="str">
            <v>No</v>
          </cell>
        </row>
        <row r="803">
          <cell r="G803" t="str">
            <v>Sierra Nevada</v>
          </cell>
          <cell r="H803" t="str">
            <v>Sierra Nevada Brewing Company</v>
          </cell>
          <cell r="K803" t="str">
            <v>Draft</v>
          </cell>
          <cell r="L803" t="str">
            <v>No</v>
          </cell>
        </row>
        <row r="804">
          <cell r="G804" t="str">
            <v>Sierra Nevada</v>
          </cell>
          <cell r="H804" t="str">
            <v>Sierra Nevada Brewing Company</v>
          </cell>
          <cell r="K804" t="str">
            <v>Package</v>
          </cell>
          <cell r="L804" t="str">
            <v>No</v>
          </cell>
        </row>
        <row r="805">
          <cell r="G805" t="str">
            <v>Sierra Nevada</v>
          </cell>
          <cell r="H805" t="str">
            <v>Sierra Nevada Brewing Company</v>
          </cell>
          <cell r="K805" t="str">
            <v>Package</v>
          </cell>
          <cell r="L805" t="str">
            <v>No</v>
          </cell>
        </row>
        <row r="806">
          <cell r="G806" t="str">
            <v>Sierra Nevada</v>
          </cell>
          <cell r="H806" t="str">
            <v>Sierra Nevada Brewing Company</v>
          </cell>
          <cell r="K806" t="str">
            <v>Draft</v>
          </cell>
          <cell r="L806" t="str">
            <v>No</v>
          </cell>
        </row>
        <row r="807">
          <cell r="G807" t="str">
            <v>Sierra Nevada</v>
          </cell>
          <cell r="H807" t="str">
            <v>Sierra Nevada Brewing Company</v>
          </cell>
          <cell r="K807" t="str">
            <v>Draft</v>
          </cell>
          <cell r="L807" t="str">
            <v>No</v>
          </cell>
        </row>
        <row r="808">
          <cell r="G808" t="str">
            <v>Yuengling Bongo Fizz</v>
          </cell>
          <cell r="H808" t="str">
            <v>DG Yuengling Inc</v>
          </cell>
          <cell r="K808" t="str">
            <v>Package</v>
          </cell>
          <cell r="L808" t="str">
            <v>No</v>
          </cell>
        </row>
        <row r="809">
          <cell r="G809" t="str">
            <v>Yuengling Flight</v>
          </cell>
          <cell r="H809" t="str">
            <v>DG Yuengling Inc</v>
          </cell>
          <cell r="K809" t="str">
            <v>Package</v>
          </cell>
          <cell r="L809" t="str">
            <v>Yes</v>
          </cell>
        </row>
        <row r="810">
          <cell r="G810" t="str">
            <v>Sierra Nevada</v>
          </cell>
          <cell r="H810" t="str">
            <v>Sierra Nevada Brewing Company</v>
          </cell>
          <cell r="K810" t="str">
            <v>Package</v>
          </cell>
          <cell r="L810" t="str">
            <v>Yes</v>
          </cell>
        </row>
        <row r="811">
          <cell r="G811" t="str">
            <v>Sierra Nevada</v>
          </cell>
          <cell r="H811" t="str">
            <v>Sierra Nevada Brewing Company</v>
          </cell>
          <cell r="K811" t="str">
            <v>Package</v>
          </cell>
          <cell r="L811" t="str">
            <v>Yes</v>
          </cell>
        </row>
        <row r="812">
          <cell r="G812" t="str">
            <v>Sierra Nevada</v>
          </cell>
          <cell r="H812" t="str">
            <v>Sierra Nevada Brewing Company</v>
          </cell>
          <cell r="K812" t="str">
            <v>Package</v>
          </cell>
          <cell r="L812" t="str">
            <v>Yes</v>
          </cell>
        </row>
        <row r="813">
          <cell r="G813" t="str">
            <v>Yuengling Lager</v>
          </cell>
          <cell r="H813" t="str">
            <v>DG Yuengling Inc</v>
          </cell>
          <cell r="K813" t="str">
            <v>Package</v>
          </cell>
          <cell r="L813" t="str">
            <v>Yes</v>
          </cell>
        </row>
        <row r="814">
          <cell r="G814" t="str">
            <v>Yuengling Oktoberfest</v>
          </cell>
          <cell r="H814" t="str">
            <v>DG Yuengling Inc</v>
          </cell>
          <cell r="K814" t="str">
            <v>Package</v>
          </cell>
          <cell r="L814" t="str">
            <v>Yes</v>
          </cell>
        </row>
        <row r="815">
          <cell r="G815" t="str">
            <v>Shiner</v>
          </cell>
          <cell r="H815" t="str">
            <v>Gambrinus Imports</v>
          </cell>
          <cell r="K815" t="str">
            <v>Package</v>
          </cell>
          <cell r="L815" t="str">
            <v>No</v>
          </cell>
        </row>
        <row r="816">
          <cell r="G816" t="str">
            <v>Shiner</v>
          </cell>
          <cell r="H816" t="str">
            <v>Gambrinus Imports</v>
          </cell>
          <cell r="K816" t="str">
            <v>Package</v>
          </cell>
          <cell r="L816" t="str">
            <v>No</v>
          </cell>
        </row>
        <row r="817">
          <cell r="G817" t="str">
            <v>Shiner</v>
          </cell>
          <cell r="H817" t="str">
            <v>Gambrinus Imports</v>
          </cell>
          <cell r="K817" t="str">
            <v>Draft</v>
          </cell>
          <cell r="L817" t="str">
            <v>No</v>
          </cell>
        </row>
        <row r="818">
          <cell r="G818" t="str">
            <v>Shiner</v>
          </cell>
          <cell r="H818" t="str">
            <v>Gambrinus Imports</v>
          </cell>
          <cell r="K818" t="str">
            <v>Package</v>
          </cell>
          <cell r="L818" t="str">
            <v>No</v>
          </cell>
        </row>
        <row r="819">
          <cell r="G819" t="str">
            <v>Shiner</v>
          </cell>
          <cell r="H819" t="str">
            <v>Gambrinus Imports</v>
          </cell>
          <cell r="K819" t="str">
            <v>Package</v>
          </cell>
          <cell r="L819" t="str">
            <v>Yes</v>
          </cell>
        </row>
        <row r="820">
          <cell r="G820" t="str">
            <v>Shiner</v>
          </cell>
          <cell r="H820" t="str">
            <v>Gambrinus Imports</v>
          </cell>
          <cell r="K820" t="str">
            <v>Draft</v>
          </cell>
          <cell r="L820" t="str">
            <v>Yes</v>
          </cell>
        </row>
        <row r="821">
          <cell r="G821" t="str">
            <v>Shiner</v>
          </cell>
          <cell r="H821" t="str">
            <v>Gambrinus Imports</v>
          </cell>
          <cell r="K821" t="str">
            <v>Package</v>
          </cell>
          <cell r="L821" t="str">
            <v>Yes</v>
          </cell>
        </row>
        <row r="822">
          <cell r="G822" t="str">
            <v>Shiner</v>
          </cell>
          <cell r="H822" t="str">
            <v>Gambrinus Imports</v>
          </cell>
          <cell r="K822" t="str">
            <v>Draft</v>
          </cell>
          <cell r="L822" t="str">
            <v>Yes</v>
          </cell>
        </row>
        <row r="823">
          <cell r="G823" t="str">
            <v>Shiner</v>
          </cell>
          <cell r="H823" t="str">
            <v>Gambrinus Imports</v>
          </cell>
          <cell r="K823" t="str">
            <v>Draft</v>
          </cell>
          <cell r="L823" t="str">
            <v>Yes</v>
          </cell>
        </row>
        <row r="824">
          <cell r="G824" t="str">
            <v>Shiner</v>
          </cell>
          <cell r="H824" t="str">
            <v>Gambrinus Imports</v>
          </cell>
          <cell r="K824" t="str">
            <v>Draft</v>
          </cell>
          <cell r="L824" t="str">
            <v>Yes</v>
          </cell>
        </row>
        <row r="825">
          <cell r="G825" t="str">
            <v>Shiner</v>
          </cell>
          <cell r="H825" t="str">
            <v>Gambrinus Imports</v>
          </cell>
          <cell r="K825" t="str">
            <v>Draft</v>
          </cell>
          <cell r="L825" t="str">
            <v>No</v>
          </cell>
        </row>
        <row r="826">
          <cell r="G826" t="str">
            <v>Shiner</v>
          </cell>
          <cell r="H826" t="str">
            <v>Gambrinus Imports</v>
          </cell>
          <cell r="K826" t="str">
            <v>Draft</v>
          </cell>
          <cell r="L826" t="str">
            <v>Yes</v>
          </cell>
        </row>
        <row r="827">
          <cell r="G827" t="str">
            <v>Shiner</v>
          </cell>
          <cell r="H827" t="str">
            <v>Gambrinus Imports</v>
          </cell>
          <cell r="K827" t="str">
            <v>Package</v>
          </cell>
          <cell r="L827" t="str">
            <v>Yes</v>
          </cell>
        </row>
        <row r="828">
          <cell r="G828" t="str">
            <v>Shiner</v>
          </cell>
          <cell r="H828" t="str">
            <v>Gambrinus Imports</v>
          </cell>
          <cell r="K828" t="str">
            <v>Package</v>
          </cell>
          <cell r="L828" t="str">
            <v>Yes</v>
          </cell>
        </row>
        <row r="829">
          <cell r="G829" t="str">
            <v>Shiner</v>
          </cell>
          <cell r="H829" t="str">
            <v>Gambrinus Imports</v>
          </cell>
          <cell r="K829" t="str">
            <v>Package</v>
          </cell>
          <cell r="L829" t="str">
            <v>Yes</v>
          </cell>
        </row>
        <row r="830">
          <cell r="G830" t="str">
            <v>Shiner</v>
          </cell>
          <cell r="H830" t="str">
            <v>Gambrinus Imports</v>
          </cell>
          <cell r="K830" t="str">
            <v>Package</v>
          </cell>
          <cell r="L830" t="str">
            <v>Yes</v>
          </cell>
        </row>
        <row r="831">
          <cell r="G831" t="str">
            <v>Shiner</v>
          </cell>
          <cell r="H831" t="str">
            <v>Gambrinus Imports</v>
          </cell>
          <cell r="K831" t="str">
            <v>Package</v>
          </cell>
          <cell r="L831" t="str">
            <v>No</v>
          </cell>
        </row>
        <row r="832">
          <cell r="G832" t="str">
            <v>Shiner</v>
          </cell>
          <cell r="H832" t="str">
            <v>Gambrinus Imports</v>
          </cell>
          <cell r="K832" t="str">
            <v>Package</v>
          </cell>
          <cell r="L832" t="str">
            <v>Yes</v>
          </cell>
        </row>
        <row r="833">
          <cell r="G833" t="str">
            <v>Shiner</v>
          </cell>
          <cell r="H833" t="str">
            <v>Gambrinus Imports</v>
          </cell>
          <cell r="K833" t="str">
            <v>Package</v>
          </cell>
          <cell r="L833" t="str">
            <v>No</v>
          </cell>
        </row>
        <row r="834">
          <cell r="G834" t="str">
            <v>Shiner</v>
          </cell>
          <cell r="H834" t="str">
            <v>Gambrinus Imports</v>
          </cell>
          <cell r="K834" t="str">
            <v>Package</v>
          </cell>
          <cell r="L834" t="str">
            <v>Yes</v>
          </cell>
        </row>
        <row r="835">
          <cell r="G835" t="str">
            <v>Shiner</v>
          </cell>
          <cell r="H835" t="str">
            <v>Gambrinus Imports</v>
          </cell>
          <cell r="K835" t="str">
            <v>Package</v>
          </cell>
          <cell r="L835" t="str">
            <v>Yes</v>
          </cell>
        </row>
        <row r="836">
          <cell r="G836" t="str">
            <v>Shiner</v>
          </cell>
          <cell r="H836" t="str">
            <v>Gambrinus Imports</v>
          </cell>
          <cell r="K836" t="str">
            <v>Package</v>
          </cell>
          <cell r="L836" t="str">
            <v>Yes</v>
          </cell>
        </row>
        <row r="837">
          <cell r="G837" t="str">
            <v>Shiner</v>
          </cell>
          <cell r="H837" t="str">
            <v>Gambrinus Imports</v>
          </cell>
          <cell r="K837" t="str">
            <v>Package</v>
          </cell>
          <cell r="L837" t="str">
            <v>No</v>
          </cell>
        </row>
        <row r="838">
          <cell r="G838" t="str">
            <v>Shiner</v>
          </cell>
          <cell r="H838" t="str">
            <v>Gambrinus Imports</v>
          </cell>
          <cell r="K838" t="str">
            <v>Package</v>
          </cell>
          <cell r="L838" t="str">
            <v>No</v>
          </cell>
        </row>
        <row r="839">
          <cell r="G839" t="str">
            <v>Shiner</v>
          </cell>
          <cell r="H839" t="str">
            <v>Gambrinus Imports</v>
          </cell>
          <cell r="K839" t="str">
            <v>Package</v>
          </cell>
          <cell r="L839" t="str">
            <v>Yes</v>
          </cell>
        </row>
        <row r="840">
          <cell r="G840" t="str">
            <v>Shiner</v>
          </cell>
          <cell r="H840" t="str">
            <v>Gambrinus Imports</v>
          </cell>
          <cell r="K840" t="str">
            <v>Package</v>
          </cell>
          <cell r="L840" t="str">
            <v>Yes</v>
          </cell>
        </row>
        <row r="841">
          <cell r="G841" t="str">
            <v>Victory</v>
          </cell>
          <cell r="H841" t="str">
            <v>Victory Brewing Company</v>
          </cell>
          <cell r="K841" t="str">
            <v>Draft</v>
          </cell>
          <cell r="L841" t="str">
            <v>Yes</v>
          </cell>
        </row>
        <row r="842">
          <cell r="G842" t="str">
            <v>Victory</v>
          </cell>
          <cell r="H842" t="str">
            <v>Victory Brewing Company</v>
          </cell>
          <cell r="K842" t="str">
            <v>Draft</v>
          </cell>
          <cell r="L842" t="str">
            <v>Yes</v>
          </cell>
        </row>
        <row r="843">
          <cell r="G843" t="str">
            <v>Victory</v>
          </cell>
          <cell r="H843" t="str">
            <v>Victory Brewing Company</v>
          </cell>
          <cell r="K843" t="str">
            <v>Draft</v>
          </cell>
          <cell r="L843" t="str">
            <v>Yes</v>
          </cell>
        </row>
        <row r="844">
          <cell r="G844" t="str">
            <v>Victory</v>
          </cell>
          <cell r="H844" t="str">
            <v>Victory Brewing Company</v>
          </cell>
          <cell r="K844" t="str">
            <v>Draft</v>
          </cell>
          <cell r="L844" t="str">
            <v>Yes</v>
          </cell>
        </row>
        <row r="845">
          <cell r="G845" t="str">
            <v>Victory</v>
          </cell>
          <cell r="H845" t="str">
            <v>Victory Brewing Company</v>
          </cell>
          <cell r="K845" t="str">
            <v>Draft</v>
          </cell>
          <cell r="L845" t="str">
            <v>Yes</v>
          </cell>
        </row>
        <row r="846">
          <cell r="G846" t="str">
            <v>Victory</v>
          </cell>
          <cell r="H846" t="str">
            <v>Victory Brewing Company</v>
          </cell>
          <cell r="K846" t="str">
            <v>Draft</v>
          </cell>
          <cell r="L846" t="str">
            <v>No</v>
          </cell>
        </row>
        <row r="847">
          <cell r="G847" t="str">
            <v>Victory</v>
          </cell>
          <cell r="H847" t="str">
            <v>Victory Brewing Company</v>
          </cell>
          <cell r="K847" t="str">
            <v>Draft</v>
          </cell>
          <cell r="L847" t="str">
            <v>No</v>
          </cell>
        </row>
        <row r="848">
          <cell r="G848" t="str">
            <v>Monkey Family</v>
          </cell>
          <cell r="H848" t="str">
            <v>Victory Brewing Company</v>
          </cell>
          <cell r="K848" t="str">
            <v>Draft</v>
          </cell>
          <cell r="L848" t="str">
            <v>Yes</v>
          </cell>
        </row>
        <row r="849">
          <cell r="G849" t="str">
            <v>Monkey Family</v>
          </cell>
          <cell r="H849" t="str">
            <v>Victory Brewing Company</v>
          </cell>
          <cell r="K849" t="str">
            <v>Draft</v>
          </cell>
          <cell r="L849" t="str">
            <v>Yes</v>
          </cell>
        </row>
        <row r="850">
          <cell r="G850" t="str">
            <v>Victory</v>
          </cell>
          <cell r="H850" t="str">
            <v>Victory Brewing Company</v>
          </cell>
          <cell r="K850" t="str">
            <v>Draft</v>
          </cell>
          <cell r="L850" t="str">
            <v>No</v>
          </cell>
        </row>
        <row r="851">
          <cell r="G851" t="str">
            <v>Victory</v>
          </cell>
          <cell r="H851" t="str">
            <v>Victory Brewing Company</v>
          </cell>
          <cell r="K851" t="str">
            <v>Draft</v>
          </cell>
          <cell r="L851" t="str">
            <v>No</v>
          </cell>
        </row>
        <row r="852">
          <cell r="G852" t="str">
            <v>Victory</v>
          </cell>
          <cell r="H852" t="str">
            <v>Victory Brewing Company</v>
          </cell>
          <cell r="K852" t="str">
            <v>Draft</v>
          </cell>
          <cell r="L852" t="str">
            <v>Yes</v>
          </cell>
        </row>
        <row r="853">
          <cell r="G853" t="str">
            <v>Victory</v>
          </cell>
          <cell r="H853" t="str">
            <v>Victory Brewing Company</v>
          </cell>
          <cell r="K853" t="str">
            <v>Draft</v>
          </cell>
          <cell r="L853" t="str">
            <v>Yes</v>
          </cell>
        </row>
        <row r="854">
          <cell r="G854" t="str">
            <v>Monkey Family</v>
          </cell>
          <cell r="H854" t="str">
            <v>Victory Brewing Company</v>
          </cell>
          <cell r="K854" t="str">
            <v>Draft</v>
          </cell>
          <cell r="L854" t="str">
            <v>No</v>
          </cell>
        </row>
        <row r="855">
          <cell r="G855" t="str">
            <v>Monkey Family</v>
          </cell>
          <cell r="H855" t="str">
            <v>Victory Brewing Company</v>
          </cell>
          <cell r="K855" t="str">
            <v>Draft</v>
          </cell>
          <cell r="L855" t="str">
            <v>Yes</v>
          </cell>
        </row>
        <row r="856">
          <cell r="G856" t="str">
            <v>Victory</v>
          </cell>
          <cell r="H856" t="str">
            <v>Victory Brewing Company</v>
          </cell>
          <cell r="K856" t="str">
            <v>Draft</v>
          </cell>
          <cell r="L856" t="str">
            <v>No</v>
          </cell>
        </row>
        <row r="857">
          <cell r="G857" t="str">
            <v>Victory</v>
          </cell>
          <cell r="H857" t="str">
            <v>Victory Brewing Company</v>
          </cell>
          <cell r="K857" t="str">
            <v>Draft</v>
          </cell>
          <cell r="L857" t="str">
            <v>No</v>
          </cell>
        </row>
        <row r="858">
          <cell r="G858" t="str">
            <v>Victory</v>
          </cell>
          <cell r="H858" t="str">
            <v>Victory Brewing Company</v>
          </cell>
          <cell r="K858" t="str">
            <v>Draft</v>
          </cell>
          <cell r="L858" t="str">
            <v>No</v>
          </cell>
        </row>
        <row r="859">
          <cell r="G859" t="str">
            <v>Victory</v>
          </cell>
          <cell r="H859" t="str">
            <v>Victory Brewing Company</v>
          </cell>
          <cell r="K859" t="str">
            <v>Draft</v>
          </cell>
          <cell r="L859" t="str">
            <v>Yes</v>
          </cell>
        </row>
        <row r="860">
          <cell r="G860" t="str">
            <v>Victory</v>
          </cell>
          <cell r="H860" t="str">
            <v>Victory Brewing Company</v>
          </cell>
          <cell r="K860" t="str">
            <v>Package</v>
          </cell>
          <cell r="L860" t="str">
            <v>No</v>
          </cell>
        </row>
        <row r="861">
          <cell r="G861" t="str">
            <v>Victory</v>
          </cell>
          <cell r="H861" t="str">
            <v>Victory Brewing Company</v>
          </cell>
          <cell r="K861" t="str">
            <v>Package</v>
          </cell>
          <cell r="L861" t="str">
            <v>No</v>
          </cell>
        </row>
        <row r="862">
          <cell r="G862" t="str">
            <v>Victory</v>
          </cell>
          <cell r="H862" t="str">
            <v>Victory Brewing Company</v>
          </cell>
          <cell r="K862" t="str">
            <v>Package</v>
          </cell>
          <cell r="L862" t="str">
            <v>No</v>
          </cell>
        </row>
        <row r="863">
          <cell r="G863" t="str">
            <v>Monkey Family</v>
          </cell>
          <cell r="H863" t="str">
            <v>Victory Brewing Company</v>
          </cell>
          <cell r="K863" t="str">
            <v>Package</v>
          </cell>
          <cell r="L863" t="str">
            <v>No</v>
          </cell>
        </row>
        <row r="864">
          <cell r="G864" t="str">
            <v>Monkey Family</v>
          </cell>
          <cell r="H864" t="str">
            <v>Victory Brewing Company</v>
          </cell>
          <cell r="K864" t="str">
            <v>Package</v>
          </cell>
          <cell r="L864" t="str">
            <v>No</v>
          </cell>
        </row>
        <row r="865">
          <cell r="G865" t="str">
            <v>Victory</v>
          </cell>
          <cell r="H865" t="str">
            <v>Victory Brewing Company</v>
          </cell>
          <cell r="K865" t="str">
            <v>Package</v>
          </cell>
          <cell r="L865" t="str">
            <v>No</v>
          </cell>
        </row>
        <row r="866">
          <cell r="G866" t="str">
            <v>Monkey Family</v>
          </cell>
          <cell r="H866" t="str">
            <v>Victory Brewing Company</v>
          </cell>
          <cell r="K866" t="str">
            <v>Package</v>
          </cell>
          <cell r="L866" t="str">
            <v>Yes</v>
          </cell>
        </row>
        <row r="867">
          <cell r="G867" t="str">
            <v>Monkey Family</v>
          </cell>
          <cell r="H867" t="str">
            <v>Victory Brewing Company</v>
          </cell>
          <cell r="K867" t="str">
            <v>Package</v>
          </cell>
          <cell r="L867" t="str">
            <v>Yes</v>
          </cell>
        </row>
        <row r="868">
          <cell r="G868" t="str">
            <v>Monkey Family</v>
          </cell>
          <cell r="H868" t="str">
            <v>Victory Brewing Company</v>
          </cell>
          <cell r="K868" t="str">
            <v>Package</v>
          </cell>
          <cell r="L868" t="str">
            <v>Yes</v>
          </cell>
        </row>
        <row r="869">
          <cell r="G869" t="str">
            <v>Victory</v>
          </cell>
          <cell r="H869" t="str">
            <v>Victory Brewing Company</v>
          </cell>
          <cell r="K869" t="str">
            <v>Package</v>
          </cell>
          <cell r="L869" t="str">
            <v>No</v>
          </cell>
        </row>
        <row r="870">
          <cell r="G870" t="str">
            <v>Monkey Family</v>
          </cell>
          <cell r="H870" t="str">
            <v>Victory Brewing Company</v>
          </cell>
          <cell r="K870" t="str">
            <v>Package</v>
          </cell>
          <cell r="L870" t="str">
            <v>Yes</v>
          </cell>
        </row>
        <row r="871">
          <cell r="G871" t="str">
            <v>Victory</v>
          </cell>
          <cell r="H871" t="str">
            <v>Victory Brewing Company</v>
          </cell>
          <cell r="K871" t="str">
            <v>Package</v>
          </cell>
          <cell r="L871" t="str">
            <v>No</v>
          </cell>
        </row>
        <row r="872">
          <cell r="G872" t="str">
            <v>Victory</v>
          </cell>
          <cell r="H872" t="str">
            <v>Victory Brewing Company</v>
          </cell>
          <cell r="K872" t="str">
            <v>Package</v>
          </cell>
          <cell r="L872" t="str">
            <v>Yes</v>
          </cell>
        </row>
        <row r="873">
          <cell r="G873" t="str">
            <v>Victory</v>
          </cell>
          <cell r="H873" t="str">
            <v>Victory Brewing Company</v>
          </cell>
          <cell r="K873" t="str">
            <v>Package</v>
          </cell>
          <cell r="L873" t="str">
            <v>Yes</v>
          </cell>
        </row>
        <row r="874">
          <cell r="G874" t="str">
            <v>Victory</v>
          </cell>
          <cell r="H874" t="str">
            <v>Victory Brewing Company</v>
          </cell>
          <cell r="K874" t="str">
            <v>Package</v>
          </cell>
          <cell r="L874" t="str">
            <v>No</v>
          </cell>
        </row>
        <row r="875">
          <cell r="G875" t="str">
            <v>Victory</v>
          </cell>
          <cell r="H875" t="str">
            <v>Victory Brewing Company</v>
          </cell>
          <cell r="K875" t="str">
            <v>Package</v>
          </cell>
          <cell r="L875" t="str">
            <v>No</v>
          </cell>
        </row>
        <row r="876">
          <cell r="G876" t="str">
            <v>Shiner</v>
          </cell>
          <cell r="H876" t="str">
            <v>Gambrinus Imports</v>
          </cell>
          <cell r="K876" t="str">
            <v>Package</v>
          </cell>
          <cell r="L876" t="str">
            <v>No</v>
          </cell>
        </row>
        <row r="877">
          <cell r="G877" t="str">
            <v>Monkey Family</v>
          </cell>
          <cell r="H877" t="str">
            <v>Victory Brewing Company</v>
          </cell>
          <cell r="K877" t="str">
            <v>Package</v>
          </cell>
          <cell r="L877" t="str">
            <v>Yes</v>
          </cell>
        </row>
        <row r="878">
          <cell r="G878" t="str">
            <v>Shiner</v>
          </cell>
          <cell r="H878" t="str">
            <v>Gambrinus Imports</v>
          </cell>
          <cell r="K878" t="str">
            <v>Package</v>
          </cell>
          <cell r="L878" t="str">
            <v>Yes</v>
          </cell>
        </row>
        <row r="879">
          <cell r="G879" t="str">
            <v>Shiner</v>
          </cell>
          <cell r="H879" t="str">
            <v>Gambrinus Imports</v>
          </cell>
          <cell r="K879" t="str">
            <v>Package</v>
          </cell>
          <cell r="L879" t="str">
            <v>No</v>
          </cell>
        </row>
        <row r="880">
          <cell r="G880" t="str">
            <v>Shiner</v>
          </cell>
          <cell r="H880" t="str">
            <v>Gambrinus Imports</v>
          </cell>
          <cell r="K880" t="str">
            <v>Package</v>
          </cell>
          <cell r="L880" t="str">
            <v>No</v>
          </cell>
        </row>
        <row r="881">
          <cell r="G881" t="str">
            <v>Victory</v>
          </cell>
          <cell r="H881" t="str">
            <v>Victory Brewing Company</v>
          </cell>
          <cell r="K881" t="str">
            <v>Package</v>
          </cell>
          <cell r="L881" t="str">
            <v>No</v>
          </cell>
        </row>
        <row r="882">
          <cell r="G882" t="str">
            <v>Ithaca</v>
          </cell>
          <cell r="H882" t="str">
            <v>Ithaca</v>
          </cell>
          <cell r="K882" t="str">
            <v>Package</v>
          </cell>
          <cell r="L882" t="str">
            <v>Yes</v>
          </cell>
        </row>
        <row r="883">
          <cell r="G883" t="str">
            <v>Ithaca</v>
          </cell>
          <cell r="H883" t="str">
            <v>Ithaca</v>
          </cell>
          <cell r="K883" t="str">
            <v>Package</v>
          </cell>
          <cell r="L883" t="str">
            <v>Yes</v>
          </cell>
        </row>
        <row r="884">
          <cell r="G884" t="str">
            <v>Ithaca</v>
          </cell>
          <cell r="H884" t="str">
            <v>Ithaca</v>
          </cell>
          <cell r="K884" t="str">
            <v>Draft</v>
          </cell>
          <cell r="L884" t="str">
            <v>No</v>
          </cell>
        </row>
        <row r="885">
          <cell r="G885" t="str">
            <v>Ithaca</v>
          </cell>
          <cell r="H885" t="str">
            <v>Ithaca</v>
          </cell>
          <cell r="K885" t="str">
            <v>Draft</v>
          </cell>
          <cell r="L885" t="str">
            <v>Yes</v>
          </cell>
        </row>
        <row r="886">
          <cell r="G886" t="str">
            <v>Ithaca</v>
          </cell>
          <cell r="H886" t="str">
            <v>Ithaca</v>
          </cell>
          <cell r="K886" t="str">
            <v>Draft</v>
          </cell>
          <cell r="L886" t="str">
            <v>Yes</v>
          </cell>
        </row>
        <row r="887">
          <cell r="G887" t="str">
            <v>Ithaca</v>
          </cell>
          <cell r="H887" t="str">
            <v>Ithaca</v>
          </cell>
          <cell r="K887" t="str">
            <v>Draft</v>
          </cell>
          <cell r="L887" t="str">
            <v>Yes</v>
          </cell>
        </row>
        <row r="888">
          <cell r="G888" t="str">
            <v>Ithaca</v>
          </cell>
          <cell r="H888" t="str">
            <v>Ithaca</v>
          </cell>
          <cell r="K888" t="str">
            <v>Package</v>
          </cell>
          <cell r="L888" t="str">
            <v>No</v>
          </cell>
        </row>
        <row r="889">
          <cell r="G889" t="str">
            <v>Ithaca</v>
          </cell>
          <cell r="H889" t="str">
            <v>Ithaca</v>
          </cell>
          <cell r="K889" t="str">
            <v>Package</v>
          </cell>
          <cell r="L889" t="str">
            <v>No</v>
          </cell>
        </row>
        <row r="890">
          <cell r="G890" t="str">
            <v>Ithaca</v>
          </cell>
          <cell r="H890" t="str">
            <v>Ithaca</v>
          </cell>
          <cell r="K890" t="str">
            <v>Draft</v>
          </cell>
          <cell r="L890" t="str">
            <v>No</v>
          </cell>
        </row>
        <row r="891">
          <cell r="G891" t="str">
            <v>Ithaca</v>
          </cell>
          <cell r="H891" t="str">
            <v>Ithaca</v>
          </cell>
          <cell r="K891" t="str">
            <v>Package</v>
          </cell>
          <cell r="L891" t="str">
            <v>No</v>
          </cell>
        </row>
        <row r="892">
          <cell r="G892" t="str">
            <v>Ithaca</v>
          </cell>
          <cell r="H892" t="str">
            <v>Ithaca</v>
          </cell>
          <cell r="K892" t="str">
            <v>Package</v>
          </cell>
          <cell r="L892" t="str">
            <v>No</v>
          </cell>
        </row>
        <row r="893">
          <cell r="G893" t="str">
            <v>Ithaca</v>
          </cell>
          <cell r="H893" t="str">
            <v>Ithaca</v>
          </cell>
          <cell r="K893" t="str">
            <v>Draft</v>
          </cell>
          <cell r="L893" t="str">
            <v>No</v>
          </cell>
        </row>
        <row r="894">
          <cell r="G894" t="str">
            <v>Ithaca</v>
          </cell>
          <cell r="H894" t="str">
            <v>Ithaca</v>
          </cell>
          <cell r="K894" t="str">
            <v>Package</v>
          </cell>
          <cell r="L894" t="str">
            <v>No</v>
          </cell>
        </row>
        <row r="895">
          <cell r="G895" t="str">
            <v>Ithaca</v>
          </cell>
          <cell r="H895" t="str">
            <v>Ithaca</v>
          </cell>
          <cell r="K895" t="str">
            <v>Package</v>
          </cell>
          <cell r="L895" t="str">
            <v>No</v>
          </cell>
        </row>
        <row r="896">
          <cell r="G896" t="str">
            <v>Ithaca</v>
          </cell>
          <cell r="H896" t="str">
            <v>Ithaca</v>
          </cell>
          <cell r="K896" t="str">
            <v>Package</v>
          </cell>
          <cell r="L896" t="str">
            <v>No</v>
          </cell>
        </row>
        <row r="897">
          <cell r="G897" t="str">
            <v>Ithaca</v>
          </cell>
          <cell r="H897" t="str">
            <v>Ithaca</v>
          </cell>
          <cell r="K897" t="str">
            <v>Package</v>
          </cell>
          <cell r="L897" t="str">
            <v>No</v>
          </cell>
        </row>
        <row r="898">
          <cell r="G898" t="str">
            <v>Ithaca</v>
          </cell>
          <cell r="H898" t="str">
            <v>Ithaca</v>
          </cell>
          <cell r="K898" t="str">
            <v>Draft</v>
          </cell>
          <cell r="L898" t="str">
            <v>No</v>
          </cell>
        </row>
        <row r="899">
          <cell r="G899" t="str">
            <v>Cricket Hill</v>
          </cell>
          <cell r="H899" t="str">
            <v>Cricket Hill</v>
          </cell>
          <cell r="K899" t="str">
            <v>Draft</v>
          </cell>
          <cell r="L899" t="str">
            <v>No</v>
          </cell>
        </row>
        <row r="900">
          <cell r="G900" t="str">
            <v>Cricket Hill</v>
          </cell>
          <cell r="H900" t="str">
            <v>Cricket Hill</v>
          </cell>
          <cell r="K900" t="str">
            <v>Draft</v>
          </cell>
          <cell r="L900" t="str">
            <v>No</v>
          </cell>
        </row>
        <row r="901">
          <cell r="G901" t="str">
            <v>Cricket Hill</v>
          </cell>
          <cell r="H901" t="str">
            <v>Cricket Hill</v>
          </cell>
          <cell r="K901" t="str">
            <v>Draft</v>
          </cell>
          <cell r="L901" t="str">
            <v>No</v>
          </cell>
        </row>
        <row r="902">
          <cell r="G902" t="str">
            <v>Cricket Hill</v>
          </cell>
          <cell r="H902" t="str">
            <v>Cricket Hill</v>
          </cell>
          <cell r="K902" t="str">
            <v>Draft</v>
          </cell>
          <cell r="L902" t="str">
            <v>No</v>
          </cell>
        </row>
        <row r="903">
          <cell r="G903" t="str">
            <v>Cricket Hill</v>
          </cell>
          <cell r="H903" t="str">
            <v>Cricket Hill</v>
          </cell>
          <cell r="K903" t="str">
            <v>Draft</v>
          </cell>
          <cell r="L903" t="str">
            <v>No</v>
          </cell>
        </row>
        <row r="904">
          <cell r="G904" t="str">
            <v>Cricket Hill</v>
          </cell>
          <cell r="H904" t="str">
            <v>Cricket Hill</v>
          </cell>
          <cell r="K904" t="str">
            <v>Draft</v>
          </cell>
          <cell r="L904" t="str">
            <v>No</v>
          </cell>
        </row>
        <row r="905">
          <cell r="G905" t="str">
            <v>Cricket Hill</v>
          </cell>
          <cell r="H905" t="str">
            <v>Cricket Hill</v>
          </cell>
          <cell r="K905" t="str">
            <v>Draft</v>
          </cell>
          <cell r="L905" t="str">
            <v>No</v>
          </cell>
        </row>
        <row r="906">
          <cell r="G906" t="str">
            <v>Cricket Hill</v>
          </cell>
          <cell r="H906" t="str">
            <v>Cricket Hill</v>
          </cell>
          <cell r="K906" t="str">
            <v>Draft</v>
          </cell>
          <cell r="L906" t="str">
            <v>No</v>
          </cell>
        </row>
        <row r="907">
          <cell r="G907" t="str">
            <v>Cricket Hill</v>
          </cell>
          <cell r="H907" t="str">
            <v>Cricket Hill</v>
          </cell>
          <cell r="K907" t="str">
            <v>Draft</v>
          </cell>
          <cell r="L907" t="str">
            <v>No</v>
          </cell>
        </row>
        <row r="908">
          <cell r="G908" t="str">
            <v>Cricket Hill</v>
          </cell>
          <cell r="H908" t="str">
            <v>Cricket Hill</v>
          </cell>
          <cell r="K908" t="str">
            <v>Draft</v>
          </cell>
          <cell r="L908" t="str">
            <v>No</v>
          </cell>
        </row>
        <row r="909">
          <cell r="G909" t="str">
            <v>Cricket Hill</v>
          </cell>
          <cell r="H909" t="str">
            <v>Cricket Hill</v>
          </cell>
          <cell r="K909" t="str">
            <v>Draft</v>
          </cell>
          <cell r="L909" t="str">
            <v>No</v>
          </cell>
        </row>
        <row r="910">
          <cell r="G910" t="str">
            <v>Cricket Hill</v>
          </cell>
          <cell r="H910" t="str">
            <v>Cricket Hill</v>
          </cell>
          <cell r="K910" t="str">
            <v>Draft</v>
          </cell>
          <cell r="L910" t="str">
            <v>No</v>
          </cell>
        </row>
        <row r="911">
          <cell r="G911" t="str">
            <v>Cricket Hill</v>
          </cell>
          <cell r="H911" t="str">
            <v>Cricket Hill</v>
          </cell>
          <cell r="K911" t="str">
            <v>Package</v>
          </cell>
          <cell r="L911" t="str">
            <v>No</v>
          </cell>
        </row>
        <row r="912">
          <cell r="G912" t="str">
            <v>Cricket Hill</v>
          </cell>
          <cell r="H912" t="str">
            <v>Cricket Hill</v>
          </cell>
          <cell r="K912" t="str">
            <v>Package</v>
          </cell>
          <cell r="L912" t="str">
            <v>No</v>
          </cell>
        </row>
        <row r="913">
          <cell r="G913" t="str">
            <v>Cricket Hill</v>
          </cell>
          <cell r="H913" t="str">
            <v>Cricket Hill</v>
          </cell>
          <cell r="K913" t="str">
            <v>Draft</v>
          </cell>
          <cell r="L913" t="str">
            <v>No</v>
          </cell>
        </row>
        <row r="914">
          <cell r="G914" t="str">
            <v>Cricket Hill</v>
          </cell>
          <cell r="H914" t="str">
            <v>Cricket Hill</v>
          </cell>
          <cell r="K914" t="str">
            <v>Draft</v>
          </cell>
          <cell r="L914" t="str">
            <v>No</v>
          </cell>
        </row>
        <row r="915">
          <cell r="G915" t="str">
            <v>Cricket Hill</v>
          </cell>
          <cell r="H915" t="str">
            <v>Cricket Hill</v>
          </cell>
          <cell r="K915" t="str">
            <v>Draft</v>
          </cell>
          <cell r="L915" t="str">
            <v>No</v>
          </cell>
        </row>
        <row r="916">
          <cell r="G916" t="str">
            <v>Cricket Hill</v>
          </cell>
          <cell r="H916" t="str">
            <v>Cricket Hill</v>
          </cell>
          <cell r="K916" t="str">
            <v>Draft</v>
          </cell>
          <cell r="L916" t="str">
            <v>No</v>
          </cell>
        </row>
        <row r="917">
          <cell r="G917" t="str">
            <v>Cricket Hill</v>
          </cell>
          <cell r="H917" t="str">
            <v>Cricket Hill</v>
          </cell>
          <cell r="K917" t="str">
            <v>Draft</v>
          </cell>
          <cell r="L917" t="str">
            <v>No</v>
          </cell>
        </row>
        <row r="918">
          <cell r="G918" t="str">
            <v>Cricket Hill</v>
          </cell>
          <cell r="H918" t="str">
            <v>Cricket Hill</v>
          </cell>
          <cell r="K918" t="str">
            <v>Draft</v>
          </cell>
          <cell r="L918" t="str">
            <v>No</v>
          </cell>
        </row>
        <row r="919">
          <cell r="G919" t="str">
            <v>Cricket Hill</v>
          </cell>
          <cell r="H919" t="str">
            <v>Cricket Hill</v>
          </cell>
          <cell r="K919" t="str">
            <v>Draft</v>
          </cell>
          <cell r="L919" t="str">
            <v>No</v>
          </cell>
        </row>
        <row r="920">
          <cell r="G920" t="str">
            <v>Cricket Hill</v>
          </cell>
          <cell r="H920" t="str">
            <v>Cricket Hill</v>
          </cell>
          <cell r="K920" t="str">
            <v>Draft</v>
          </cell>
          <cell r="L920" t="str">
            <v>No</v>
          </cell>
        </row>
        <row r="921">
          <cell r="G921" t="str">
            <v>Cricket Hill</v>
          </cell>
          <cell r="H921" t="str">
            <v>Cricket Hill</v>
          </cell>
          <cell r="K921" t="str">
            <v>Draft</v>
          </cell>
          <cell r="L921" t="str">
            <v>No</v>
          </cell>
        </row>
        <row r="922">
          <cell r="G922" t="str">
            <v>Cricket Hill</v>
          </cell>
          <cell r="H922" t="str">
            <v>Cricket Hill</v>
          </cell>
          <cell r="K922" t="str">
            <v>Package</v>
          </cell>
          <cell r="L922" t="str">
            <v>No</v>
          </cell>
        </row>
        <row r="923">
          <cell r="G923" t="str">
            <v>Cricket Hill</v>
          </cell>
          <cell r="H923" t="str">
            <v>Cricket Hill</v>
          </cell>
          <cell r="K923" t="str">
            <v>Draft</v>
          </cell>
          <cell r="L923" t="str">
            <v>No</v>
          </cell>
        </row>
        <row r="924">
          <cell r="G924" t="str">
            <v>Cricket Hill</v>
          </cell>
          <cell r="H924" t="str">
            <v>Cricket Hill</v>
          </cell>
          <cell r="K924" t="str">
            <v>Draft</v>
          </cell>
          <cell r="L924" t="str">
            <v>No</v>
          </cell>
        </row>
        <row r="925">
          <cell r="G925" t="str">
            <v>Cricket Hill</v>
          </cell>
          <cell r="H925" t="str">
            <v>Cricket Hill</v>
          </cell>
          <cell r="K925" t="str">
            <v>Draft</v>
          </cell>
          <cell r="L925" t="str">
            <v>No</v>
          </cell>
        </row>
        <row r="926">
          <cell r="G926" t="str">
            <v>Cricket Hill</v>
          </cell>
          <cell r="H926" t="str">
            <v>Cricket Hill</v>
          </cell>
          <cell r="K926" t="str">
            <v>Draft</v>
          </cell>
          <cell r="L926" t="str">
            <v>No</v>
          </cell>
        </row>
        <row r="927">
          <cell r="G927" t="str">
            <v>Cricket Hill</v>
          </cell>
          <cell r="H927" t="str">
            <v>Cricket Hill</v>
          </cell>
          <cell r="K927" t="str">
            <v>Draft</v>
          </cell>
          <cell r="L927" t="str">
            <v>No</v>
          </cell>
        </row>
        <row r="928">
          <cell r="G928" t="str">
            <v>Cricket Hill</v>
          </cell>
          <cell r="H928" t="str">
            <v>Cricket Hill</v>
          </cell>
          <cell r="K928" t="str">
            <v>Draft</v>
          </cell>
          <cell r="L928" t="str">
            <v>No</v>
          </cell>
        </row>
        <row r="929">
          <cell r="G929" t="str">
            <v>Cricket Hill</v>
          </cell>
          <cell r="H929" t="str">
            <v>Cricket Hill</v>
          </cell>
          <cell r="K929" t="str">
            <v>Package</v>
          </cell>
          <cell r="L929" t="str">
            <v>No</v>
          </cell>
        </row>
        <row r="930">
          <cell r="G930" t="str">
            <v>Cricket Hill</v>
          </cell>
          <cell r="H930" t="str">
            <v>Cricket Hill</v>
          </cell>
          <cell r="K930" t="str">
            <v>Draft</v>
          </cell>
          <cell r="L930" t="str">
            <v>No</v>
          </cell>
        </row>
        <row r="931">
          <cell r="G931" t="str">
            <v>Cricket Hill</v>
          </cell>
          <cell r="H931" t="str">
            <v>Cricket Hill</v>
          </cell>
          <cell r="K931" t="str">
            <v>Draft</v>
          </cell>
          <cell r="L931" t="str">
            <v>No</v>
          </cell>
        </row>
        <row r="932">
          <cell r="G932" t="str">
            <v>Cricket Hill</v>
          </cell>
          <cell r="H932" t="str">
            <v>Cricket Hill</v>
          </cell>
          <cell r="K932" t="str">
            <v>Draft</v>
          </cell>
          <cell r="L932" t="str">
            <v>No</v>
          </cell>
        </row>
        <row r="933">
          <cell r="G933" t="str">
            <v>Cricket Hill</v>
          </cell>
          <cell r="H933" t="str">
            <v>Cricket Hill</v>
          </cell>
          <cell r="K933" t="str">
            <v>Draft</v>
          </cell>
          <cell r="L933" t="str">
            <v>No</v>
          </cell>
        </row>
        <row r="934">
          <cell r="G934" t="str">
            <v>Cricket Hill</v>
          </cell>
          <cell r="H934" t="str">
            <v>Cricket Hill</v>
          </cell>
          <cell r="K934" t="str">
            <v>Draft</v>
          </cell>
          <cell r="L934" t="str">
            <v>No</v>
          </cell>
        </row>
        <row r="935">
          <cell r="G935" t="str">
            <v>Cricket Hill</v>
          </cell>
          <cell r="H935" t="str">
            <v>Cricket Hill</v>
          </cell>
          <cell r="K935" t="str">
            <v>Draft</v>
          </cell>
          <cell r="L935" t="str">
            <v>No</v>
          </cell>
        </row>
        <row r="936">
          <cell r="G936" t="str">
            <v>Cricket Hill</v>
          </cell>
          <cell r="H936" t="str">
            <v>Cricket Hill</v>
          </cell>
          <cell r="K936" t="str">
            <v>Draft</v>
          </cell>
          <cell r="L936" t="str">
            <v>No</v>
          </cell>
        </row>
        <row r="937">
          <cell r="G937" t="str">
            <v>Cricket Hill</v>
          </cell>
          <cell r="H937" t="str">
            <v>Cricket Hill</v>
          </cell>
          <cell r="K937" t="str">
            <v>Draft</v>
          </cell>
          <cell r="L937" t="str">
            <v>No</v>
          </cell>
        </row>
        <row r="938">
          <cell r="G938" t="str">
            <v>Cricket Hill</v>
          </cell>
          <cell r="H938" t="str">
            <v>Cricket Hill</v>
          </cell>
          <cell r="K938" t="str">
            <v>Package</v>
          </cell>
          <cell r="L938" t="str">
            <v>No</v>
          </cell>
        </row>
        <row r="939">
          <cell r="G939" t="str">
            <v>Cricket Hill</v>
          </cell>
          <cell r="H939" t="str">
            <v>Cricket Hill</v>
          </cell>
          <cell r="K939" t="str">
            <v>Draft</v>
          </cell>
          <cell r="L939" t="str">
            <v>No</v>
          </cell>
        </row>
        <row r="940">
          <cell r="G940" t="str">
            <v>Cricket Hill</v>
          </cell>
          <cell r="H940" t="str">
            <v>Cricket Hill</v>
          </cell>
          <cell r="K940" t="str">
            <v>Draft</v>
          </cell>
          <cell r="L940" t="str">
            <v>No</v>
          </cell>
        </row>
        <row r="941">
          <cell r="G941" t="str">
            <v>Cricket Hill</v>
          </cell>
          <cell r="H941" t="str">
            <v>Cricket Hill</v>
          </cell>
          <cell r="K941" t="str">
            <v>Draft</v>
          </cell>
          <cell r="L941" t="str">
            <v>No</v>
          </cell>
        </row>
        <row r="942">
          <cell r="G942" t="str">
            <v>Cricket Hill</v>
          </cell>
          <cell r="H942" t="str">
            <v>Cricket Hill</v>
          </cell>
          <cell r="K942" t="str">
            <v>Draft</v>
          </cell>
          <cell r="L942" t="str">
            <v>No</v>
          </cell>
        </row>
        <row r="943">
          <cell r="G943" t="str">
            <v>Cricket Hill</v>
          </cell>
          <cell r="H943" t="str">
            <v>Cricket Hill</v>
          </cell>
          <cell r="K943" t="str">
            <v>Draft</v>
          </cell>
          <cell r="L943" t="str">
            <v>No</v>
          </cell>
        </row>
        <row r="944">
          <cell r="G944" t="str">
            <v>Cricket Hill</v>
          </cell>
          <cell r="H944" t="str">
            <v>Cricket Hill</v>
          </cell>
          <cell r="K944" t="str">
            <v>Draft</v>
          </cell>
          <cell r="L944" t="str">
            <v>No</v>
          </cell>
        </row>
        <row r="945">
          <cell r="G945" t="str">
            <v>Cricket Hill</v>
          </cell>
          <cell r="H945" t="str">
            <v>Cricket Hill</v>
          </cell>
          <cell r="K945" t="str">
            <v>Draft</v>
          </cell>
          <cell r="L945" t="str">
            <v>No</v>
          </cell>
        </row>
        <row r="946">
          <cell r="G946" t="str">
            <v>Cricket Hill</v>
          </cell>
          <cell r="H946" t="str">
            <v>Cricket Hill</v>
          </cell>
          <cell r="K946" t="str">
            <v>Draft</v>
          </cell>
          <cell r="L946" t="str">
            <v>No</v>
          </cell>
        </row>
        <row r="947">
          <cell r="G947" t="str">
            <v>Cricket Hill</v>
          </cell>
          <cell r="H947" t="str">
            <v>Cricket Hill</v>
          </cell>
          <cell r="K947" t="str">
            <v>Package</v>
          </cell>
          <cell r="L947" t="str">
            <v>No</v>
          </cell>
        </row>
        <row r="948">
          <cell r="G948" t="str">
            <v>Cricket Hill</v>
          </cell>
          <cell r="H948" t="str">
            <v>Cricket Hill</v>
          </cell>
          <cell r="K948" t="str">
            <v>Package</v>
          </cell>
          <cell r="L948" t="str">
            <v>No</v>
          </cell>
        </row>
        <row r="949">
          <cell r="G949" t="str">
            <v>Cricket Hill</v>
          </cell>
          <cell r="H949" t="str">
            <v>Cricket Hill</v>
          </cell>
          <cell r="K949" t="str">
            <v>Package</v>
          </cell>
          <cell r="L949" t="str">
            <v>No</v>
          </cell>
        </row>
        <row r="950">
          <cell r="G950" t="str">
            <v>Cricket Hill</v>
          </cell>
          <cell r="H950" t="str">
            <v>Cricket Hill</v>
          </cell>
          <cell r="K950" t="str">
            <v>Package</v>
          </cell>
          <cell r="L950" t="str">
            <v>No</v>
          </cell>
        </row>
        <row r="951">
          <cell r="G951" t="str">
            <v>Cricket Hill</v>
          </cell>
          <cell r="H951" t="str">
            <v>Cricket Hill</v>
          </cell>
          <cell r="K951" t="str">
            <v>Package</v>
          </cell>
          <cell r="L951" t="str">
            <v>No</v>
          </cell>
        </row>
        <row r="952">
          <cell r="G952" t="str">
            <v>Cricket Hill</v>
          </cell>
          <cell r="H952" t="str">
            <v>Cricket Hill</v>
          </cell>
          <cell r="K952" t="str">
            <v>Package</v>
          </cell>
          <cell r="L952" t="str">
            <v>No</v>
          </cell>
        </row>
        <row r="953">
          <cell r="G953" t="str">
            <v>Cricket Hill</v>
          </cell>
          <cell r="H953" t="str">
            <v>Cricket Hill</v>
          </cell>
          <cell r="K953" t="str">
            <v>Package</v>
          </cell>
          <cell r="L953" t="str">
            <v>No</v>
          </cell>
        </row>
        <row r="954">
          <cell r="G954" t="str">
            <v>Cricket Hill</v>
          </cell>
          <cell r="H954" t="str">
            <v>Cricket Hill</v>
          </cell>
          <cell r="K954" t="str">
            <v>Package</v>
          </cell>
          <cell r="L954" t="str">
            <v>No</v>
          </cell>
        </row>
        <row r="955">
          <cell r="G955" t="str">
            <v>Cricket Hill</v>
          </cell>
          <cell r="H955" t="str">
            <v>Cricket Hill</v>
          </cell>
          <cell r="K955" t="str">
            <v>Package</v>
          </cell>
          <cell r="L955" t="str">
            <v>No</v>
          </cell>
        </row>
        <row r="956">
          <cell r="G956" t="str">
            <v>Cricket Hill</v>
          </cell>
          <cell r="H956" t="str">
            <v>Cricket Hill</v>
          </cell>
          <cell r="K956" t="str">
            <v>Package</v>
          </cell>
          <cell r="L956" t="str">
            <v>No</v>
          </cell>
        </row>
        <row r="957">
          <cell r="G957" t="str">
            <v>Cricket Hill</v>
          </cell>
          <cell r="H957" t="str">
            <v>Cricket Hill</v>
          </cell>
          <cell r="K957" t="str">
            <v>Package</v>
          </cell>
          <cell r="L957" t="str">
            <v>No</v>
          </cell>
        </row>
        <row r="958">
          <cell r="G958" t="str">
            <v>Cricket Hill</v>
          </cell>
          <cell r="H958" t="str">
            <v>Cricket Hill</v>
          </cell>
          <cell r="K958" t="str">
            <v>Package</v>
          </cell>
          <cell r="L958" t="str">
            <v>No</v>
          </cell>
        </row>
        <row r="959">
          <cell r="G959" t="str">
            <v>Cricket Hill</v>
          </cell>
          <cell r="H959" t="str">
            <v>Cricket Hill</v>
          </cell>
          <cell r="K959" t="str">
            <v>Package</v>
          </cell>
          <cell r="L959" t="str">
            <v>No</v>
          </cell>
        </row>
        <row r="960">
          <cell r="G960" t="str">
            <v>Cricket Hill</v>
          </cell>
          <cell r="H960" t="str">
            <v>Cricket Hill</v>
          </cell>
          <cell r="K960" t="str">
            <v>Package</v>
          </cell>
          <cell r="L960" t="str">
            <v>No</v>
          </cell>
        </row>
        <row r="961">
          <cell r="G961" t="str">
            <v>Cricket Hill</v>
          </cell>
          <cell r="H961" t="str">
            <v>Cricket Hill</v>
          </cell>
          <cell r="K961" t="str">
            <v>Package</v>
          </cell>
          <cell r="L961" t="str">
            <v>No</v>
          </cell>
        </row>
        <row r="962">
          <cell r="G962" t="str">
            <v>Cricket Hill</v>
          </cell>
          <cell r="H962" t="str">
            <v>Cricket Hill</v>
          </cell>
          <cell r="K962" t="str">
            <v>Package</v>
          </cell>
          <cell r="L962" t="str">
            <v>No</v>
          </cell>
        </row>
        <row r="963">
          <cell r="G963" t="str">
            <v>Cricket Hill</v>
          </cell>
          <cell r="H963" t="str">
            <v>Cricket Hill</v>
          </cell>
          <cell r="K963" t="str">
            <v>Package</v>
          </cell>
          <cell r="L963" t="str">
            <v>No</v>
          </cell>
        </row>
        <row r="964">
          <cell r="G964" t="str">
            <v>Cricket Hill</v>
          </cell>
          <cell r="H964" t="str">
            <v>Cricket Hill</v>
          </cell>
          <cell r="K964" t="str">
            <v>Package</v>
          </cell>
          <cell r="L964" t="str">
            <v>No</v>
          </cell>
        </row>
        <row r="965">
          <cell r="G965" t="str">
            <v>Cricket Hill</v>
          </cell>
          <cell r="H965" t="str">
            <v>Cricket Hill</v>
          </cell>
          <cell r="K965" t="str">
            <v>Package</v>
          </cell>
          <cell r="L965" t="str">
            <v>No</v>
          </cell>
        </row>
        <row r="966">
          <cell r="G966" t="str">
            <v>Cricket Hill</v>
          </cell>
          <cell r="H966" t="str">
            <v>Cricket Hill</v>
          </cell>
          <cell r="K966" t="str">
            <v>Draft</v>
          </cell>
          <cell r="L966" t="str">
            <v>No</v>
          </cell>
        </row>
        <row r="967">
          <cell r="G967" t="str">
            <v>Cricket Hill</v>
          </cell>
          <cell r="H967" t="str">
            <v>Cricket Hill</v>
          </cell>
          <cell r="K967" t="str">
            <v>Package</v>
          </cell>
          <cell r="L967" t="str">
            <v>No</v>
          </cell>
        </row>
        <row r="968">
          <cell r="G968" t="str">
            <v>Cricket Hill</v>
          </cell>
          <cell r="H968" t="str">
            <v>Cricket Hill</v>
          </cell>
          <cell r="K968" t="str">
            <v>Draft</v>
          </cell>
          <cell r="L968" t="str">
            <v>No</v>
          </cell>
        </row>
        <row r="969">
          <cell r="G969" t="str">
            <v>Cricket Hill</v>
          </cell>
          <cell r="H969" t="str">
            <v>Cricket Hill</v>
          </cell>
          <cell r="K969" t="str">
            <v>Draft</v>
          </cell>
          <cell r="L969" t="str">
            <v>No</v>
          </cell>
        </row>
        <row r="970">
          <cell r="G970" t="str">
            <v>Cricket Hill</v>
          </cell>
          <cell r="H970" t="str">
            <v>Cricket Hill</v>
          </cell>
          <cell r="K970" t="str">
            <v>Draft</v>
          </cell>
          <cell r="L970" t="str">
            <v>No</v>
          </cell>
        </row>
        <row r="971">
          <cell r="G971" t="str">
            <v>Monkey Family</v>
          </cell>
          <cell r="H971" t="str">
            <v>Victory Brewing Company</v>
          </cell>
          <cell r="K971" t="str">
            <v>Package</v>
          </cell>
          <cell r="L971" t="str">
            <v>Yes</v>
          </cell>
        </row>
        <row r="972">
          <cell r="G972" t="str">
            <v>Cricket Hill</v>
          </cell>
          <cell r="H972" t="str">
            <v>Cricket Hill</v>
          </cell>
          <cell r="K972" t="str">
            <v>Draft</v>
          </cell>
          <cell r="L972" t="str">
            <v>No</v>
          </cell>
        </row>
        <row r="973">
          <cell r="G973" t="str">
            <v>Cricket Hill</v>
          </cell>
          <cell r="H973" t="str">
            <v>Cricket Hill</v>
          </cell>
          <cell r="K973" t="str">
            <v>Draft</v>
          </cell>
          <cell r="L973" t="str">
            <v>No</v>
          </cell>
        </row>
        <row r="974">
          <cell r="G974" t="str">
            <v>Cricket Hill</v>
          </cell>
          <cell r="H974" t="str">
            <v>Cricket Hill</v>
          </cell>
          <cell r="K974" t="str">
            <v>Draft</v>
          </cell>
          <cell r="L974" t="str">
            <v>No</v>
          </cell>
        </row>
        <row r="975">
          <cell r="G975" t="str">
            <v>Victory</v>
          </cell>
          <cell r="H975" t="str">
            <v>Victory Brewing Company</v>
          </cell>
          <cell r="K975" t="str">
            <v>Package</v>
          </cell>
          <cell r="L975" t="str">
            <v>Yes</v>
          </cell>
        </row>
        <row r="976">
          <cell r="G976" t="str">
            <v>Cricket Hill</v>
          </cell>
          <cell r="H976" t="str">
            <v>Cricket Hill</v>
          </cell>
          <cell r="K976" t="str">
            <v>Draft</v>
          </cell>
          <cell r="L976" t="str">
            <v>No</v>
          </cell>
        </row>
        <row r="977">
          <cell r="G977" t="str">
            <v>Source Brewing</v>
          </cell>
          <cell r="H977" t="str">
            <v>Source Brewing</v>
          </cell>
          <cell r="K977" t="str">
            <v>Draft</v>
          </cell>
          <cell r="L977" t="str">
            <v>Yes</v>
          </cell>
        </row>
        <row r="978">
          <cell r="G978" t="str">
            <v>Source Brewing</v>
          </cell>
          <cell r="H978" t="str">
            <v>Source Brewing</v>
          </cell>
          <cell r="K978" t="str">
            <v>Draft</v>
          </cell>
          <cell r="L978" t="str">
            <v>Yes</v>
          </cell>
        </row>
        <row r="979">
          <cell r="G979" t="str">
            <v>Source Brewing</v>
          </cell>
          <cell r="H979" t="str">
            <v>Source Brewing</v>
          </cell>
          <cell r="K979" t="str">
            <v>Package</v>
          </cell>
          <cell r="L979" t="str">
            <v>Yes</v>
          </cell>
        </row>
        <row r="980">
          <cell r="G980" t="str">
            <v>Source Brewing</v>
          </cell>
          <cell r="H980" t="str">
            <v>Source Brewing</v>
          </cell>
          <cell r="K980" t="str">
            <v>Package</v>
          </cell>
          <cell r="L980" t="str">
            <v>Yes</v>
          </cell>
        </row>
        <row r="981">
          <cell r="G981" t="str">
            <v>Evil Genius</v>
          </cell>
          <cell r="H981" t="str">
            <v>Evil Genius</v>
          </cell>
          <cell r="K981" t="str">
            <v>Package</v>
          </cell>
          <cell r="L981" t="str">
            <v>Yes</v>
          </cell>
        </row>
        <row r="982">
          <cell r="G982" t="str">
            <v>Evil Genius</v>
          </cell>
          <cell r="H982" t="str">
            <v>Evil Genius</v>
          </cell>
          <cell r="K982" t="str">
            <v>Draft</v>
          </cell>
          <cell r="L982" t="str">
            <v>Yes</v>
          </cell>
        </row>
        <row r="983">
          <cell r="G983" t="str">
            <v>Source Brewing</v>
          </cell>
          <cell r="H983" t="str">
            <v>Source Brewing</v>
          </cell>
          <cell r="K983" t="str">
            <v>Package</v>
          </cell>
          <cell r="L983" t="str">
            <v>Yes</v>
          </cell>
        </row>
        <row r="984">
          <cell r="G984" t="str">
            <v>Source Brewing</v>
          </cell>
          <cell r="H984" t="str">
            <v>Source Brewing</v>
          </cell>
          <cell r="K984" t="str">
            <v>Draft</v>
          </cell>
          <cell r="L984" t="str">
            <v>Yes</v>
          </cell>
        </row>
        <row r="985">
          <cell r="G985" t="str">
            <v>Source Brewing</v>
          </cell>
          <cell r="H985" t="str">
            <v>Source Brewing</v>
          </cell>
          <cell r="K985" t="str">
            <v>Draft</v>
          </cell>
          <cell r="L985" t="str">
            <v>Yes</v>
          </cell>
        </row>
        <row r="986">
          <cell r="G986" t="str">
            <v>Source Brewing</v>
          </cell>
          <cell r="H986" t="str">
            <v>Source Brewing</v>
          </cell>
          <cell r="K986" t="str">
            <v>Package</v>
          </cell>
          <cell r="L986" t="str">
            <v>No</v>
          </cell>
        </row>
        <row r="987">
          <cell r="G987" t="str">
            <v>Source Brewing</v>
          </cell>
          <cell r="H987" t="str">
            <v>Source Brewing</v>
          </cell>
          <cell r="K987" t="str">
            <v>Package</v>
          </cell>
          <cell r="L987" t="str">
            <v>No</v>
          </cell>
        </row>
        <row r="988">
          <cell r="G988" t="str">
            <v>Source Brewing</v>
          </cell>
          <cell r="H988" t="str">
            <v>Source Brewing</v>
          </cell>
          <cell r="K988" t="str">
            <v>Package</v>
          </cell>
          <cell r="L988" t="str">
            <v>Yes</v>
          </cell>
        </row>
        <row r="989">
          <cell r="G989" t="str">
            <v>Source Brewing</v>
          </cell>
          <cell r="H989" t="str">
            <v>Source Brewing</v>
          </cell>
          <cell r="K989" t="str">
            <v>Draft</v>
          </cell>
          <cell r="L989" t="str">
            <v>Yes</v>
          </cell>
        </row>
        <row r="990">
          <cell r="G990" t="str">
            <v>Source Brewing</v>
          </cell>
          <cell r="H990" t="str">
            <v>Source Brewing</v>
          </cell>
          <cell r="K990" t="str">
            <v>Draft</v>
          </cell>
          <cell r="L990" t="str">
            <v>Yes</v>
          </cell>
        </row>
        <row r="991">
          <cell r="G991" t="str">
            <v>Great Lakes</v>
          </cell>
          <cell r="H991" t="str">
            <v>Great Lakes</v>
          </cell>
          <cell r="K991" t="str">
            <v>Draft</v>
          </cell>
          <cell r="L991" t="str">
            <v>No</v>
          </cell>
        </row>
        <row r="992">
          <cell r="G992" t="str">
            <v>Great Lakes</v>
          </cell>
          <cell r="H992" t="str">
            <v>Great Lakes</v>
          </cell>
          <cell r="K992" t="str">
            <v>Draft</v>
          </cell>
          <cell r="L992" t="str">
            <v>Yes</v>
          </cell>
        </row>
        <row r="993">
          <cell r="G993" t="str">
            <v>Great Lakes</v>
          </cell>
          <cell r="H993" t="str">
            <v>Great Lakes</v>
          </cell>
          <cell r="K993" t="str">
            <v>Draft</v>
          </cell>
          <cell r="L993" t="str">
            <v>Yes</v>
          </cell>
        </row>
        <row r="994">
          <cell r="G994" t="str">
            <v>Great Lakes</v>
          </cell>
          <cell r="H994" t="str">
            <v>Great Lakes</v>
          </cell>
          <cell r="K994" t="str">
            <v>Draft</v>
          </cell>
          <cell r="L994" t="str">
            <v>Yes</v>
          </cell>
        </row>
        <row r="995">
          <cell r="G995" t="str">
            <v>Great Lakes</v>
          </cell>
          <cell r="H995" t="str">
            <v>Great Lakes</v>
          </cell>
          <cell r="K995" t="str">
            <v>Draft</v>
          </cell>
          <cell r="L995" t="str">
            <v>Yes</v>
          </cell>
        </row>
        <row r="996">
          <cell r="G996" t="str">
            <v>Great Lakes</v>
          </cell>
          <cell r="H996" t="str">
            <v>Great Lakes</v>
          </cell>
          <cell r="K996" t="str">
            <v>Draft</v>
          </cell>
          <cell r="L996" t="str">
            <v>Yes</v>
          </cell>
        </row>
        <row r="997">
          <cell r="G997" t="str">
            <v>Great Lakes</v>
          </cell>
          <cell r="H997" t="str">
            <v>Great Lakes</v>
          </cell>
          <cell r="K997" t="str">
            <v>Draft</v>
          </cell>
          <cell r="L997" t="str">
            <v>Yes</v>
          </cell>
        </row>
        <row r="998">
          <cell r="G998" t="str">
            <v>Great Lakes</v>
          </cell>
          <cell r="H998" t="str">
            <v>Great Lakes</v>
          </cell>
          <cell r="K998" t="str">
            <v>Draft</v>
          </cell>
          <cell r="L998" t="str">
            <v>Yes</v>
          </cell>
        </row>
        <row r="999">
          <cell r="G999" t="str">
            <v>Great Lakes</v>
          </cell>
          <cell r="H999" t="str">
            <v>Great Lakes</v>
          </cell>
          <cell r="K999" t="str">
            <v>Draft</v>
          </cell>
          <cell r="L999" t="str">
            <v>Yes</v>
          </cell>
        </row>
        <row r="1000">
          <cell r="G1000" t="str">
            <v>Great Lakes</v>
          </cell>
          <cell r="H1000" t="str">
            <v>Great Lakes</v>
          </cell>
          <cell r="K1000" t="str">
            <v>Package</v>
          </cell>
          <cell r="L1000" t="str">
            <v>No</v>
          </cell>
        </row>
        <row r="1001">
          <cell r="G1001" t="str">
            <v>Great Lakes</v>
          </cell>
          <cell r="H1001" t="str">
            <v>Great Lakes</v>
          </cell>
          <cell r="K1001" t="str">
            <v>Package</v>
          </cell>
          <cell r="L1001" t="str">
            <v>No</v>
          </cell>
        </row>
        <row r="1002">
          <cell r="G1002" t="str">
            <v>Great Lakes</v>
          </cell>
          <cell r="H1002" t="str">
            <v>Great Lakes</v>
          </cell>
          <cell r="K1002" t="str">
            <v>Package</v>
          </cell>
          <cell r="L1002" t="str">
            <v>Yes</v>
          </cell>
        </row>
        <row r="1003">
          <cell r="G1003" t="str">
            <v>Great Lakes</v>
          </cell>
          <cell r="H1003" t="str">
            <v>Great Lakes</v>
          </cell>
          <cell r="K1003" t="str">
            <v>Package</v>
          </cell>
          <cell r="L1003" t="str">
            <v>Yes</v>
          </cell>
        </row>
        <row r="1004">
          <cell r="G1004" t="str">
            <v>Great Lakes</v>
          </cell>
          <cell r="H1004" t="str">
            <v>Great Lakes</v>
          </cell>
          <cell r="K1004" t="str">
            <v>Package</v>
          </cell>
          <cell r="L1004" t="str">
            <v>No</v>
          </cell>
        </row>
        <row r="1005">
          <cell r="G1005" t="str">
            <v>Great Lakes</v>
          </cell>
          <cell r="H1005" t="str">
            <v>Great Lakes</v>
          </cell>
          <cell r="K1005" t="str">
            <v>Draft</v>
          </cell>
          <cell r="L1005" t="str">
            <v>Yes</v>
          </cell>
        </row>
        <row r="1006">
          <cell r="G1006" t="str">
            <v>Great Lakes</v>
          </cell>
          <cell r="H1006" t="str">
            <v>Great Lakes</v>
          </cell>
          <cell r="K1006" t="str">
            <v>Draft</v>
          </cell>
          <cell r="L1006" t="str">
            <v>Yes</v>
          </cell>
        </row>
        <row r="1007">
          <cell r="G1007" t="str">
            <v>Great Lakes</v>
          </cell>
          <cell r="H1007" t="str">
            <v>Great Lakes</v>
          </cell>
          <cell r="K1007" t="str">
            <v>Package</v>
          </cell>
          <cell r="L1007" t="str">
            <v>No</v>
          </cell>
        </row>
        <row r="1008">
          <cell r="G1008" t="str">
            <v>Great Lakes</v>
          </cell>
          <cell r="H1008" t="str">
            <v>Great Lakes</v>
          </cell>
          <cell r="K1008" t="str">
            <v>Package</v>
          </cell>
          <cell r="L1008" t="str">
            <v>No</v>
          </cell>
        </row>
        <row r="1009">
          <cell r="G1009" t="str">
            <v>Great Lakes</v>
          </cell>
          <cell r="H1009" t="str">
            <v>Great Lakes</v>
          </cell>
          <cell r="K1009" t="str">
            <v>Draft</v>
          </cell>
          <cell r="L1009" t="str">
            <v>Yes</v>
          </cell>
        </row>
        <row r="1010">
          <cell r="G1010" t="str">
            <v>Great Lakes</v>
          </cell>
          <cell r="H1010" t="str">
            <v>Great Lakes</v>
          </cell>
          <cell r="K1010" t="str">
            <v>Draft</v>
          </cell>
          <cell r="L1010" t="str">
            <v>Yes</v>
          </cell>
        </row>
        <row r="1011">
          <cell r="G1011" t="str">
            <v>Great Lakes</v>
          </cell>
          <cell r="H1011" t="str">
            <v>Great Lakes</v>
          </cell>
          <cell r="K1011" t="str">
            <v>Package</v>
          </cell>
          <cell r="L1011" t="str">
            <v>No</v>
          </cell>
        </row>
        <row r="1012">
          <cell r="G1012" t="str">
            <v>Great Lakes</v>
          </cell>
          <cell r="H1012" t="str">
            <v>Great Lakes</v>
          </cell>
          <cell r="K1012" t="str">
            <v>Package</v>
          </cell>
          <cell r="L1012" t="str">
            <v>No</v>
          </cell>
        </row>
        <row r="1013">
          <cell r="G1013" t="str">
            <v>Great Lakes</v>
          </cell>
          <cell r="H1013" t="str">
            <v>Great Lakes</v>
          </cell>
          <cell r="K1013" t="str">
            <v>Package</v>
          </cell>
          <cell r="L1013" t="str">
            <v>No</v>
          </cell>
        </row>
        <row r="1014">
          <cell r="G1014" t="str">
            <v>Great Lakes</v>
          </cell>
          <cell r="H1014" t="str">
            <v>Great Lakes</v>
          </cell>
          <cell r="K1014" t="str">
            <v>Draft</v>
          </cell>
          <cell r="L1014" t="str">
            <v>No</v>
          </cell>
        </row>
        <row r="1015">
          <cell r="G1015" t="str">
            <v>Great Lakes</v>
          </cell>
          <cell r="H1015" t="str">
            <v>Great Lakes</v>
          </cell>
          <cell r="K1015" t="str">
            <v>Package</v>
          </cell>
          <cell r="L1015" t="str">
            <v>Yes</v>
          </cell>
        </row>
        <row r="1016">
          <cell r="G1016" t="str">
            <v>Great Lakes</v>
          </cell>
          <cell r="H1016" t="str">
            <v>Great Lakes</v>
          </cell>
          <cell r="K1016" t="str">
            <v>Draft</v>
          </cell>
          <cell r="L1016" t="str">
            <v>No</v>
          </cell>
        </row>
        <row r="1017">
          <cell r="G1017" t="str">
            <v>Great Lakes</v>
          </cell>
          <cell r="H1017" t="str">
            <v>Great Lakes</v>
          </cell>
          <cell r="K1017" t="str">
            <v>Package</v>
          </cell>
          <cell r="L1017" t="str">
            <v>No</v>
          </cell>
        </row>
        <row r="1018">
          <cell r="G1018" t="str">
            <v>Great Lakes</v>
          </cell>
          <cell r="H1018" t="str">
            <v>Great Lakes</v>
          </cell>
          <cell r="K1018" t="str">
            <v>Package</v>
          </cell>
          <cell r="L1018" t="str">
            <v>No</v>
          </cell>
        </row>
        <row r="1019">
          <cell r="G1019" t="str">
            <v>Great Lakes</v>
          </cell>
          <cell r="H1019" t="str">
            <v>Great Lakes</v>
          </cell>
          <cell r="K1019" t="str">
            <v>Package</v>
          </cell>
          <cell r="L1019" t="str">
            <v>No</v>
          </cell>
        </row>
        <row r="1020">
          <cell r="G1020" t="str">
            <v>Great Lakes</v>
          </cell>
          <cell r="H1020" t="str">
            <v>Great Lakes</v>
          </cell>
          <cell r="K1020" t="str">
            <v>Package</v>
          </cell>
          <cell r="L1020" t="str">
            <v>Yes</v>
          </cell>
        </row>
        <row r="1021">
          <cell r="G1021" t="str">
            <v>Great Lakes</v>
          </cell>
          <cell r="H1021" t="str">
            <v>Great Lakes</v>
          </cell>
          <cell r="K1021" t="str">
            <v>Draft</v>
          </cell>
          <cell r="L1021" t="str">
            <v>No</v>
          </cell>
        </row>
        <row r="1022">
          <cell r="G1022" t="str">
            <v>Great Lakes</v>
          </cell>
          <cell r="H1022" t="str">
            <v>Great Lakes</v>
          </cell>
          <cell r="K1022" t="str">
            <v>Package</v>
          </cell>
          <cell r="L1022" t="str">
            <v>No</v>
          </cell>
        </row>
        <row r="1023">
          <cell r="G1023" t="str">
            <v>Great Lakes</v>
          </cell>
          <cell r="H1023" t="str">
            <v>Great Lakes</v>
          </cell>
          <cell r="K1023" t="str">
            <v>Package</v>
          </cell>
          <cell r="L1023" t="str">
            <v>No</v>
          </cell>
        </row>
        <row r="1024">
          <cell r="G1024" t="str">
            <v>Great Lakes</v>
          </cell>
          <cell r="H1024" t="str">
            <v>Great Lakes</v>
          </cell>
          <cell r="K1024" t="str">
            <v>Package</v>
          </cell>
          <cell r="L1024" t="str">
            <v>Yes</v>
          </cell>
        </row>
        <row r="1025">
          <cell r="G1025" t="str">
            <v>Great Lakes</v>
          </cell>
          <cell r="H1025" t="str">
            <v>Great Lakes</v>
          </cell>
          <cell r="K1025" t="str">
            <v>Draft</v>
          </cell>
          <cell r="L1025" t="str">
            <v>No</v>
          </cell>
        </row>
        <row r="1026">
          <cell r="G1026" t="str">
            <v>Great Lakes</v>
          </cell>
          <cell r="H1026" t="str">
            <v>Great Lakes</v>
          </cell>
          <cell r="K1026" t="str">
            <v>Package</v>
          </cell>
          <cell r="L1026" t="str">
            <v>No</v>
          </cell>
        </row>
        <row r="1027">
          <cell r="G1027" t="str">
            <v>Great Lakes</v>
          </cell>
          <cell r="H1027" t="str">
            <v>Great Lakes</v>
          </cell>
          <cell r="K1027" t="str">
            <v>Package</v>
          </cell>
          <cell r="L1027" t="str">
            <v>No</v>
          </cell>
        </row>
        <row r="1028">
          <cell r="G1028" t="str">
            <v>Great Lakes</v>
          </cell>
          <cell r="H1028" t="str">
            <v>Great Lakes</v>
          </cell>
          <cell r="K1028" t="str">
            <v>Package</v>
          </cell>
          <cell r="L1028" t="str">
            <v>Yes</v>
          </cell>
        </row>
        <row r="1029">
          <cell r="G1029" t="str">
            <v>Great Lakes</v>
          </cell>
          <cell r="H1029" t="str">
            <v>Great Lakes</v>
          </cell>
          <cell r="K1029" t="str">
            <v>Draft</v>
          </cell>
          <cell r="L1029" t="str">
            <v>No</v>
          </cell>
        </row>
        <row r="1030">
          <cell r="G1030" t="str">
            <v>Great Lakes</v>
          </cell>
          <cell r="H1030" t="str">
            <v>Great Lakes</v>
          </cell>
          <cell r="K1030" t="str">
            <v>Package</v>
          </cell>
          <cell r="L1030" t="str">
            <v>No</v>
          </cell>
        </row>
        <row r="1031">
          <cell r="G1031" t="str">
            <v>Great Lakes</v>
          </cell>
          <cell r="H1031" t="str">
            <v>Great Lakes</v>
          </cell>
          <cell r="K1031" t="str">
            <v>Package</v>
          </cell>
          <cell r="L1031" t="str">
            <v>No</v>
          </cell>
        </row>
        <row r="1032">
          <cell r="G1032" t="str">
            <v>Great Lakes</v>
          </cell>
          <cell r="H1032" t="str">
            <v>Great Lakes</v>
          </cell>
          <cell r="K1032" t="str">
            <v>Package</v>
          </cell>
          <cell r="L1032" t="str">
            <v>No</v>
          </cell>
        </row>
        <row r="1033">
          <cell r="G1033" t="str">
            <v>Great Lakes</v>
          </cell>
          <cell r="H1033" t="str">
            <v>Great Lakes</v>
          </cell>
          <cell r="K1033" t="str">
            <v>Draft</v>
          </cell>
          <cell r="L1033" t="str">
            <v>No</v>
          </cell>
        </row>
        <row r="1034">
          <cell r="G1034" t="str">
            <v>Great Lakes</v>
          </cell>
          <cell r="H1034" t="str">
            <v>Great Lakes</v>
          </cell>
          <cell r="K1034" t="str">
            <v>Draft</v>
          </cell>
          <cell r="L1034" t="str">
            <v>Yes</v>
          </cell>
        </row>
        <row r="1035">
          <cell r="G1035" t="str">
            <v>Great Lakes</v>
          </cell>
          <cell r="H1035" t="str">
            <v>Great Lakes</v>
          </cell>
          <cell r="K1035" t="str">
            <v>Package</v>
          </cell>
          <cell r="L1035" t="str">
            <v>No</v>
          </cell>
        </row>
        <row r="1036">
          <cell r="G1036" t="str">
            <v>Great Lakes</v>
          </cell>
          <cell r="H1036" t="str">
            <v>Great Lakes</v>
          </cell>
          <cell r="K1036" t="str">
            <v>Package</v>
          </cell>
          <cell r="L1036" t="str">
            <v>No</v>
          </cell>
        </row>
        <row r="1037">
          <cell r="G1037" t="str">
            <v>Great Lakes</v>
          </cell>
          <cell r="H1037" t="str">
            <v>Great Lakes</v>
          </cell>
          <cell r="K1037" t="str">
            <v>Draft</v>
          </cell>
          <cell r="L1037" t="str">
            <v>No</v>
          </cell>
        </row>
        <row r="1038">
          <cell r="G1038" t="str">
            <v>Great Lakes</v>
          </cell>
          <cell r="H1038" t="str">
            <v>Great Lakes</v>
          </cell>
          <cell r="K1038" t="str">
            <v>Package</v>
          </cell>
          <cell r="L1038" t="str">
            <v>No</v>
          </cell>
        </row>
        <row r="1039">
          <cell r="G1039" t="str">
            <v>Great Lakes</v>
          </cell>
          <cell r="H1039" t="str">
            <v>Great Lakes</v>
          </cell>
          <cell r="K1039" t="str">
            <v>Draft</v>
          </cell>
          <cell r="L1039" t="str">
            <v>No</v>
          </cell>
        </row>
        <row r="1040">
          <cell r="G1040" t="str">
            <v>Great Lakes</v>
          </cell>
          <cell r="H1040" t="str">
            <v>Great Lakes</v>
          </cell>
          <cell r="K1040" t="str">
            <v>Package</v>
          </cell>
          <cell r="L1040" t="str">
            <v>No</v>
          </cell>
        </row>
        <row r="1041">
          <cell r="G1041" t="str">
            <v>Great Lakes</v>
          </cell>
          <cell r="H1041" t="str">
            <v>Great Lakes</v>
          </cell>
          <cell r="K1041" t="str">
            <v>Draft</v>
          </cell>
          <cell r="L1041" t="str">
            <v>No</v>
          </cell>
        </row>
        <row r="1042">
          <cell r="G1042" t="str">
            <v>Great Lakes</v>
          </cell>
          <cell r="H1042" t="str">
            <v>Great Lakes</v>
          </cell>
          <cell r="K1042" t="str">
            <v>Package</v>
          </cell>
          <cell r="L1042" t="str">
            <v>Yes</v>
          </cell>
        </row>
        <row r="1043">
          <cell r="G1043" t="str">
            <v>Great Lakes</v>
          </cell>
          <cell r="H1043" t="str">
            <v>Great Lakes</v>
          </cell>
          <cell r="K1043" t="str">
            <v>Package</v>
          </cell>
          <cell r="L1043" t="str">
            <v>No</v>
          </cell>
        </row>
        <row r="1044">
          <cell r="G1044" t="str">
            <v>Great Lakes</v>
          </cell>
          <cell r="H1044" t="str">
            <v>Great Lakes</v>
          </cell>
          <cell r="K1044" t="str">
            <v>Package</v>
          </cell>
          <cell r="L1044" t="str">
            <v>No</v>
          </cell>
        </row>
        <row r="1045">
          <cell r="G1045" t="str">
            <v>Great Lakes</v>
          </cell>
          <cell r="H1045" t="str">
            <v>Great Lakes</v>
          </cell>
          <cell r="K1045" t="str">
            <v>Package</v>
          </cell>
          <cell r="L1045" t="str">
            <v>No</v>
          </cell>
        </row>
        <row r="1046">
          <cell r="G1046" t="str">
            <v>Great Lakes</v>
          </cell>
          <cell r="H1046" t="str">
            <v>Great Lakes</v>
          </cell>
          <cell r="K1046" t="str">
            <v>Draft</v>
          </cell>
          <cell r="L1046" t="str">
            <v>No</v>
          </cell>
        </row>
        <row r="1047">
          <cell r="G1047" t="str">
            <v>Great Lakes</v>
          </cell>
          <cell r="H1047" t="str">
            <v>Great Lakes</v>
          </cell>
          <cell r="K1047" t="str">
            <v>Package</v>
          </cell>
          <cell r="L1047" t="str">
            <v>Yes</v>
          </cell>
        </row>
        <row r="1048">
          <cell r="G1048" t="str">
            <v>Great Lakes</v>
          </cell>
          <cell r="H1048" t="str">
            <v>Great Lakes</v>
          </cell>
          <cell r="K1048" t="str">
            <v>Package</v>
          </cell>
          <cell r="L1048" t="str">
            <v>Yes</v>
          </cell>
        </row>
        <row r="1049">
          <cell r="G1049" t="str">
            <v>Great Lakes</v>
          </cell>
          <cell r="H1049" t="str">
            <v>Great Lakes</v>
          </cell>
          <cell r="K1049" t="str">
            <v>Package</v>
          </cell>
          <cell r="L1049" t="str">
            <v>Yes</v>
          </cell>
        </row>
        <row r="1050">
          <cell r="G1050" t="str">
            <v>Great Lakes</v>
          </cell>
          <cell r="H1050" t="str">
            <v>Great Lakes</v>
          </cell>
          <cell r="K1050" t="str">
            <v>Package</v>
          </cell>
          <cell r="L1050" t="str">
            <v>Yes</v>
          </cell>
        </row>
        <row r="1051">
          <cell r="G1051" t="str">
            <v>Great Lakes</v>
          </cell>
          <cell r="H1051" t="str">
            <v>Great Lakes</v>
          </cell>
          <cell r="K1051" t="str">
            <v>Package</v>
          </cell>
          <cell r="L1051" t="str">
            <v>Yes</v>
          </cell>
        </row>
        <row r="1052">
          <cell r="G1052" t="str">
            <v>Great Lakes</v>
          </cell>
          <cell r="H1052" t="str">
            <v>Great Lakes</v>
          </cell>
          <cell r="K1052" t="str">
            <v>Package</v>
          </cell>
          <cell r="L1052" t="str">
            <v>Yes</v>
          </cell>
        </row>
        <row r="1053">
          <cell r="G1053" t="str">
            <v>Great Lakes</v>
          </cell>
          <cell r="H1053" t="str">
            <v>Great Lakes</v>
          </cell>
          <cell r="K1053" t="str">
            <v>Package</v>
          </cell>
          <cell r="L1053" t="str">
            <v>Yes</v>
          </cell>
        </row>
        <row r="1054">
          <cell r="G1054" t="str">
            <v>Great Lakes</v>
          </cell>
          <cell r="H1054" t="str">
            <v>Great Lakes</v>
          </cell>
          <cell r="K1054" t="str">
            <v>Draft</v>
          </cell>
          <cell r="L1054" t="str">
            <v>Yes</v>
          </cell>
        </row>
        <row r="1055">
          <cell r="G1055" t="str">
            <v>Great Lakes</v>
          </cell>
          <cell r="H1055" t="str">
            <v>Great Lakes</v>
          </cell>
          <cell r="K1055" t="str">
            <v>Draft</v>
          </cell>
          <cell r="L1055" t="str">
            <v>Yes</v>
          </cell>
        </row>
        <row r="1056">
          <cell r="G1056" t="str">
            <v>Great Lakes</v>
          </cell>
          <cell r="H1056" t="str">
            <v>Great Lakes</v>
          </cell>
          <cell r="K1056" t="str">
            <v>Package</v>
          </cell>
          <cell r="L1056" t="str">
            <v>No</v>
          </cell>
        </row>
        <row r="1057">
          <cell r="G1057" t="str">
            <v>Great Lakes</v>
          </cell>
          <cell r="H1057" t="str">
            <v>Great Lakes</v>
          </cell>
          <cell r="K1057" t="str">
            <v>Package</v>
          </cell>
          <cell r="L1057" t="str">
            <v>No</v>
          </cell>
        </row>
        <row r="1058">
          <cell r="G1058" t="str">
            <v>Great Lakes</v>
          </cell>
          <cell r="H1058" t="str">
            <v>Great Lakes</v>
          </cell>
          <cell r="K1058" t="str">
            <v>Package</v>
          </cell>
          <cell r="L1058" t="str">
            <v>Yes</v>
          </cell>
        </row>
        <row r="1059">
          <cell r="G1059" t="str">
            <v>Great Lakes</v>
          </cell>
          <cell r="H1059" t="str">
            <v>Great Lakes</v>
          </cell>
          <cell r="K1059" t="str">
            <v>Package</v>
          </cell>
          <cell r="L1059" t="str">
            <v>Yes</v>
          </cell>
        </row>
        <row r="1060">
          <cell r="G1060" t="str">
            <v>Great Lakes</v>
          </cell>
          <cell r="H1060" t="str">
            <v>Great Lakes</v>
          </cell>
          <cell r="K1060" t="str">
            <v>Package</v>
          </cell>
          <cell r="L1060" t="str">
            <v>Yes</v>
          </cell>
        </row>
        <row r="1061">
          <cell r="G1061" t="str">
            <v>Great Lakes</v>
          </cell>
          <cell r="H1061" t="str">
            <v>Great Lakes</v>
          </cell>
          <cell r="K1061" t="str">
            <v>Package</v>
          </cell>
          <cell r="L1061" t="str">
            <v>Yes</v>
          </cell>
        </row>
        <row r="1062">
          <cell r="G1062" t="str">
            <v>Great Lakes</v>
          </cell>
          <cell r="H1062" t="str">
            <v>Great Lakes</v>
          </cell>
          <cell r="K1062" t="str">
            <v>Package</v>
          </cell>
          <cell r="L1062" t="str">
            <v>Yes</v>
          </cell>
        </row>
        <row r="1063">
          <cell r="G1063" t="str">
            <v>Great Lakes</v>
          </cell>
          <cell r="H1063" t="str">
            <v>Great Lakes</v>
          </cell>
          <cell r="K1063" t="str">
            <v>Package</v>
          </cell>
          <cell r="L1063" t="str">
            <v>Yes</v>
          </cell>
        </row>
        <row r="1064">
          <cell r="G1064" t="str">
            <v>Great Lakes</v>
          </cell>
          <cell r="H1064" t="str">
            <v>Great Lakes</v>
          </cell>
          <cell r="K1064" t="str">
            <v>Package</v>
          </cell>
          <cell r="L1064" t="str">
            <v>Yes</v>
          </cell>
        </row>
        <row r="1065">
          <cell r="G1065" t="str">
            <v>Great Lakes</v>
          </cell>
          <cell r="H1065" t="str">
            <v>Great Lakes</v>
          </cell>
          <cell r="K1065" t="str">
            <v>Draft</v>
          </cell>
          <cell r="L1065" t="str">
            <v>Yes</v>
          </cell>
        </row>
        <row r="1066">
          <cell r="G1066" t="str">
            <v>Great Lakes</v>
          </cell>
          <cell r="H1066" t="str">
            <v>Great Lakes</v>
          </cell>
          <cell r="K1066" t="str">
            <v>Draft</v>
          </cell>
          <cell r="L1066" t="str">
            <v>Yes</v>
          </cell>
        </row>
        <row r="1067">
          <cell r="G1067" t="str">
            <v>Great Lakes</v>
          </cell>
          <cell r="H1067" t="str">
            <v>Great Lakes</v>
          </cell>
          <cell r="K1067" t="str">
            <v>Package</v>
          </cell>
          <cell r="L1067" t="str">
            <v>Yes</v>
          </cell>
        </row>
        <row r="1068">
          <cell r="G1068" t="str">
            <v>Great Lakes</v>
          </cell>
          <cell r="H1068" t="str">
            <v>Great Lakes</v>
          </cell>
          <cell r="K1068" t="str">
            <v>Package</v>
          </cell>
          <cell r="L1068" t="str">
            <v>No</v>
          </cell>
        </row>
        <row r="1069">
          <cell r="G1069" t="str">
            <v>Great Lakes</v>
          </cell>
          <cell r="H1069" t="str">
            <v>Great Lakes</v>
          </cell>
          <cell r="K1069" t="str">
            <v>Package</v>
          </cell>
          <cell r="L1069" t="str">
            <v>Yes</v>
          </cell>
        </row>
        <row r="1070">
          <cell r="G1070" t="str">
            <v>Great Lakes</v>
          </cell>
          <cell r="H1070" t="str">
            <v>Great Lakes</v>
          </cell>
          <cell r="K1070" t="str">
            <v>Package</v>
          </cell>
          <cell r="L1070" t="str">
            <v>Yes</v>
          </cell>
        </row>
        <row r="1071">
          <cell r="G1071" t="str">
            <v>Great Lakes</v>
          </cell>
          <cell r="H1071" t="str">
            <v>Great Lakes</v>
          </cell>
          <cell r="K1071" t="str">
            <v>Draft</v>
          </cell>
          <cell r="L1071" t="str">
            <v>Yes</v>
          </cell>
        </row>
        <row r="1072">
          <cell r="G1072" t="str">
            <v>Great Lakes</v>
          </cell>
          <cell r="H1072" t="str">
            <v>Great Lakes</v>
          </cell>
          <cell r="K1072" t="str">
            <v>Package</v>
          </cell>
          <cell r="L1072" t="str">
            <v>Yes</v>
          </cell>
        </row>
        <row r="1073">
          <cell r="G1073" t="str">
            <v>Great Lakes</v>
          </cell>
          <cell r="H1073" t="str">
            <v>Great Lakes</v>
          </cell>
          <cell r="K1073" t="str">
            <v>Package</v>
          </cell>
          <cell r="L1073" t="str">
            <v>Yes</v>
          </cell>
        </row>
        <row r="1074">
          <cell r="G1074" t="str">
            <v>Great Lakes</v>
          </cell>
          <cell r="H1074" t="str">
            <v>Great Lakes</v>
          </cell>
          <cell r="K1074" t="str">
            <v>Package</v>
          </cell>
          <cell r="L1074" t="str">
            <v>Yes</v>
          </cell>
        </row>
        <row r="1075">
          <cell r="G1075" t="str">
            <v>Great Lakes</v>
          </cell>
          <cell r="H1075" t="str">
            <v>Great Lakes</v>
          </cell>
          <cell r="K1075" t="str">
            <v>Package</v>
          </cell>
          <cell r="L1075" t="str">
            <v>Yes</v>
          </cell>
        </row>
        <row r="1076">
          <cell r="G1076" t="str">
            <v>Narragansett</v>
          </cell>
          <cell r="H1076" t="str">
            <v>Narragansett</v>
          </cell>
          <cell r="K1076" t="str">
            <v>Draft</v>
          </cell>
          <cell r="L1076" t="str">
            <v>Yes</v>
          </cell>
        </row>
        <row r="1077">
          <cell r="G1077" t="str">
            <v>Del's Shandy</v>
          </cell>
          <cell r="H1077" t="str">
            <v>Narragansett</v>
          </cell>
          <cell r="K1077" t="str">
            <v>Draft</v>
          </cell>
          <cell r="L1077" t="str">
            <v>No</v>
          </cell>
        </row>
        <row r="1078">
          <cell r="G1078" t="str">
            <v>Narragansett</v>
          </cell>
          <cell r="H1078" t="str">
            <v>Narragansett</v>
          </cell>
          <cell r="K1078" t="str">
            <v>Package</v>
          </cell>
          <cell r="L1078" t="str">
            <v>Yes</v>
          </cell>
        </row>
        <row r="1079">
          <cell r="G1079" t="str">
            <v>Narragansett</v>
          </cell>
          <cell r="H1079" t="str">
            <v>Narragansett</v>
          </cell>
          <cell r="K1079" t="str">
            <v>Package</v>
          </cell>
          <cell r="L1079" t="str">
            <v>Yes</v>
          </cell>
        </row>
        <row r="1080">
          <cell r="G1080" t="str">
            <v>Narragansett</v>
          </cell>
          <cell r="H1080" t="str">
            <v>Narragansett</v>
          </cell>
          <cell r="K1080" t="str">
            <v>Package</v>
          </cell>
          <cell r="L1080" t="str">
            <v>Yes</v>
          </cell>
        </row>
        <row r="1081">
          <cell r="G1081" t="str">
            <v>Narragansett</v>
          </cell>
          <cell r="H1081" t="str">
            <v>Narragansett</v>
          </cell>
          <cell r="K1081" t="str">
            <v>Package</v>
          </cell>
          <cell r="L1081" t="str">
            <v>Yes</v>
          </cell>
        </row>
        <row r="1082">
          <cell r="G1082" t="str">
            <v>Narragansett</v>
          </cell>
          <cell r="H1082" t="str">
            <v>Narragansett</v>
          </cell>
          <cell r="K1082" t="str">
            <v>Package</v>
          </cell>
          <cell r="L1082" t="str">
            <v>No</v>
          </cell>
        </row>
        <row r="1083">
          <cell r="G1083" t="str">
            <v>Del's Shandy</v>
          </cell>
          <cell r="H1083" t="str">
            <v>Narragansett</v>
          </cell>
          <cell r="K1083" t="str">
            <v>Package</v>
          </cell>
          <cell r="L1083" t="str">
            <v>Yes</v>
          </cell>
        </row>
        <row r="1084">
          <cell r="G1084" t="str">
            <v>Narragansett</v>
          </cell>
          <cell r="H1084" t="str">
            <v>Narragansett</v>
          </cell>
          <cell r="K1084" t="str">
            <v>Package</v>
          </cell>
          <cell r="L1084" t="str">
            <v>No</v>
          </cell>
        </row>
        <row r="1085">
          <cell r="G1085" t="str">
            <v>Del's Shandy</v>
          </cell>
          <cell r="H1085" t="str">
            <v>Narragansett</v>
          </cell>
          <cell r="K1085" t="str">
            <v>Package</v>
          </cell>
          <cell r="L1085" t="str">
            <v>Yes</v>
          </cell>
        </row>
        <row r="1086">
          <cell r="G1086" t="str">
            <v>Narragansett</v>
          </cell>
          <cell r="H1086" t="str">
            <v>Narragansett</v>
          </cell>
          <cell r="K1086" t="str">
            <v>Package</v>
          </cell>
          <cell r="L1086" t="str">
            <v>No</v>
          </cell>
        </row>
        <row r="1087">
          <cell r="G1087" t="str">
            <v>Narragansett</v>
          </cell>
          <cell r="H1087" t="str">
            <v>Narragansett</v>
          </cell>
          <cell r="K1087" t="str">
            <v>Package</v>
          </cell>
          <cell r="L1087" t="str">
            <v>Yes</v>
          </cell>
        </row>
        <row r="1088">
          <cell r="G1088" t="str">
            <v>Narragansett</v>
          </cell>
          <cell r="H1088" t="str">
            <v>Narragansett</v>
          </cell>
          <cell r="K1088" t="str">
            <v>Package</v>
          </cell>
          <cell r="L1088" t="str">
            <v>Yes</v>
          </cell>
        </row>
        <row r="1089">
          <cell r="G1089" t="str">
            <v>Del's Shandy</v>
          </cell>
          <cell r="H1089" t="str">
            <v>Narragansett</v>
          </cell>
          <cell r="K1089" t="str">
            <v>Package</v>
          </cell>
          <cell r="L1089" t="str">
            <v>No</v>
          </cell>
        </row>
        <row r="1090">
          <cell r="G1090" t="str">
            <v>Narragansett</v>
          </cell>
          <cell r="H1090" t="str">
            <v>Narragansett</v>
          </cell>
          <cell r="K1090" t="str">
            <v>Package</v>
          </cell>
          <cell r="L1090" t="str">
            <v>No</v>
          </cell>
        </row>
        <row r="1091">
          <cell r="G1091" t="str">
            <v>Narragansett</v>
          </cell>
          <cell r="H1091" t="str">
            <v>Narragansett</v>
          </cell>
          <cell r="K1091" t="str">
            <v>Package</v>
          </cell>
          <cell r="L1091" t="str">
            <v>No</v>
          </cell>
        </row>
        <row r="1092">
          <cell r="G1092" t="str">
            <v>Narragansett</v>
          </cell>
          <cell r="H1092" t="str">
            <v>Narragansett</v>
          </cell>
          <cell r="K1092" t="str">
            <v>Package</v>
          </cell>
          <cell r="L1092" t="str">
            <v>No</v>
          </cell>
        </row>
        <row r="1093">
          <cell r="G1093" t="str">
            <v>Big Mans Brew</v>
          </cell>
          <cell r="H1093" t="str">
            <v>Flying Fish</v>
          </cell>
          <cell r="K1093" t="str">
            <v>Draft</v>
          </cell>
          <cell r="L1093" t="str">
            <v>Yes</v>
          </cell>
        </row>
        <row r="1094">
          <cell r="G1094" t="str">
            <v>Big Mans Brew</v>
          </cell>
          <cell r="H1094" t="str">
            <v>Flying Fish</v>
          </cell>
          <cell r="K1094" t="str">
            <v>Draft</v>
          </cell>
          <cell r="L1094" t="str">
            <v>Yes</v>
          </cell>
        </row>
        <row r="1095">
          <cell r="G1095" t="str">
            <v>Flying Fish</v>
          </cell>
          <cell r="H1095" t="str">
            <v>Flying Fish</v>
          </cell>
          <cell r="K1095" t="str">
            <v>Draft</v>
          </cell>
          <cell r="L1095" t="str">
            <v>No</v>
          </cell>
        </row>
        <row r="1096">
          <cell r="G1096" t="str">
            <v>Flying Fish</v>
          </cell>
          <cell r="H1096" t="str">
            <v>Flying Fish</v>
          </cell>
          <cell r="K1096" t="str">
            <v>Draft</v>
          </cell>
          <cell r="L1096" t="str">
            <v>No</v>
          </cell>
        </row>
        <row r="1097">
          <cell r="G1097" t="str">
            <v>Flying Fish</v>
          </cell>
          <cell r="H1097" t="str">
            <v>Flying Fish</v>
          </cell>
          <cell r="K1097" t="str">
            <v>Draft</v>
          </cell>
          <cell r="L1097" t="str">
            <v>No</v>
          </cell>
        </row>
        <row r="1098">
          <cell r="G1098" t="str">
            <v>Flying Fish</v>
          </cell>
          <cell r="H1098" t="str">
            <v>Flying Fish</v>
          </cell>
          <cell r="K1098" t="str">
            <v>Draft</v>
          </cell>
          <cell r="L1098" t="str">
            <v>No</v>
          </cell>
        </row>
        <row r="1099">
          <cell r="G1099" t="str">
            <v>Flying Fish</v>
          </cell>
          <cell r="H1099" t="str">
            <v>Flying Fish</v>
          </cell>
          <cell r="K1099" t="str">
            <v>Draft</v>
          </cell>
          <cell r="L1099" t="str">
            <v>No</v>
          </cell>
        </row>
        <row r="1100">
          <cell r="G1100" t="str">
            <v>Flying Fish</v>
          </cell>
          <cell r="H1100" t="str">
            <v>Flying Fish</v>
          </cell>
          <cell r="K1100" t="str">
            <v>Package</v>
          </cell>
          <cell r="L1100" t="str">
            <v>No</v>
          </cell>
        </row>
        <row r="1101">
          <cell r="G1101" t="str">
            <v>Flying Fish</v>
          </cell>
          <cell r="H1101" t="str">
            <v>Flying Fish</v>
          </cell>
          <cell r="K1101" t="str">
            <v>Package</v>
          </cell>
          <cell r="L1101" t="str">
            <v>No</v>
          </cell>
        </row>
        <row r="1102">
          <cell r="G1102" t="str">
            <v>Flying Fish</v>
          </cell>
          <cell r="H1102" t="str">
            <v>Flying Fish</v>
          </cell>
          <cell r="K1102" t="str">
            <v>Package</v>
          </cell>
          <cell r="L1102" t="str">
            <v>No</v>
          </cell>
        </row>
        <row r="1103">
          <cell r="G1103" t="str">
            <v>Flying Fish</v>
          </cell>
          <cell r="H1103" t="str">
            <v>Flying Fish</v>
          </cell>
          <cell r="K1103" t="str">
            <v>Package</v>
          </cell>
          <cell r="L1103" t="str">
            <v>No</v>
          </cell>
        </row>
        <row r="1104">
          <cell r="G1104" t="str">
            <v>Flying Fish</v>
          </cell>
          <cell r="H1104" t="str">
            <v>Flying Fish</v>
          </cell>
          <cell r="K1104" t="str">
            <v>Package</v>
          </cell>
          <cell r="L1104" t="str">
            <v>No</v>
          </cell>
        </row>
        <row r="1105">
          <cell r="G1105" t="str">
            <v>Flying Fish</v>
          </cell>
          <cell r="H1105" t="str">
            <v>Flying Fish</v>
          </cell>
          <cell r="K1105" t="str">
            <v>Package</v>
          </cell>
          <cell r="L1105" t="str">
            <v>No</v>
          </cell>
        </row>
        <row r="1106">
          <cell r="G1106" t="str">
            <v>Flying Fish</v>
          </cell>
          <cell r="H1106" t="str">
            <v>Flying Fish</v>
          </cell>
          <cell r="K1106" t="str">
            <v>Package</v>
          </cell>
          <cell r="L1106" t="str">
            <v>No</v>
          </cell>
        </row>
        <row r="1107">
          <cell r="G1107" t="str">
            <v>Flying Fish</v>
          </cell>
          <cell r="H1107" t="str">
            <v>Flying Fish</v>
          </cell>
          <cell r="K1107" t="str">
            <v>Package</v>
          </cell>
          <cell r="L1107" t="str">
            <v>No</v>
          </cell>
        </row>
        <row r="1108">
          <cell r="G1108" t="str">
            <v>Flying Fish</v>
          </cell>
          <cell r="H1108" t="str">
            <v>Flying Fish</v>
          </cell>
          <cell r="K1108" t="str">
            <v>Package</v>
          </cell>
          <cell r="L1108" t="str">
            <v>No</v>
          </cell>
        </row>
        <row r="1109">
          <cell r="G1109" t="str">
            <v>Flying Fish</v>
          </cell>
          <cell r="H1109" t="str">
            <v>Flying Fish</v>
          </cell>
          <cell r="K1109" t="str">
            <v>Draft</v>
          </cell>
          <cell r="L1109" t="str">
            <v>Yes</v>
          </cell>
        </row>
        <row r="1110">
          <cell r="G1110" t="str">
            <v>Flying Fish</v>
          </cell>
          <cell r="H1110" t="str">
            <v>Flying Fish</v>
          </cell>
          <cell r="K1110" t="str">
            <v>Draft</v>
          </cell>
          <cell r="L1110" t="str">
            <v>Yes</v>
          </cell>
        </row>
        <row r="1111">
          <cell r="G1111" t="str">
            <v>Flying Fish</v>
          </cell>
          <cell r="H1111" t="str">
            <v>Flying Fish</v>
          </cell>
          <cell r="K1111" t="str">
            <v>Draft</v>
          </cell>
          <cell r="L1111" t="str">
            <v>No</v>
          </cell>
        </row>
        <row r="1112">
          <cell r="G1112" t="str">
            <v>Flying Fish</v>
          </cell>
          <cell r="H1112" t="str">
            <v>Flying Fish</v>
          </cell>
          <cell r="K1112" t="str">
            <v>Draft</v>
          </cell>
          <cell r="L1112" t="str">
            <v>Yes</v>
          </cell>
        </row>
        <row r="1113">
          <cell r="G1113" t="str">
            <v>Flying Fish</v>
          </cell>
          <cell r="H1113" t="str">
            <v>Flying Fish</v>
          </cell>
          <cell r="K1113" t="str">
            <v>Draft</v>
          </cell>
          <cell r="L1113" t="str">
            <v>No</v>
          </cell>
        </row>
        <row r="1114">
          <cell r="G1114" t="str">
            <v>Flying Fish</v>
          </cell>
          <cell r="H1114" t="str">
            <v>Flying Fish</v>
          </cell>
          <cell r="K1114" t="str">
            <v>Draft</v>
          </cell>
          <cell r="L1114" t="str">
            <v>No</v>
          </cell>
        </row>
        <row r="1115">
          <cell r="G1115" t="str">
            <v>Flying Fish</v>
          </cell>
          <cell r="H1115" t="str">
            <v>Flying Fish</v>
          </cell>
          <cell r="K1115" t="str">
            <v>Draft</v>
          </cell>
          <cell r="L1115" t="str">
            <v>No</v>
          </cell>
        </row>
        <row r="1116">
          <cell r="G1116" t="str">
            <v>Flying Fish</v>
          </cell>
          <cell r="H1116" t="str">
            <v>Flying Fish</v>
          </cell>
          <cell r="K1116" t="str">
            <v>Draft</v>
          </cell>
          <cell r="L1116" t="str">
            <v>No</v>
          </cell>
        </row>
        <row r="1117">
          <cell r="G1117" t="str">
            <v>Flying Fish</v>
          </cell>
          <cell r="H1117" t="str">
            <v>Flying Fish</v>
          </cell>
          <cell r="K1117" t="str">
            <v>Draft</v>
          </cell>
          <cell r="L1117" t="str">
            <v>No</v>
          </cell>
        </row>
        <row r="1118">
          <cell r="G1118" t="str">
            <v>Flying Fish</v>
          </cell>
          <cell r="H1118" t="str">
            <v>Flying Fish</v>
          </cell>
          <cell r="K1118" t="str">
            <v>Draft</v>
          </cell>
          <cell r="L1118" t="str">
            <v>No</v>
          </cell>
        </row>
        <row r="1119">
          <cell r="G1119" t="str">
            <v>Flying Fish</v>
          </cell>
          <cell r="H1119" t="str">
            <v>Flying Fish</v>
          </cell>
          <cell r="K1119" t="str">
            <v>Draft</v>
          </cell>
          <cell r="L1119" t="str">
            <v>No</v>
          </cell>
        </row>
        <row r="1120">
          <cell r="G1120" t="str">
            <v>Flying Fish</v>
          </cell>
          <cell r="H1120" t="str">
            <v>Flying Fish</v>
          </cell>
          <cell r="K1120" t="str">
            <v>Draft</v>
          </cell>
          <cell r="L1120" t="str">
            <v>Yes</v>
          </cell>
        </row>
        <row r="1121">
          <cell r="G1121" t="str">
            <v>Flying Fish</v>
          </cell>
          <cell r="H1121" t="str">
            <v>Flying Fish</v>
          </cell>
          <cell r="K1121" t="str">
            <v>Draft</v>
          </cell>
          <cell r="L1121" t="str">
            <v>No</v>
          </cell>
        </row>
        <row r="1122">
          <cell r="G1122" t="str">
            <v>Flying Fish</v>
          </cell>
          <cell r="H1122" t="str">
            <v>Flying Fish</v>
          </cell>
          <cell r="K1122" t="str">
            <v>Draft</v>
          </cell>
          <cell r="L1122" t="str">
            <v>No</v>
          </cell>
        </row>
        <row r="1123">
          <cell r="G1123" t="str">
            <v>Flying Fish</v>
          </cell>
          <cell r="H1123" t="str">
            <v>Flying Fish</v>
          </cell>
          <cell r="K1123" t="str">
            <v>Package</v>
          </cell>
          <cell r="L1123" t="str">
            <v>No</v>
          </cell>
        </row>
        <row r="1124">
          <cell r="G1124" t="str">
            <v>Flying Fish</v>
          </cell>
          <cell r="H1124" t="str">
            <v>Flying Fish</v>
          </cell>
          <cell r="K1124" t="str">
            <v>Package</v>
          </cell>
          <cell r="L1124" t="str">
            <v>No</v>
          </cell>
        </row>
        <row r="1125">
          <cell r="G1125" t="str">
            <v>Flying Fish</v>
          </cell>
          <cell r="H1125" t="str">
            <v>Flying Fish</v>
          </cell>
          <cell r="K1125" t="str">
            <v>Package</v>
          </cell>
          <cell r="L1125" t="str">
            <v>No</v>
          </cell>
        </row>
        <row r="1126">
          <cell r="G1126" t="str">
            <v>Flying Fish</v>
          </cell>
          <cell r="H1126" t="str">
            <v>Flying Fish</v>
          </cell>
          <cell r="K1126" t="str">
            <v>Draft</v>
          </cell>
          <cell r="L1126" t="str">
            <v>No</v>
          </cell>
        </row>
        <row r="1127">
          <cell r="G1127" t="str">
            <v>Flying Fish</v>
          </cell>
          <cell r="H1127" t="str">
            <v>Flying Fish</v>
          </cell>
          <cell r="K1127" t="str">
            <v>Draft</v>
          </cell>
          <cell r="L1127" t="str">
            <v>No</v>
          </cell>
        </row>
        <row r="1128">
          <cell r="G1128" t="str">
            <v>Flying Fish</v>
          </cell>
          <cell r="H1128" t="str">
            <v>Flying Fish</v>
          </cell>
          <cell r="K1128" t="str">
            <v>Package</v>
          </cell>
          <cell r="L1128" t="str">
            <v>Yes</v>
          </cell>
        </row>
        <row r="1129">
          <cell r="G1129" t="str">
            <v>Flying Fish</v>
          </cell>
          <cell r="H1129" t="str">
            <v>Flying Fish</v>
          </cell>
          <cell r="K1129" t="str">
            <v>Draft</v>
          </cell>
          <cell r="L1129" t="str">
            <v>Yes</v>
          </cell>
        </row>
        <row r="1130">
          <cell r="G1130" t="str">
            <v>Flying Fish</v>
          </cell>
          <cell r="H1130" t="str">
            <v>Flying Fish</v>
          </cell>
          <cell r="K1130" t="str">
            <v>Draft</v>
          </cell>
          <cell r="L1130" t="str">
            <v>Yes</v>
          </cell>
        </row>
        <row r="1131">
          <cell r="G1131" t="str">
            <v>Flying Fish</v>
          </cell>
          <cell r="H1131" t="str">
            <v>Flying Fish</v>
          </cell>
          <cell r="K1131" t="str">
            <v>Package</v>
          </cell>
          <cell r="L1131" t="str">
            <v>No</v>
          </cell>
        </row>
        <row r="1132">
          <cell r="G1132" t="str">
            <v>Flying Fish</v>
          </cell>
          <cell r="H1132" t="str">
            <v>Flying Fish</v>
          </cell>
          <cell r="K1132" t="str">
            <v>Package</v>
          </cell>
          <cell r="L1132" t="str">
            <v>Yes</v>
          </cell>
        </row>
        <row r="1133">
          <cell r="G1133" t="str">
            <v>Flying Fish</v>
          </cell>
          <cell r="H1133" t="str">
            <v>Flying Fish</v>
          </cell>
          <cell r="K1133" t="str">
            <v>Package</v>
          </cell>
          <cell r="L1133" t="str">
            <v>No</v>
          </cell>
        </row>
        <row r="1134">
          <cell r="G1134" t="str">
            <v>Flying Fish</v>
          </cell>
          <cell r="H1134" t="str">
            <v>Flying Fish</v>
          </cell>
          <cell r="K1134" t="str">
            <v>Package</v>
          </cell>
          <cell r="L1134" t="str">
            <v>Yes</v>
          </cell>
        </row>
        <row r="1135">
          <cell r="G1135" t="str">
            <v>Flying Fish</v>
          </cell>
          <cell r="H1135" t="str">
            <v>Flying Fish</v>
          </cell>
          <cell r="K1135" t="str">
            <v>Package</v>
          </cell>
          <cell r="L1135" t="str">
            <v>No</v>
          </cell>
        </row>
        <row r="1136">
          <cell r="G1136" t="str">
            <v>Flying Fish</v>
          </cell>
          <cell r="H1136" t="str">
            <v>Flying Fish</v>
          </cell>
          <cell r="K1136" t="str">
            <v>Draft</v>
          </cell>
          <cell r="L1136" t="str">
            <v>Yes</v>
          </cell>
        </row>
        <row r="1137">
          <cell r="G1137" t="str">
            <v>Flying Fish</v>
          </cell>
          <cell r="H1137" t="str">
            <v>Flying Fish</v>
          </cell>
          <cell r="K1137" t="str">
            <v>Draft</v>
          </cell>
          <cell r="L1137" t="str">
            <v>No</v>
          </cell>
        </row>
        <row r="1138">
          <cell r="G1138" t="str">
            <v>Flying Fish</v>
          </cell>
          <cell r="H1138" t="str">
            <v>Flying Fish</v>
          </cell>
          <cell r="K1138" t="str">
            <v>Package</v>
          </cell>
          <cell r="L1138" t="str">
            <v>No</v>
          </cell>
        </row>
        <row r="1139">
          <cell r="G1139" t="str">
            <v>Flying Fish</v>
          </cell>
          <cell r="H1139" t="str">
            <v>Flying Fish</v>
          </cell>
          <cell r="K1139" t="str">
            <v>Package</v>
          </cell>
          <cell r="L1139" t="str">
            <v>Yes</v>
          </cell>
        </row>
        <row r="1140">
          <cell r="G1140" t="str">
            <v>Flying Fish</v>
          </cell>
          <cell r="H1140" t="str">
            <v>Flying Fish</v>
          </cell>
          <cell r="K1140" t="str">
            <v>Package</v>
          </cell>
          <cell r="L1140" t="str">
            <v>No</v>
          </cell>
        </row>
        <row r="1141">
          <cell r="G1141" t="str">
            <v>Flying Fish</v>
          </cell>
          <cell r="H1141" t="str">
            <v>Flying Fish</v>
          </cell>
          <cell r="K1141" t="str">
            <v>Package</v>
          </cell>
          <cell r="L1141" t="str">
            <v>No</v>
          </cell>
        </row>
        <row r="1142">
          <cell r="G1142" t="str">
            <v>Flying Fish</v>
          </cell>
          <cell r="H1142" t="str">
            <v>Flying Fish</v>
          </cell>
          <cell r="K1142" t="str">
            <v>Package</v>
          </cell>
          <cell r="L1142" t="str">
            <v>No</v>
          </cell>
        </row>
        <row r="1143">
          <cell r="G1143" t="str">
            <v>Big Mans Brew</v>
          </cell>
          <cell r="H1143" t="str">
            <v>Flying Fish</v>
          </cell>
          <cell r="K1143" t="str">
            <v>Package</v>
          </cell>
          <cell r="L1143" t="str">
            <v>No</v>
          </cell>
        </row>
        <row r="1144">
          <cell r="G1144" t="str">
            <v>Big Mans Brew</v>
          </cell>
          <cell r="H1144" t="str">
            <v>Flying Fish</v>
          </cell>
          <cell r="K1144" t="str">
            <v>Package</v>
          </cell>
          <cell r="L1144" t="str">
            <v>No</v>
          </cell>
        </row>
        <row r="1145">
          <cell r="G1145" t="str">
            <v>Flying Fish</v>
          </cell>
          <cell r="H1145" t="str">
            <v>Flying Fish</v>
          </cell>
          <cell r="K1145" t="str">
            <v>Package</v>
          </cell>
          <cell r="L1145" t="str">
            <v>No</v>
          </cell>
        </row>
        <row r="1146">
          <cell r="G1146" t="str">
            <v>Flying Fish</v>
          </cell>
          <cell r="H1146" t="str">
            <v>Flying Fish</v>
          </cell>
          <cell r="K1146" t="str">
            <v>Package</v>
          </cell>
          <cell r="L1146" t="str">
            <v>No</v>
          </cell>
        </row>
        <row r="1147">
          <cell r="G1147" t="str">
            <v>Flying Fish</v>
          </cell>
          <cell r="H1147" t="str">
            <v>Flying Fish</v>
          </cell>
          <cell r="K1147" t="str">
            <v>Package</v>
          </cell>
          <cell r="L1147" t="str">
            <v>No</v>
          </cell>
        </row>
        <row r="1148">
          <cell r="G1148" t="str">
            <v>Flying Fish</v>
          </cell>
          <cell r="H1148" t="str">
            <v>Flying Fish</v>
          </cell>
          <cell r="K1148" t="str">
            <v>Draft</v>
          </cell>
          <cell r="L1148" t="str">
            <v>No</v>
          </cell>
        </row>
        <row r="1149">
          <cell r="G1149" t="str">
            <v>Flying Fish</v>
          </cell>
          <cell r="H1149" t="str">
            <v>Flying Fish</v>
          </cell>
          <cell r="K1149" t="str">
            <v>Package</v>
          </cell>
          <cell r="L1149" t="str">
            <v>No</v>
          </cell>
        </row>
        <row r="1150">
          <cell r="G1150" t="str">
            <v>Flying Fish</v>
          </cell>
          <cell r="H1150" t="str">
            <v>Flying Fish</v>
          </cell>
          <cell r="K1150" t="str">
            <v>Draft</v>
          </cell>
          <cell r="L1150" t="str">
            <v>No</v>
          </cell>
        </row>
        <row r="1151">
          <cell r="G1151" t="str">
            <v>Flying Fish</v>
          </cell>
          <cell r="H1151" t="str">
            <v>Flying Fish</v>
          </cell>
          <cell r="K1151" t="str">
            <v>Draft</v>
          </cell>
          <cell r="L1151" t="str">
            <v>No</v>
          </cell>
        </row>
        <row r="1152">
          <cell r="G1152" t="str">
            <v>Flying Fish</v>
          </cell>
          <cell r="H1152" t="str">
            <v>Flying Fish</v>
          </cell>
          <cell r="K1152" t="str">
            <v>Package</v>
          </cell>
          <cell r="L1152" t="str">
            <v>No</v>
          </cell>
        </row>
        <row r="1153">
          <cell r="G1153" t="str">
            <v>Flying Fish</v>
          </cell>
          <cell r="H1153" t="str">
            <v>Flying Fish</v>
          </cell>
          <cell r="K1153" t="str">
            <v>Draft</v>
          </cell>
          <cell r="L1153" t="str">
            <v>No</v>
          </cell>
        </row>
        <row r="1154">
          <cell r="G1154" t="str">
            <v>Flying Fish</v>
          </cell>
          <cell r="H1154" t="str">
            <v>Flying Fish</v>
          </cell>
          <cell r="K1154" t="str">
            <v>Package</v>
          </cell>
          <cell r="L1154" t="str">
            <v>No</v>
          </cell>
        </row>
        <row r="1155">
          <cell r="G1155" t="str">
            <v>Flying Fish</v>
          </cell>
          <cell r="H1155" t="str">
            <v>Flying Fish</v>
          </cell>
          <cell r="K1155" t="str">
            <v>Package</v>
          </cell>
          <cell r="L1155" t="str">
            <v>No</v>
          </cell>
        </row>
        <row r="1156">
          <cell r="G1156" t="str">
            <v>Flying Fish</v>
          </cell>
          <cell r="H1156" t="str">
            <v>Flying Fish</v>
          </cell>
          <cell r="K1156" t="str">
            <v>Draft</v>
          </cell>
          <cell r="L1156" t="str">
            <v>No</v>
          </cell>
        </row>
        <row r="1157">
          <cell r="G1157" t="str">
            <v>Flying Fish</v>
          </cell>
          <cell r="H1157" t="str">
            <v>Flying Fish</v>
          </cell>
          <cell r="K1157" t="str">
            <v>Package</v>
          </cell>
          <cell r="L1157" t="str">
            <v>No</v>
          </cell>
        </row>
        <row r="1158">
          <cell r="G1158" t="str">
            <v>Flying Fish</v>
          </cell>
          <cell r="H1158" t="str">
            <v>Flying Fish</v>
          </cell>
          <cell r="K1158" t="str">
            <v>Package</v>
          </cell>
          <cell r="L1158" t="str">
            <v>No</v>
          </cell>
        </row>
        <row r="1159">
          <cell r="G1159" t="str">
            <v>Flying Fish</v>
          </cell>
          <cell r="H1159" t="str">
            <v>Flying Fish</v>
          </cell>
          <cell r="K1159" t="str">
            <v>Draft</v>
          </cell>
          <cell r="L1159" t="str">
            <v>No</v>
          </cell>
        </row>
        <row r="1160">
          <cell r="G1160" t="str">
            <v>Flying Fish</v>
          </cell>
          <cell r="H1160" t="str">
            <v>Flying Fish</v>
          </cell>
          <cell r="K1160" t="str">
            <v>Package</v>
          </cell>
          <cell r="L1160" t="str">
            <v>No</v>
          </cell>
        </row>
        <row r="1161">
          <cell r="G1161" t="str">
            <v>Flying Fish</v>
          </cell>
          <cell r="H1161" t="str">
            <v>Flying Fish</v>
          </cell>
          <cell r="K1161" t="str">
            <v>Package</v>
          </cell>
          <cell r="L1161" t="str">
            <v>No</v>
          </cell>
        </row>
        <row r="1162">
          <cell r="G1162" t="str">
            <v>Flying Fish</v>
          </cell>
          <cell r="H1162" t="str">
            <v>Flying Fish</v>
          </cell>
          <cell r="K1162" t="str">
            <v>Draft</v>
          </cell>
          <cell r="L1162" t="str">
            <v>No</v>
          </cell>
        </row>
        <row r="1163">
          <cell r="G1163" t="str">
            <v>Flying Fish</v>
          </cell>
          <cell r="H1163" t="str">
            <v>Flying Fish</v>
          </cell>
          <cell r="K1163" t="str">
            <v>Package</v>
          </cell>
          <cell r="L1163" t="str">
            <v>No</v>
          </cell>
        </row>
        <row r="1164">
          <cell r="G1164" t="str">
            <v>Flying Fish</v>
          </cell>
          <cell r="H1164" t="str">
            <v>Flying Fish</v>
          </cell>
          <cell r="K1164" t="str">
            <v>Package</v>
          </cell>
          <cell r="L1164" t="str">
            <v>No</v>
          </cell>
        </row>
        <row r="1165">
          <cell r="G1165" t="str">
            <v>Flying Fish</v>
          </cell>
          <cell r="H1165" t="str">
            <v>Flying Fish</v>
          </cell>
          <cell r="K1165" t="str">
            <v>Package</v>
          </cell>
          <cell r="L1165" t="str">
            <v>Yes</v>
          </cell>
        </row>
        <row r="1166">
          <cell r="G1166" t="str">
            <v>Flying Fish</v>
          </cell>
          <cell r="H1166" t="str">
            <v>Flying Fish</v>
          </cell>
          <cell r="K1166" t="str">
            <v>Draft</v>
          </cell>
          <cell r="L1166" t="str">
            <v>No</v>
          </cell>
        </row>
        <row r="1167">
          <cell r="G1167" t="str">
            <v>Flying Fish</v>
          </cell>
          <cell r="H1167" t="str">
            <v>Flying Fish</v>
          </cell>
          <cell r="K1167" t="str">
            <v>Package</v>
          </cell>
          <cell r="L1167" t="str">
            <v>No</v>
          </cell>
        </row>
        <row r="1168">
          <cell r="G1168" t="str">
            <v>Flying Fish</v>
          </cell>
          <cell r="H1168" t="str">
            <v>Flying Fish</v>
          </cell>
          <cell r="K1168" t="str">
            <v>Package</v>
          </cell>
          <cell r="L1168" t="str">
            <v>No</v>
          </cell>
        </row>
        <row r="1169">
          <cell r="G1169" t="str">
            <v>Flying Fish</v>
          </cell>
          <cell r="H1169" t="str">
            <v>Flying Fish</v>
          </cell>
          <cell r="K1169" t="str">
            <v>Draft</v>
          </cell>
          <cell r="L1169" t="str">
            <v>No</v>
          </cell>
        </row>
        <row r="1170">
          <cell r="G1170" t="str">
            <v>Flying Fish</v>
          </cell>
          <cell r="H1170" t="str">
            <v>Flying Fish</v>
          </cell>
          <cell r="K1170" t="str">
            <v>Package</v>
          </cell>
          <cell r="L1170" t="str">
            <v>No</v>
          </cell>
        </row>
        <row r="1171">
          <cell r="G1171" t="str">
            <v>Flying Fish</v>
          </cell>
          <cell r="H1171" t="str">
            <v>Flying Fish</v>
          </cell>
          <cell r="K1171" t="str">
            <v>Package</v>
          </cell>
          <cell r="L1171" t="str">
            <v>Yes</v>
          </cell>
        </row>
        <row r="1172">
          <cell r="G1172" t="str">
            <v>Barn Brew</v>
          </cell>
          <cell r="H1172" t="str">
            <v>Barn Brew Co</v>
          </cell>
          <cell r="K1172" t="str">
            <v>Package</v>
          </cell>
          <cell r="L1172" t="str">
            <v>Yes</v>
          </cell>
        </row>
        <row r="1173">
          <cell r="G1173" t="str">
            <v>Barn Brew</v>
          </cell>
          <cell r="H1173" t="str">
            <v>Barn Brew Co</v>
          </cell>
          <cell r="K1173" t="str">
            <v>Draft</v>
          </cell>
          <cell r="L1173" t="str">
            <v>Yes</v>
          </cell>
        </row>
        <row r="1174">
          <cell r="G1174" t="str">
            <v>Barn Brew</v>
          </cell>
          <cell r="H1174" t="str">
            <v>Barn Brew Co</v>
          </cell>
          <cell r="K1174" t="str">
            <v>Package</v>
          </cell>
          <cell r="L1174" t="str">
            <v>Yes</v>
          </cell>
        </row>
        <row r="1175">
          <cell r="G1175" t="str">
            <v>Barn Brew</v>
          </cell>
          <cell r="H1175" t="str">
            <v>Barn Brew Co</v>
          </cell>
          <cell r="K1175" t="str">
            <v>Draft</v>
          </cell>
          <cell r="L1175" t="str">
            <v>Yes</v>
          </cell>
        </row>
        <row r="1176">
          <cell r="G1176" t="str">
            <v>Barn Brew</v>
          </cell>
          <cell r="H1176" t="str">
            <v>Barn Brew Co</v>
          </cell>
          <cell r="K1176" t="str">
            <v>Package</v>
          </cell>
          <cell r="L1176" t="str">
            <v>Yes</v>
          </cell>
        </row>
        <row r="1177">
          <cell r="G1177" t="str">
            <v>Barn Brew</v>
          </cell>
          <cell r="H1177" t="str">
            <v>Barn Brew Co</v>
          </cell>
          <cell r="K1177" t="str">
            <v>Package</v>
          </cell>
          <cell r="L1177" t="str">
            <v>Yes</v>
          </cell>
        </row>
        <row r="1178">
          <cell r="G1178" t="str">
            <v>Barn Brew</v>
          </cell>
          <cell r="H1178" t="str">
            <v>Barn Brew Co</v>
          </cell>
          <cell r="K1178" t="str">
            <v>Draft</v>
          </cell>
          <cell r="L1178" t="str">
            <v>Yes</v>
          </cell>
        </row>
        <row r="1179">
          <cell r="G1179" t="str">
            <v>Flying Fish</v>
          </cell>
          <cell r="H1179" t="str">
            <v>Flying Fish</v>
          </cell>
          <cell r="K1179" t="str">
            <v>Package</v>
          </cell>
          <cell r="L1179" t="str">
            <v>No</v>
          </cell>
        </row>
        <row r="1180">
          <cell r="G1180" t="str">
            <v>Flying Fish</v>
          </cell>
          <cell r="H1180" t="str">
            <v>Flying Fish</v>
          </cell>
          <cell r="K1180" t="str">
            <v>Draft</v>
          </cell>
          <cell r="L1180" t="str">
            <v>No</v>
          </cell>
        </row>
        <row r="1181">
          <cell r="G1181" t="str">
            <v>Duclaw</v>
          </cell>
          <cell r="H1181" t="str">
            <v>Duclaw Brewing</v>
          </cell>
          <cell r="K1181" t="str">
            <v>Draft</v>
          </cell>
          <cell r="L1181" t="str">
            <v>No</v>
          </cell>
        </row>
        <row r="1182">
          <cell r="G1182" t="str">
            <v>Duclaw</v>
          </cell>
          <cell r="H1182" t="str">
            <v>Duclaw Brewing</v>
          </cell>
          <cell r="K1182" t="str">
            <v>Draft</v>
          </cell>
          <cell r="L1182" t="str">
            <v>No</v>
          </cell>
        </row>
        <row r="1183">
          <cell r="G1183" t="str">
            <v>Duclaw</v>
          </cell>
          <cell r="H1183" t="str">
            <v>Duclaw Brewing</v>
          </cell>
          <cell r="K1183" t="str">
            <v>Package</v>
          </cell>
          <cell r="L1183" t="str">
            <v>No</v>
          </cell>
        </row>
        <row r="1184">
          <cell r="G1184" t="str">
            <v>Duclaw</v>
          </cell>
          <cell r="H1184" t="str">
            <v>Duclaw Brewing</v>
          </cell>
          <cell r="K1184" t="str">
            <v>Package</v>
          </cell>
          <cell r="L1184" t="str">
            <v>No</v>
          </cell>
        </row>
        <row r="1185">
          <cell r="G1185" t="str">
            <v>Duclaw</v>
          </cell>
          <cell r="H1185" t="str">
            <v>Duclaw Brewing</v>
          </cell>
          <cell r="K1185" t="str">
            <v>Package</v>
          </cell>
          <cell r="L1185" t="str">
            <v>No</v>
          </cell>
        </row>
        <row r="1186">
          <cell r="G1186" t="str">
            <v>Duclaw</v>
          </cell>
          <cell r="H1186" t="str">
            <v>Duclaw Brewing</v>
          </cell>
          <cell r="K1186" t="str">
            <v>Package</v>
          </cell>
          <cell r="L1186" t="str">
            <v>No</v>
          </cell>
        </row>
        <row r="1187">
          <cell r="G1187" t="str">
            <v>Duclaw</v>
          </cell>
          <cell r="H1187" t="str">
            <v>Duclaw Brewing</v>
          </cell>
          <cell r="K1187" t="str">
            <v>Package</v>
          </cell>
          <cell r="L1187" t="str">
            <v>No</v>
          </cell>
        </row>
        <row r="1188">
          <cell r="G1188" t="str">
            <v>Duclaw</v>
          </cell>
          <cell r="H1188" t="str">
            <v>Duclaw Brewing</v>
          </cell>
          <cell r="K1188" t="str">
            <v>Package</v>
          </cell>
          <cell r="L1188" t="str">
            <v>No</v>
          </cell>
        </row>
        <row r="1189">
          <cell r="G1189" t="str">
            <v>Duclaw</v>
          </cell>
          <cell r="H1189" t="str">
            <v>Duclaw Brewing</v>
          </cell>
          <cell r="K1189" t="str">
            <v>Package</v>
          </cell>
          <cell r="L1189" t="str">
            <v>No</v>
          </cell>
        </row>
        <row r="1190">
          <cell r="G1190" t="str">
            <v>Duclaw</v>
          </cell>
          <cell r="H1190" t="str">
            <v>Duclaw Brewing</v>
          </cell>
          <cell r="K1190" t="str">
            <v>Package</v>
          </cell>
          <cell r="L1190" t="str">
            <v>No</v>
          </cell>
        </row>
        <row r="1191">
          <cell r="G1191" t="str">
            <v>Duclaw</v>
          </cell>
          <cell r="H1191" t="str">
            <v>Duclaw Brewing</v>
          </cell>
          <cell r="K1191" t="str">
            <v>Package</v>
          </cell>
          <cell r="L1191" t="str">
            <v>No</v>
          </cell>
        </row>
        <row r="1192">
          <cell r="G1192" t="str">
            <v>Duclaw</v>
          </cell>
          <cell r="H1192" t="str">
            <v>Duclaw Brewing</v>
          </cell>
          <cell r="K1192" t="str">
            <v>Package</v>
          </cell>
          <cell r="L1192" t="str">
            <v>No</v>
          </cell>
        </row>
        <row r="1193">
          <cell r="G1193" t="str">
            <v>Duclaw</v>
          </cell>
          <cell r="H1193" t="str">
            <v>Duclaw Brewing</v>
          </cell>
          <cell r="K1193" t="str">
            <v>Package</v>
          </cell>
          <cell r="L1193" t="str">
            <v>No</v>
          </cell>
        </row>
        <row r="1194">
          <cell r="G1194" t="str">
            <v>Duclaw</v>
          </cell>
          <cell r="H1194" t="str">
            <v>Duclaw Brewing</v>
          </cell>
          <cell r="K1194" t="str">
            <v>Package</v>
          </cell>
          <cell r="L1194" t="str">
            <v>No</v>
          </cell>
        </row>
        <row r="1195">
          <cell r="G1195" t="str">
            <v>Duclaw</v>
          </cell>
          <cell r="H1195" t="str">
            <v>Duclaw Brewing</v>
          </cell>
          <cell r="K1195" t="str">
            <v>Package</v>
          </cell>
          <cell r="L1195" t="str">
            <v>No</v>
          </cell>
        </row>
        <row r="1196">
          <cell r="G1196" t="str">
            <v>Duclaw</v>
          </cell>
          <cell r="H1196" t="str">
            <v>Duclaw Brewing</v>
          </cell>
          <cell r="K1196" t="str">
            <v>Package</v>
          </cell>
          <cell r="L1196" t="str">
            <v>No</v>
          </cell>
        </row>
        <row r="1197">
          <cell r="G1197" t="str">
            <v>Duclaw</v>
          </cell>
          <cell r="H1197" t="str">
            <v>Duclaw Brewing</v>
          </cell>
          <cell r="K1197" t="str">
            <v>Package</v>
          </cell>
          <cell r="L1197" t="str">
            <v>No</v>
          </cell>
        </row>
        <row r="1198">
          <cell r="G1198" t="str">
            <v>Duclaw</v>
          </cell>
          <cell r="H1198" t="str">
            <v>Duclaw Brewing</v>
          </cell>
          <cell r="K1198" t="str">
            <v>Package</v>
          </cell>
          <cell r="L1198" t="str">
            <v>No</v>
          </cell>
        </row>
        <row r="1199">
          <cell r="G1199" t="str">
            <v>Duclaw</v>
          </cell>
          <cell r="H1199" t="str">
            <v>Duclaw Brewing</v>
          </cell>
          <cell r="K1199" t="str">
            <v>Package</v>
          </cell>
          <cell r="L1199" t="str">
            <v>No</v>
          </cell>
        </row>
        <row r="1200">
          <cell r="G1200" t="str">
            <v>Flying Fish</v>
          </cell>
          <cell r="H1200" t="str">
            <v>Flying Fish</v>
          </cell>
          <cell r="K1200" t="str">
            <v>Package</v>
          </cell>
          <cell r="L1200" t="str">
            <v>No</v>
          </cell>
        </row>
        <row r="1201">
          <cell r="G1201" t="str">
            <v>Duclaw</v>
          </cell>
          <cell r="H1201" t="str">
            <v>Duclaw Brewing</v>
          </cell>
          <cell r="K1201" t="str">
            <v>Package</v>
          </cell>
          <cell r="L1201" t="str">
            <v>No</v>
          </cell>
        </row>
        <row r="1202">
          <cell r="G1202" t="str">
            <v>Duclaw</v>
          </cell>
          <cell r="H1202" t="str">
            <v>Duclaw Brewing</v>
          </cell>
          <cell r="K1202" t="str">
            <v>Package</v>
          </cell>
          <cell r="L1202" t="str">
            <v>No</v>
          </cell>
        </row>
        <row r="1203">
          <cell r="G1203" t="str">
            <v>Duclaw</v>
          </cell>
          <cell r="H1203" t="str">
            <v>Duclaw Brewing</v>
          </cell>
          <cell r="K1203" t="str">
            <v>Draft</v>
          </cell>
          <cell r="L1203" t="str">
            <v>No</v>
          </cell>
        </row>
        <row r="1204">
          <cell r="G1204" t="str">
            <v>Whole Hog</v>
          </cell>
          <cell r="H1204" t="str">
            <v>Point Brewing</v>
          </cell>
          <cell r="K1204" t="str">
            <v>Draft</v>
          </cell>
          <cell r="L1204" t="str">
            <v>Yes</v>
          </cell>
        </row>
        <row r="1205">
          <cell r="G1205" t="str">
            <v>Duclaw</v>
          </cell>
          <cell r="H1205" t="str">
            <v>Duclaw Brewing</v>
          </cell>
          <cell r="K1205" t="str">
            <v>Package</v>
          </cell>
          <cell r="L1205" t="str">
            <v>No</v>
          </cell>
        </row>
        <row r="1206">
          <cell r="G1206" t="str">
            <v>Duclaw</v>
          </cell>
          <cell r="H1206" t="str">
            <v>Duclaw Brewing</v>
          </cell>
          <cell r="K1206" t="str">
            <v>Package</v>
          </cell>
          <cell r="L1206" t="str">
            <v>No</v>
          </cell>
        </row>
        <row r="1207">
          <cell r="G1207" t="str">
            <v>Duclaw</v>
          </cell>
          <cell r="H1207" t="str">
            <v>Duclaw Brewing</v>
          </cell>
          <cell r="K1207" t="str">
            <v>Draft</v>
          </cell>
          <cell r="L1207" t="str">
            <v>No</v>
          </cell>
        </row>
        <row r="1208">
          <cell r="G1208" t="str">
            <v>Duclaw</v>
          </cell>
          <cell r="H1208" t="str">
            <v>Duclaw Brewing</v>
          </cell>
          <cell r="K1208" t="str">
            <v>Package</v>
          </cell>
          <cell r="L1208" t="str">
            <v>No</v>
          </cell>
        </row>
        <row r="1209">
          <cell r="G1209" t="str">
            <v>Duclaw</v>
          </cell>
          <cell r="H1209" t="str">
            <v>Duclaw Brewing</v>
          </cell>
          <cell r="K1209" t="str">
            <v>Draft</v>
          </cell>
          <cell r="L1209" t="str">
            <v>No</v>
          </cell>
        </row>
        <row r="1210">
          <cell r="G1210" t="str">
            <v>Duclaw</v>
          </cell>
          <cell r="H1210" t="str">
            <v>Duclaw Brewing</v>
          </cell>
          <cell r="K1210" t="str">
            <v>Package</v>
          </cell>
          <cell r="L1210" t="str">
            <v>No</v>
          </cell>
        </row>
        <row r="1211">
          <cell r="G1211" t="str">
            <v>Duclaw</v>
          </cell>
          <cell r="H1211" t="str">
            <v>Duclaw Brewing</v>
          </cell>
          <cell r="K1211" t="str">
            <v>Draft</v>
          </cell>
          <cell r="L1211" t="str">
            <v>No</v>
          </cell>
        </row>
        <row r="1212">
          <cell r="G1212" t="str">
            <v>Whole Hog</v>
          </cell>
          <cell r="H1212" t="str">
            <v>Point Brewing</v>
          </cell>
          <cell r="K1212" t="str">
            <v>Package</v>
          </cell>
          <cell r="L1212" t="str">
            <v>Yes</v>
          </cell>
        </row>
        <row r="1213">
          <cell r="G1213" t="str">
            <v>Duclaw</v>
          </cell>
          <cell r="H1213" t="str">
            <v>Duclaw Brewing</v>
          </cell>
          <cell r="K1213" t="str">
            <v>Package</v>
          </cell>
          <cell r="L1213" t="str">
            <v>No</v>
          </cell>
        </row>
        <row r="1214">
          <cell r="G1214" t="str">
            <v>Duclaw</v>
          </cell>
          <cell r="H1214" t="str">
            <v>Duclaw Brewing</v>
          </cell>
          <cell r="K1214" t="str">
            <v>Package</v>
          </cell>
          <cell r="L1214" t="str">
            <v>No</v>
          </cell>
        </row>
        <row r="1215">
          <cell r="G1215" t="str">
            <v>Duclaw</v>
          </cell>
          <cell r="H1215" t="str">
            <v>Duclaw Brewing</v>
          </cell>
          <cell r="K1215" t="str">
            <v>Draft</v>
          </cell>
          <cell r="L1215" t="str">
            <v>No</v>
          </cell>
        </row>
        <row r="1216">
          <cell r="G1216" t="str">
            <v>Duclaw</v>
          </cell>
          <cell r="H1216" t="str">
            <v>Duclaw Brewing</v>
          </cell>
          <cell r="K1216" t="str">
            <v>Draft</v>
          </cell>
          <cell r="L1216" t="str">
            <v>No</v>
          </cell>
        </row>
        <row r="1217">
          <cell r="G1217" t="str">
            <v>Duclaw</v>
          </cell>
          <cell r="H1217" t="str">
            <v>Duclaw Brewing</v>
          </cell>
          <cell r="K1217" t="str">
            <v>Package</v>
          </cell>
          <cell r="L1217" t="str">
            <v>No</v>
          </cell>
        </row>
        <row r="1218">
          <cell r="G1218" t="str">
            <v>Duclaw</v>
          </cell>
          <cell r="H1218" t="str">
            <v>Duclaw Brewing</v>
          </cell>
          <cell r="K1218" t="str">
            <v>Package</v>
          </cell>
          <cell r="L1218" t="str">
            <v>No</v>
          </cell>
        </row>
        <row r="1219">
          <cell r="G1219" t="str">
            <v>Duclaw</v>
          </cell>
          <cell r="H1219" t="str">
            <v>Duclaw Brewing</v>
          </cell>
          <cell r="K1219" t="str">
            <v>Draft</v>
          </cell>
          <cell r="L1219" t="str">
            <v>No</v>
          </cell>
        </row>
        <row r="1220">
          <cell r="G1220" t="str">
            <v>Duclaw</v>
          </cell>
          <cell r="H1220" t="str">
            <v>Duclaw Brewing</v>
          </cell>
          <cell r="K1220" t="str">
            <v>Draft</v>
          </cell>
          <cell r="L1220" t="str">
            <v>No</v>
          </cell>
        </row>
        <row r="1221">
          <cell r="G1221" t="str">
            <v>Duclaw</v>
          </cell>
          <cell r="H1221" t="str">
            <v>Duclaw Brewing</v>
          </cell>
          <cell r="K1221" t="str">
            <v>Package</v>
          </cell>
          <cell r="L1221" t="str">
            <v>No</v>
          </cell>
        </row>
        <row r="1222">
          <cell r="G1222" t="str">
            <v>Duclaw</v>
          </cell>
          <cell r="H1222" t="str">
            <v>Duclaw Brewing</v>
          </cell>
          <cell r="K1222" t="str">
            <v>Package</v>
          </cell>
          <cell r="L1222" t="str">
            <v>No</v>
          </cell>
        </row>
        <row r="1223">
          <cell r="G1223" t="str">
            <v>Duclaw</v>
          </cell>
          <cell r="H1223" t="str">
            <v>Duclaw Brewing</v>
          </cell>
          <cell r="K1223" t="str">
            <v>Package</v>
          </cell>
          <cell r="L1223" t="str">
            <v>No</v>
          </cell>
        </row>
        <row r="1224">
          <cell r="G1224" t="str">
            <v>Duclaw</v>
          </cell>
          <cell r="H1224" t="str">
            <v>Duclaw Brewing</v>
          </cell>
          <cell r="K1224" t="str">
            <v>Package</v>
          </cell>
          <cell r="L1224" t="str">
            <v>No</v>
          </cell>
        </row>
        <row r="1225">
          <cell r="G1225" t="str">
            <v>Duclaw</v>
          </cell>
          <cell r="H1225" t="str">
            <v>Duclaw Brewing</v>
          </cell>
          <cell r="K1225" t="str">
            <v>Package</v>
          </cell>
          <cell r="L1225" t="str">
            <v>No</v>
          </cell>
        </row>
        <row r="1226">
          <cell r="G1226" t="str">
            <v>Duclaw</v>
          </cell>
          <cell r="H1226" t="str">
            <v>Duclaw Brewing</v>
          </cell>
          <cell r="K1226" t="str">
            <v>Package</v>
          </cell>
          <cell r="L1226" t="str">
            <v>No</v>
          </cell>
        </row>
        <row r="1227">
          <cell r="G1227" t="str">
            <v>Duclaw</v>
          </cell>
          <cell r="H1227" t="str">
            <v>Duclaw Brewing</v>
          </cell>
          <cell r="K1227" t="str">
            <v>Package</v>
          </cell>
          <cell r="L1227" t="str">
            <v>No</v>
          </cell>
        </row>
        <row r="1228">
          <cell r="G1228" t="str">
            <v>Duclaw</v>
          </cell>
          <cell r="H1228" t="str">
            <v>Duclaw Brewing</v>
          </cell>
          <cell r="K1228" t="str">
            <v>Package</v>
          </cell>
          <cell r="L1228" t="str">
            <v>No</v>
          </cell>
        </row>
        <row r="1229">
          <cell r="G1229" t="str">
            <v>Otter Creek</v>
          </cell>
          <cell r="H1229" t="str">
            <v>Harpoon Brewery</v>
          </cell>
          <cell r="K1229" t="str">
            <v>Draft</v>
          </cell>
          <cell r="L1229" t="str">
            <v>No</v>
          </cell>
        </row>
        <row r="1230">
          <cell r="G1230" t="str">
            <v>Otter Creek</v>
          </cell>
          <cell r="H1230" t="str">
            <v>Harpoon Brewery</v>
          </cell>
          <cell r="K1230" t="str">
            <v>Draft</v>
          </cell>
          <cell r="L1230" t="str">
            <v>No</v>
          </cell>
        </row>
        <row r="1231">
          <cell r="G1231" t="str">
            <v>Otter Creek</v>
          </cell>
          <cell r="H1231" t="str">
            <v>Harpoon Brewery</v>
          </cell>
          <cell r="K1231" t="str">
            <v>Package</v>
          </cell>
          <cell r="L1231" t="str">
            <v>No</v>
          </cell>
        </row>
        <row r="1232">
          <cell r="G1232" t="str">
            <v>Otter Creek</v>
          </cell>
          <cell r="H1232" t="str">
            <v>Harpoon Brewery</v>
          </cell>
          <cell r="K1232" t="str">
            <v>Package</v>
          </cell>
          <cell r="L1232" t="str">
            <v>Yes</v>
          </cell>
        </row>
        <row r="1233">
          <cell r="G1233" t="str">
            <v>Otter Creek</v>
          </cell>
          <cell r="H1233" t="str">
            <v>Harpoon Brewery</v>
          </cell>
          <cell r="K1233" t="str">
            <v>Package</v>
          </cell>
          <cell r="L1233" t="str">
            <v>No</v>
          </cell>
        </row>
        <row r="1234">
          <cell r="G1234" t="str">
            <v>Otter Creek</v>
          </cell>
          <cell r="H1234" t="str">
            <v>Harpoon Brewery</v>
          </cell>
          <cell r="K1234" t="str">
            <v>Package</v>
          </cell>
          <cell r="L1234" t="str">
            <v>No</v>
          </cell>
        </row>
        <row r="1235">
          <cell r="G1235" t="str">
            <v>Otter Creek</v>
          </cell>
          <cell r="H1235" t="str">
            <v>Harpoon Brewery</v>
          </cell>
          <cell r="K1235" t="str">
            <v>Draft</v>
          </cell>
          <cell r="L1235" t="str">
            <v>No</v>
          </cell>
        </row>
        <row r="1236">
          <cell r="G1236" t="str">
            <v>Otter Creek</v>
          </cell>
          <cell r="H1236" t="str">
            <v>Harpoon Brewery</v>
          </cell>
          <cell r="K1236" t="str">
            <v>Draft</v>
          </cell>
          <cell r="L1236" t="str">
            <v>No</v>
          </cell>
        </row>
        <row r="1237">
          <cell r="G1237" t="str">
            <v>Otter Creek</v>
          </cell>
          <cell r="H1237" t="str">
            <v>Harpoon Brewery</v>
          </cell>
          <cell r="K1237" t="str">
            <v>Draft</v>
          </cell>
          <cell r="L1237" t="str">
            <v>No</v>
          </cell>
        </row>
        <row r="1238">
          <cell r="G1238" t="str">
            <v>Otter Creek</v>
          </cell>
          <cell r="H1238" t="str">
            <v>Harpoon Brewery</v>
          </cell>
          <cell r="K1238" t="str">
            <v>Package</v>
          </cell>
          <cell r="L1238" t="str">
            <v>Yes</v>
          </cell>
        </row>
        <row r="1239">
          <cell r="G1239" t="str">
            <v>Otter Creek</v>
          </cell>
          <cell r="H1239" t="str">
            <v>Harpoon Brewery</v>
          </cell>
          <cell r="K1239" t="str">
            <v>Package</v>
          </cell>
          <cell r="L1239" t="str">
            <v>No</v>
          </cell>
        </row>
        <row r="1240">
          <cell r="G1240" t="str">
            <v>Shipyard</v>
          </cell>
          <cell r="H1240" t="str">
            <v>Total Beverage Solutions</v>
          </cell>
          <cell r="K1240" t="str">
            <v>Package</v>
          </cell>
          <cell r="L1240" t="str">
            <v>Yes</v>
          </cell>
        </row>
        <row r="1241">
          <cell r="G1241" t="str">
            <v>Shipyard</v>
          </cell>
          <cell r="H1241" t="str">
            <v>Total Beverage Solutions</v>
          </cell>
          <cell r="K1241" t="str">
            <v>Draft</v>
          </cell>
          <cell r="L1241" t="str">
            <v>Yes</v>
          </cell>
        </row>
        <row r="1242">
          <cell r="G1242" t="str">
            <v>Shipyard</v>
          </cell>
          <cell r="H1242" t="str">
            <v>Total Beverage Solutions</v>
          </cell>
          <cell r="K1242" t="str">
            <v>Draft</v>
          </cell>
          <cell r="L1242" t="str">
            <v>Yes</v>
          </cell>
        </row>
        <row r="1243">
          <cell r="G1243" t="str">
            <v>Shipyard</v>
          </cell>
          <cell r="H1243" t="str">
            <v>Total Beverage Solutions</v>
          </cell>
          <cell r="K1243" t="str">
            <v>Package</v>
          </cell>
          <cell r="L1243" t="str">
            <v>Yes</v>
          </cell>
        </row>
        <row r="1244">
          <cell r="G1244" t="str">
            <v>Shipyard</v>
          </cell>
          <cell r="H1244" t="str">
            <v>Total Beverage Solutions</v>
          </cell>
          <cell r="K1244" t="str">
            <v>Package</v>
          </cell>
          <cell r="L1244" t="str">
            <v>Yes</v>
          </cell>
        </row>
        <row r="1245">
          <cell r="G1245" t="str">
            <v>Southampton</v>
          </cell>
          <cell r="H1245" t="str">
            <v>Southampton</v>
          </cell>
          <cell r="K1245" t="str">
            <v>Package</v>
          </cell>
          <cell r="L1245" t="str">
            <v>Yes</v>
          </cell>
        </row>
        <row r="1246">
          <cell r="G1246" t="str">
            <v>Southampton</v>
          </cell>
          <cell r="H1246" t="str">
            <v>Southampton</v>
          </cell>
          <cell r="K1246" t="str">
            <v>Draft</v>
          </cell>
          <cell r="L1246" t="str">
            <v>No</v>
          </cell>
        </row>
        <row r="1247">
          <cell r="G1247" t="str">
            <v>Southampton</v>
          </cell>
          <cell r="H1247" t="str">
            <v>Southampton</v>
          </cell>
          <cell r="K1247" t="str">
            <v>Package</v>
          </cell>
          <cell r="L1247" t="str">
            <v>Yes</v>
          </cell>
        </row>
        <row r="1248">
          <cell r="G1248" t="str">
            <v>Southampton</v>
          </cell>
          <cell r="H1248" t="str">
            <v>Southampton</v>
          </cell>
          <cell r="K1248" t="str">
            <v>Draft</v>
          </cell>
          <cell r="L1248" t="str">
            <v>Yes</v>
          </cell>
        </row>
        <row r="1249">
          <cell r="G1249" t="str">
            <v>Southampton</v>
          </cell>
          <cell r="H1249" t="str">
            <v>Southampton</v>
          </cell>
          <cell r="K1249" t="str">
            <v>Draft</v>
          </cell>
          <cell r="L1249" t="str">
            <v>Yes</v>
          </cell>
        </row>
        <row r="1250">
          <cell r="G1250" t="str">
            <v>Southampton</v>
          </cell>
          <cell r="H1250" t="str">
            <v>Southampton</v>
          </cell>
          <cell r="K1250" t="str">
            <v>Package</v>
          </cell>
          <cell r="L1250" t="str">
            <v>No</v>
          </cell>
        </row>
        <row r="1251">
          <cell r="G1251" t="str">
            <v>Southampton</v>
          </cell>
          <cell r="H1251" t="str">
            <v>Southampton</v>
          </cell>
          <cell r="K1251" t="str">
            <v>Draft</v>
          </cell>
          <cell r="L1251" t="str">
            <v>Yes</v>
          </cell>
        </row>
        <row r="1252">
          <cell r="G1252" t="str">
            <v>Shed</v>
          </cell>
          <cell r="H1252" t="str">
            <v>Harpoon Brewery</v>
          </cell>
          <cell r="K1252" t="str">
            <v>Draft</v>
          </cell>
          <cell r="L1252" t="str">
            <v>Yes</v>
          </cell>
        </row>
        <row r="1253">
          <cell r="G1253" t="str">
            <v>Shed</v>
          </cell>
          <cell r="H1253" t="str">
            <v>Harpoon Brewery</v>
          </cell>
          <cell r="K1253" t="str">
            <v>Draft</v>
          </cell>
          <cell r="L1253" t="str">
            <v>No</v>
          </cell>
        </row>
        <row r="1254">
          <cell r="G1254" t="str">
            <v>Shed</v>
          </cell>
          <cell r="H1254" t="str">
            <v>Harpoon Brewery</v>
          </cell>
          <cell r="K1254" t="str">
            <v>Package</v>
          </cell>
          <cell r="L1254" t="str">
            <v>No</v>
          </cell>
        </row>
        <row r="1255">
          <cell r="G1255" t="str">
            <v>Shipyard</v>
          </cell>
          <cell r="H1255" t="str">
            <v>Total Beverage Solutions</v>
          </cell>
          <cell r="K1255" t="str">
            <v>Package</v>
          </cell>
          <cell r="L1255" t="str">
            <v>Yes</v>
          </cell>
        </row>
        <row r="1256">
          <cell r="G1256" t="str">
            <v>Shed</v>
          </cell>
          <cell r="H1256" t="str">
            <v>Harpoon Brewery</v>
          </cell>
          <cell r="K1256" t="str">
            <v>Draft</v>
          </cell>
          <cell r="L1256" t="str">
            <v>Yes</v>
          </cell>
        </row>
        <row r="1257">
          <cell r="G1257" t="str">
            <v>Shed</v>
          </cell>
          <cell r="H1257" t="str">
            <v>Harpoon Brewery</v>
          </cell>
          <cell r="K1257" t="str">
            <v>Draft</v>
          </cell>
          <cell r="L1257" t="str">
            <v>Yes</v>
          </cell>
        </row>
        <row r="1258">
          <cell r="G1258" t="str">
            <v>Shed</v>
          </cell>
          <cell r="H1258" t="str">
            <v>Harpoon Brewery</v>
          </cell>
          <cell r="K1258" t="str">
            <v>Package</v>
          </cell>
          <cell r="L1258" t="str">
            <v>Yes</v>
          </cell>
        </row>
        <row r="1259">
          <cell r="G1259" t="str">
            <v>Shed</v>
          </cell>
          <cell r="H1259" t="str">
            <v>Harpoon Brewery</v>
          </cell>
          <cell r="K1259" t="str">
            <v>Package</v>
          </cell>
          <cell r="L1259" t="str">
            <v>Yes</v>
          </cell>
        </row>
        <row r="1260">
          <cell r="G1260" t="str">
            <v>Shipyard</v>
          </cell>
          <cell r="H1260" t="str">
            <v>Total Beverage Solutions</v>
          </cell>
          <cell r="K1260" t="str">
            <v>Package</v>
          </cell>
          <cell r="L1260" t="str">
            <v>Yes</v>
          </cell>
        </row>
        <row r="1261">
          <cell r="G1261" t="str">
            <v>Shipyard</v>
          </cell>
          <cell r="H1261" t="str">
            <v>Total Beverage Solutions</v>
          </cell>
          <cell r="K1261" t="str">
            <v>Package</v>
          </cell>
          <cell r="L1261" t="str">
            <v>Yes</v>
          </cell>
        </row>
        <row r="1262">
          <cell r="G1262" t="str">
            <v>Shipyard</v>
          </cell>
          <cell r="H1262" t="str">
            <v>Total Beverage Solutions</v>
          </cell>
          <cell r="K1262" t="str">
            <v>Package</v>
          </cell>
          <cell r="L1262" t="str">
            <v>Yes</v>
          </cell>
        </row>
        <row r="1263">
          <cell r="G1263" t="str">
            <v>Shipyard</v>
          </cell>
          <cell r="H1263" t="str">
            <v>Total Beverage Solutions</v>
          </cell>
          <cell r="K1263" t="str">
            <v>Package</v>
          </cell>
          <cell r="L1263" t="str">
            <v>Yes</v>
          </cell>
        </row>
        <row r="1264">
          <cell r="G1264" t="str">
            <v>Shipyard</v>
          </cell>
          <cell r="H1264" t="str">
            <v>Total Beverage Solutions</v>
          </cell>
          <cell r="K1264" t="str">
            <v>Package</v>
          </cell>
          <cell r="L1264" t="str">
            <v>No</v>
          </cell>
        </row>
        <row r="1265">
          <cell r="G1265" t="str">
            <v>Coney Island</v>
          </cell>
          <cell r="H1265" t="str">
            <v>Boston Beer Company</v>
          </cell>
          <cell r="K1265" t="str">
            <v>Draft</v>
          </cell>
          <cell r="L1265" t="str">
            <v>Yes</v>
          </cell>
        </row>
        <row r="1266">
          <cell r="G1266" t="str">
            <v>Coney Island</v>
          </cell>
          <cell r="H1266" t="str">
            <v>Boston Beer Company</v>
          </cell>
          <cell r="K1266" t="str">
            <v>Package</v>
          </cell>
          <cell r="L1266" t="str">
            <v>No</v>
          </cell>
        </row>
        <row r="1267">
          <cell r="G1267" t="str">
            <v>Newburgh</v>
          </cell>
          <cell r="H1267" t="str">
            <v>Newburgh Brewing</v>
          </cell>
          <cell r="K1267" t="str">
            <v>Draft</v>
          </cell>
          <cell r="L1267" t="str">
            <v>No</v>
          </cell>
        </row>
        <row r="1268">
          <cell r="G1268" t="str">
            <v>Newburgh</v>
          </cell>
          <cell r="H1268" t="str">
            <v>Newburgh Brewing</v>
          </cell>
          <cell r="K1268" t="str">
            <v>Draft</v>
          </cell>
          <cell r="L1268" t="str">
            <v>No</v>
          </cell>
        </row>
        <row r="1269">
          <cell r="G1269" t="str">
            <v>Newburgh</v>
          </cell>
          <cell r="H1269" t="str">
            <v>Newburgh Brewing</v>
          </cell>
          <cell r="K1269" t="str">
            <v>Draft</v>
          </cell>
          <cell r="L1269" t="str">
            <v>No</v>
          </cell>
        </row>
        <row r="1270">
          <cell r="G1270" t="str">
            <v>Newburgh</v>
          </cell>
          <cell r="H1270" t="str">
            <v>Newburgh Brewing</v>
          </cell>
          <cell r="K1270" t="str">
            <v>Package</v>
          </cell>
          <cell r="L1270" t="str">
            <v>No</v>
          </cell>
        </row>
        <row r="1271">
          <cell r="G1271" t="str">
            <v>Newburgh</v>
          </cell>
          <cell r="H1271" t="str">
            <v>Newburgh Brewing</v>
          </cell>
          <cell r="K1271" t="str">
            <v>Draft</v>
          </cell>
          <cell r="L1271" t="str">
            <v>No</v>
          </cell>
        </row>
        <row r="1272">
          <cell r="G1272" t="str">
            <v>Newburgh</v>
          </cell>
          <cell r="H1272" t="str">
            <v>Newburgh Brewing</v>
          </cell>
          <cell r="K1272" t="str">
            <v>Draft</v>
          </cell>
          <cell r="L1272" t="str">
            <v>No</v>
          </cell>
        </row>
        <row r="1273">
          <cell r="G1273" t="str">
            <v>Newburgh</v>
          </cell>
          <cell r="H1273" t="str">
            <v>Newburgh Brewing</v>
          </cell>
          <cell r="K1273" t="str">
            <v>Draft</v>
          </cell>
          <cell r="L1273" t="str">
            <v>No</v>
          </cell>
        </row>
        <row r="1274">
          <cell r="G1274" t="str">
            <v>Newburgh</v>
          </cell>
          <cell r="H1274" t="str">
            <v>Newburgh Brewing</v>
          </cell>
          <cell r="K1274" t="str">
            <v>Draft</v>
          </cell>
          <cell r="L1274" t="str">
            <v>No</v>
          </cell>
        </row>
        <row r="1275">
          <cell r="G1275" t="str">
            <v>Newburgh</v>
          </cell>
          <cell r="H1275" t="str">
            <v>Newburgh Brewing</v>
          </cell>
          <cell r="K1275" t="str">
            <v>Draft</v>
          </cell>
          <cell r="L1275" t="str">
            <v>No</v>
          </cell>
        </row>
        <row r="1276">
          <cell r="G1276" t="str">
            <v>Newburgh</v>
          </cell>
          <cell r="H1276" t="str">
            <v>Newburgh Brewing</v>
          </cell>
          <cell r="K1276" t="str">
            <v>Draft</v>
          </cell>
          <cell r="L1276" t="str">
            <v>No</v>
          </cell>
        </row>
        <row r="1277">
          <cell r="G1277" t="str">
            <v>Newburgh</v>
          </cell>
          <cell r="H1277" t="str">
            <v>Newburgh Brewing</v>
          </cell>
          <cell r="K1277" t="str">
            <v>Draft</v>
          </cell>
          <cell r="L1277" t="str">
            <v>No</v>
          </cell>
        </row>
        <row r="1278">
          <cell r="G1278" t="str">
            <v>Newburgh</v>
          </cell>
          <cell r="H1278" t="str">
            <v>Newburgh Brewing</v>
          </cell>
          <cell r="K1278" t="str">
            <v>Package</v>
          </cell>
          <cell r="L1278" t="str">
            <v>No</v>
          </cell>
        </row>
        <row r="1279">
          <cell r="G1279" t="str">
            <v>Newburgh</v>
          </cell>
          <cell r="H1279" t="str">
            <v>Newburgh Brewing</v>
          </cell>
          <cell r="K1279" t="str">
            <v>Package</v>
          </cell>
          <cell r="L1279" t="str">
            <v>No</v>
          </cell>
        </row>
        <row r="1280">
          <cell r="G1280" t="str">
            <v>Newburgh</v>
          </cell>
          <cell r="H1280" t="str">
            <v>Newburgh Brewing</v>
          </cell>
          <cell r="K1280" t="str">
            <v>Draft</v>
          </cell>
          <cell r="L1280" t="str">
            <v>No</v>
          </cell>
        </row>
        <row r="1281">
          <cell r="G1281" t="str">
            <v>Newburgh</v>
          </cell>
          <cell r="H1281" t="str">
            <v>Newburgh Brewing</v>
          </cell>
          <cell r="K1281" t="str">
            <v>Package</v>
          </cell>
          <cell r="L1281" t="str">
            <v>No</v>
          </cell>
        </row>
        <row r="1282">
          <cell r="G1282" t="str">
            <v>Newburgh</v>
          </cell>
          <cell r="H1282" t="str">
            <v>Newburgh Brewing</v>
          </cell>
          <cell r="K1282" t="str">
            <v>Package</v>
          </cell>
          <cell r="L1282" t="str">
            <v>No</v>
          </cell>
        </row>
        <row r="1283">
          <cell r="G1283" t="str">
            <v>Newburgh</v>
          </cell>
          <cell r="H1283" t="str">
            <v>Newburgh Brewing</v>
          </cell>
          <cell r="K1283" t="str">
            <v>Draft</v>
          </cell>
          <cell r="L1283" t="str">
            <v>No</v>
          </cell>
        </row>
        <row r="1284">
          <cell r="G1284" t="str">
            <v>Newburgh</v>
          </cell>
          <cell r="H1284" t="str">
            <v>Newburgh Brewing</v>
          </cell>
          <cell r="K1284" t="str">
            <v>Draft</v>
          </cell>
          <cell r="L1284" t="str">
            <v>No</v>
          </cell>
        </row>
        <row r="1285">
          <cell r="G1285" t="str">
            <v>Newburgh</v>
          </cell>
          <cell r="H1285" t="str">
            <v>Newburgh Brewing</v>
          </cell>
          <cell r="K1285" t="str">
            <v>Draft</v>
          </cell>
          <cell r="L1285" t="str">
            <v>Yes</v>
          </cell>
        </row>
        <row r="1286">
          <cell r="G1286" t="str">
            <v>Newburgh</v>
          </cell>
          <cell r="H1286" t="str">
            <v>Newburgh Brewing</v>
          </cell>
          <cell r="K1286" t="str">
            <v>Draft</v>
          </cell>
          <cell r="L1286" t="str">
            <v>Yes</v>
          </cell>
        </row>
        <row r="1287">
          <cell r="G1287" t="str">
            <v>Newburgh</v>
          </cell>
          <cell r="H1287" t="str">
            <v>Newburgh Brewing</v>
          </cell>
          <cell r="K1287" t="str">
            <v>Draft</v>
          </cell>
          <cell r="L1287" t="str">
            <v>No</v>
          </cell>
        </row>
        <row r="1288">
          <cell r="G1288" t="str">
            <v>Newburgh</v>
          </cell>
          <cell r="H1288" t="str">
            <v>Newburgh Brewing</v>
          </cell>
          <cell r="K1288" t="str">
            <v>Draft</v>
          </cell>
          <cell r="L1288" t="str">
            <v>No</v>
          </cell>
        </row>
        <row r="1289">
          <cell r="G1289" t="str">
            <v>Newburgh</v>
          </cell>
          <cell r="H1289" t="str">
            <v>Newburgh Brewing</v>
          </cell>
          <cell r="K1289" t="str">
            <v>Draft</v>
          </cell>
          <cell r="L1289" t="str">
            <v>No</v>
          </cell>
        </row>
        <row r="1290">
          <cell r="G1290" t="str">
            <v>Newburgh</v>
          </cell>
          <cell r="H1290" t="str">
            <v>Newburgh Brewing</v>
          </cell>
          <cell r="K1290" t="str">
            <v>Draft</v>
          </cell>
          <cell r="L1290" t="str">
            <v>No</v>
          </cell>
        </row>
        <row r="1291">
          <cell r="G1291" t="str">
            <v>Newburgh</v>
          </cell>
          <cell r="H1291" t="str">
            <v>Newburgh Brewing</v>
          </cell>
          <cell r="K1291" t="str">
            <v>Draft</v>
          </cell>
          <cell r="L1291" t="str">
            <v>Yes</v>
          </cell>
        </row>
        <row r="1292">
          <cell r="G1292" t="str">
            <v>Newburgh</v>
          </cell>
          <cell r="H1292" t="str">
            <v>Newburgh Brewing</v>
          </cell>
          <cell r="K1292" t="str">
            <v>Draft</v>
          </cell>
          <cell r="L1292" t="str">
            <v>Yes</v>
          </cell>
        </row>
        <row r="1293">
          <cell r="G1293" t="str">
            <v>Newburgh</v>
          </cell>
          <cell r="H1293" t="str">
            <v>Newburgh Brewing</v>
          </cell>
          <cell r="K1293" t="str">
            <v>Draft</v>
          </cell>
          <cell r="L1293" t="str">
            <v>Yes</v>
          </cell>
        </row>
        <row r="1294">
          <cell r="G1294" t="str">
            <v>Newburgh</v>
          </cell>
          <cell r="H1294" t="str">
            <v>Newburgh Brewing</v>
          </cell>
          <cell r="K1294" t="str">
            <v>Draft</v>
          </cell>
          <cell r="L1294" t="str">
            <v>Yes</v>
          </cell>
        </row>
        <row r="1295">
          <cell r="G1295" t="str">
            <v>Newburgh</v>
          </cell>
          <cell r="H1295" t="str">
            <v>Newburgh Brewing</v>
          </cell>
          <cell r="K1295" t="str">
            <v>Package</v>
          </cell>
          <cell r="L1295" t="str">
            <v>Yes</v>
          </cell>
        </row>
        <row r="1296">
          <cell r="G1296" t="str">
            <v>Newburgh</v>
          </cell>
          <cell r="H1296" t="str">
            <v>Newburgh Brewing</v>
          </cell>
          <cell r="K1296" t="str">
            <v>Package</v>
          </cell>
          <cell r="L1296" t="str">
            <v>Yes</v>
          </cell>
        </row>
        <row r="1297">
          <cell r="G1297" t="str">
            <v>Newburgh</v>
          </cell>
          <cell r="H1297" t="str">
            <v>Newburgh Brewing</v>
          </cell>
          <cell r="K1297" t="str">
            <v>Draft</v>
          </cell>
          <cell r="L1297" t="str">
            <v>No</v>
          </cell>
        </row>
        <row r="1298">
          <cell r="G1298" t="str">
            <v>Newburgh</v>
          </cell>
          <cell r="H1298" t="str">
            <v>Newburgh Brewing</v>
          </cell>
          <cell r="K1298" t="str">
            <v>Package</v>
          </cell>
          <cell r="L1298" t="str">
            <v>Yes</v>
          </cell>
        </row>
        <row r="1299">
          <cell r="G1299" t="str">
            <v>Newburgh</v>
          </cell>
          <cell r="H1299" t="str">
            <v>Newburgh Brewing</v>
          </cell>
          <cell r="K1299" t="str">
            <v>Package</v>
          </cell>
          <cell r="L1299" t="str">
            <v>Yes</v>
          </cell>
        </row>
        <row r="1300">
          <cell r="G1300" t="str">
            <v>Newburgh</v>
          </cell>
          <cell r="H1300" t="str">
            <v>Newburgh Brewing</v>
          </cell>
          <cell r="K1300" t="str">
            <v>Package</v>
          </cell>
          <cell r="L1300" t="str">
            <v>No</v>
          </cell>
        </row>
        <row r="1301">
          <cell r="G1301" t="str">
            <v>Newburgh</v>
          </cell>
          <cell r="H1301" t="str">
            <v>Newburgh Brewing</v>
          </cell>
          <cell r="K1301" t="str">
            <v>Package</v>
          </cell>
          <cell r="L1301" t="str">
            <v>No</v>
          </cell>
        </row>
        <row r="1302">
          <cell r="G1302" t="str">
            <v>Newburgh</v>
          </cell>
          <cell r="H1302" t="str">
            <v>Newburgh Brewing</v>
          </cell>
          <cell r="K1302" t="str">
            <v>Package</v>
          </cell>
          <cell r="L1302" t="str">
            <v>No</v>
          </cell>
        </row>
        <row r="1303">
          <cell r="G1303" t="str">
            <v>Newburgh</v>
          </cell>
          <cell r="H1303" t="str">
            <v>Newburgh Brewing</v>
          </cell>
          <cell r="K1303" t="str">
            <v>Package</v>
          </cell>
          <cell r="L1303" t="str">
            <v>Yes</v>
          </cell>
        </row>
        <row r="1304">
          <cell r="G1304" t="str">
            <v>Newburgh</v>
          </cell>
          <cell r="H1304" t="str">
            <v>Newburgh Brewing</v>
          </cell>
          <cell r="K1304" t="str">
            <v>Draft</v>
          </cell>
          <cell r="L1304" t="str">
            <v>No</v>
          </cell>
        </row>
        <row r="1305">
          <cell r="G1305" t="str">
            <v>Fat Tire Family</v>
          </cell>
          <cell r="H1305" t="str">
            <v>New Belgium Brewing Company</v>
          </cell>
          <cell r="K1305" t="str">
            <v>Draft</v>
          </cell>
          <cell r="L1305" t="str">
            <v>Yes</v>
          </cell>
        </row>
        <row r="1306">
          <cell r="G1306" t="str">
            <v>Fat Tire Family</v>
          </cell>
          <cell r="H1306" t="str">
            <v>New Belgium Brewing Company</v>
          </cell>
          <cell r="K1306" t="str">
            <v>Draft</v>
          </cell>
          <cell r="L1306" t="str">
            <v>Yes</v>
          </cell>
        </row>
        <row r="1307">
          <cell r="G1307" t="str">
            <v>Voodoo Family</v>
          </cell>
          <cell r="H1307" t="str">
            <v>New Belgium Brewing Company</v>
          </cell>
          <cell r="K1307" t="str">
            <v>Draft</v>
          </cell>
          <cell r="L1307" t="str">
            <v>Yes</v>
          </cell>
        </row>
        <row r="1308">
          <cell r="G1308" t="str">
            <v>New Belgium Brewing Company</v>
          </cell>
          <cell r="H1308" t="str">
            <v>New Belgium Brewing Company</v>
          </cell>
          <cell r="K1308" t="str">
            <v>Draft</v>
          </cell>
          <cell r="L1308" t="str">
            <v>Yes</v>
          </cell>
        </row>
        <row r="1309">
          <cell r="G1309" t="str">
            <v>Voodoo Family</v>
          </cell>
          <cell r="H1309" t="str">
            <v>New Belgium Brewing Company</v>
          </cell>
          <cell r="K1309" t="str">
            <v>Draft</v>
          </cell>
          <cell r="L1309" t="str">
            <v>Yes</v>
          </cell>
        </row>
        <row r="1310">
          <cell r="G1310" t="str">
            <v>Voodoo Family</v>
          </cell>
          <cell r="H1310" t="str">
            <v>New Belgium Brewing Company</v>
          </cell>
          <cell r="K1310" t="str">
            <v>Draft</v>
          </cell>
          <cell r="L1310" t="str">
            <v>Yes</v>
          </cell>
        </row>
        <row r="1311">
          <cell r="G1311" t="str">
            <v>Voodoo Family</v>
          </cell>
          <cell r="H1311" t="str">
            <v>New Belgium Brewing Company</v>
          </cell>
          <cell r="K1311" t="str">
            <v>Draft</v>
          </cell>
          <cell r="L1311" t="str">
            <v>Yes</v>
          </cell>
        </row>
        <row r="1312">
          <cell r="G1312" t="str">
            <v>New Belgium Brewing Company</v>
          </cell>
          <cell r="H1312" t="str">
            <v>New Belgium Brewing Company</v>
          </cell>
          <cell r="K1312" t="str">
            <v>Draft</v>
          </cell>
          <cell r="L1312" t="str">
            <v>Yes</v>
          </cell>
        </row>
        <row r="1313">
          <cell r="G1313" t="str">
            <v>Fat Tire Family</v>
          </cell>
          <cell r="H1313" t="str">
            <v>New Belgium Brewing Company</v>
          </cell>
          <cell r="K1313" t="str">
            <v>Package</v>
          </cell>
          <cell r="L1313" t="str">
            <v>Yes</v>
          </cell>
        </row>
        <row r="1314">
          <cell r="G1314" t="str">
            <v>Fat Tire Family</v>
          </cell>
          <cell r="H1314" t="str">
            <v>New Belgium Brewing Company</v>
          </cell>
          <cell r="K1314" t="str">
            <v>Package</v>
          </cell>
          <cell r="L1314" t="str">
            <v>Yes</v>
          </cell>
        </row>
        <row r="1315">
          <cell r="G1315" t="str">
            <v>Fat Tire Family</v>
          </cell>
          <cell r="H1315" t="str">
            <v>New Belgium Brewing Company</v>
          </cell>
          <cell r="K1315" t="str">
            <v>Package</v>
          </cell>
          <cell r="L1315" t="str">
            <v>Yes</v>
          </cell>
        </row>
        <row r="1316">
          <cell r="G1316" t="str">
            <v>Voodoo Family</v>
          </cell>
          <cell r="H1316" t="str">
            <v>New Belgium Brewing Company</v>
          </cell>
          <cell r="K1316" t="str">
            <v>Package</v>
          </cell>
          <cell r="L1316" t="str">
            <v>Yes</v>
          </cell>
        </row>
        <row r="1317">
          <cell r="G1317" t="str">
            <v>New Belgium Brewing Company</v>
          </cell>
          <cell r="H1317" t="str">
            <v>New Belgium Brewing Company</v>
          </cell>
          <cell r="K1317" t="str">
            <v>Package</v>
          </cell>
          <cell r="L1317" t="str">
            <v>No</v>
          </cell>
        </row>
        <row r="1318">
          <cell r="G1318" t="str">
            <v>New Belgium Brewing Company</v>
          </cell>
          <cell r="H1318" t="str">
            <v>New Belgium Brewing Company</v>
          </cell>
          <cell r="K1318" t="str">
            <v>Package</v>
          </cell>
          <cell r="L1318" t="str">
            <v>Yes</v>
          </cell>
        </row>
        <row r="1319">
          <cell r="G1319" t="str">
            <v>Voodoo Family</v>
          </cell>
          <cell r="H1319" t="str">
            <v>New Belgium Brewing Company</v>
          </cell>
          <cell r="K1319" t="str">
            <v>Draft</v>
          </cell>
          <cell r="L1319" t="str">
            <v>Yes</v>
          </cell>
        </row>
        <row r="1320">
          <cell r="G1320" t="str">
            <v>New Belgium Brewing Company</v>
          </cell>
          <cell r="H1320" t="str">
            <v>New Belgium Brewing Company</v>
          </cell>
          <cell r="K1320" t="str">
            <v>Package</v>
          </cell>
          <cell r="L1320" t="str">
            <v>Yes</v>
          </cell>
        </row>
        <row r="1321">
          <cell r="G1321" t="str">
            <v>Voodoo Family</v>
          </cell>
          <cell r="H1321" t="str">
            <v>New Belgium Brewing Company</v>
          </cell>
          <cell r="K1321" t="str">
            <v>Package</v>
          </cell>
          <cell r="L1321" t="str">
            <v>Yes</v>
          </cell>
        </row>
        <row r="1322">
          <cell r="G1322" t="str">
            <v>Voodoo Family</v>
          </cell>
          <cell r="H1322" t="str">
            <v>New Belgium Brewing Company</v>
          </cell>
          <cell r="K1322" t="str">
            <v>Package</v>
          </cell>
          <cell r="L1322" t="str">
            <v>Yes</v>
          </cell>
        </row>
        <row r="1323">
          <cell r="G1323" t="str">
            <v>Voodoo Family</v>
          </cell>
          <cell r="H1323" t="str">
            <v>New Belgium Brewing Company</v>
          </cell>
          <cell r="K1323" t="str">
            <v>Package</v>
          </cell>
          <cell r="L1323" t="str">
            <v>Yes</v>
          </cell>
        </row>
        <row r="1324">
          <cell r="G1324" t="str">
            <v>Voodoo Family</v>
          </cell>
          <cell r="H1324" t="str">
            <v>New Belgium Brewing Company</v>
          </cell>
          <cell r="K1324" t="str">
            <v>Package</v>
          </cell>
          <cell r="L1324" t="str">
            <v>Yes</v>
          </cell>
        </row>
        <row r="1325">
          <cell r="G1325" t="str">
            <v>New Belgium Brewing Company</v>
          </cell>
          <cell r="H1325" t="str">
            <v>New Belgium Brewing Company</v>
          </cell>
          <cell r="K1325" t="str">
            <v>Draft</v>
          </cell>
          <cell r="L1325" t="str">
            <v>Yes</v>
          </cell>
        </row>
        <row r="1326">
          <cell r="G1326" t="str">
            <v>Voodoo Family</v>
          </cell>
          <cell r="H1326" t="str">
            <v>New Belgium Brewing Company</v>
          </cell>
          <cell r="K1326" t="str">
            <v>Draft</v>
          </cell>
          <cell r="L1326" t="str">
            <v>Yes</v>
          </cell>
        </row>
        <row r="1327">
          <cell r="G1327" t="str">
            <v>Voodoo Family</v>
          </cell>
          <cell r="H1327" t="str">
            <v>New Belgium Brewing Company</v>
          </cell>
          <cell r="K1327" t="str">
            <v>Package</v>
          </cell>
          <cell r="L1327" t="str">
            <v>Yes</v>
          </cell>
        </row>
        <row r="1328">
          <cell r="G1328" t="str">
            <v>Voodoo Family</v>
          </cell>
          <cell r="H1328" t="str">
            <v>New Belgium Brewing Company</v>
          </cell>
          <cell r="K1328" t="str">
            <v>Package</v>
          </cell>
          <cell r="L1328" t="str">
            <v>Yes</v>
          </cell>
        </row>
        <row r="1329">
          <cell r="G1329" t="str">
            <v>Voodoo Family</v>
          </cell>
          <cell r="H1329" t="str">
            <v>New Belgium Brewing Company</v>
          </cell>
          <cell r="K1329" t="str">
            <v>Package</v>
          </cell>
          <cell r="L1329" t="str">
            <v>Yes</v>
          </cell>
        </row>
        <row r="1330">
          <cell r="G1330" t="str">
            <v>Voodoo Family</v>
          </cell>
          <cell r="H1330" t="str">
            <v>New Belgium Brewing Company</v>
          </cell>
          <cell r="K1330" t="str">
            <v>Package</v>
          </cell>
          <cell r="L1330" t="str">
            <v>Yes</v>
          </cell>
        </row>
        <row r="1331">
          <cell r="G1331" t="str">
            <v>Voodoo Family</v>
          </cell>
          <cell r="H1331" t="str">
            <v>New Belgium Brewing Company</v>
          </cell>
          <cell r="K1331" t="str">
            <v>Draft</v>
          </cell>
          <cell r="L1331" t="str">
            <v>Yes</v>
          </cell>
        </row>
        <row r="1332">
          <cell r="G1332" t="str">
            <v>Voodoo Family</v>
          </cell>
          <cell r="H1332" t="str">
            <v>New Belgium Brewing Company</v>
          </cell>
          <cell r="K1332" t="str">
            <v>Package</v>
          </cell>
          <cell r="L1332" t="str">
            <v>Yes</v>
          </cell>
        </row>
        <row r="1333">
          <cell r="G1333" t="str">
            <v>New Belgium Brewing Company</v>
          </cell>
          <cell r="H1333" t="str">
            <v>New Belgium Brewing Company</v>
          </cell>
          <cell r="K1333" t="str">
            <v>Package</v>
          </cell>
          <cell r="L1333" t="str">
            <v>Yes</v>
          </cell>
        </row>
        <row r="1334">
          <cell r="G1334" t="str">
            <v>Voodoo Family</v>
          </cell>
          <cell r="H1334" t="str">
            <v>New Belgium Brewing Company</v>
          </cell>
          <cell r="K1334" t="str">
            <v>Package</v>
          </cell>
          <cell r="L1334" t="str">
            <v>Yes</v>
          </cell>
        </row>
        <row r="1335">
          <cell r="G1335" t="str">
            <v>Voodoo Family</v>
          </cell>
          <cell r="H1335" t="str">
            <v>New Belgium Brewing Company</v>
          </cell>
          <cell r="K1335" t="str">
            <v>Package</v>
          </cell>
          <cell r="L1335" t="str">
            <v>Yes</v>
          </cell>
        </row>
        <row r="1336">
          <cell r="G1336" t="str">
            <v>New Belgium Brewing Company</v>
          </cell>
          <cell r="H1336" t="str">
            <v>New Belgium Brewing Company</v>
          </cell>
          <cell r="K1336" t="str">
            <v>Package</v>
          </cell>
          <cell r="L1336" t="str">
            <v>Yes</v>
          </cell>
        </row>
        <row r="1337">
          <cell r="G1337" t="str">
            <v>Voodoo Family</v>
          </cell>
          <cell r="H1337" t="str">
            <v>New Belgium Brewing Company</v>
          </cell>
          <cell r="K1337" t="str">
            <v>Package</v>
          </cell>
          <cell r="L1337" t="str">
            <v>Yes</v>
          </cell>
        </row>
        <row r="1338">
          <cell r="G1338" t="str">
            <v>New Belgium Brewing Company</v>
          </cell>
          <cell r="H1338" t="str">
            <v>New Belgium Brewing Company</v>
          </cell>
          <cell r="K1338" t="str">
            <v>Package</v>
          </cell>
          <cell r="L1338" t="str">
            <v>Yes</v>
          </cell>
        </row>
        <row r="1339">
          <cell r="G1339" t="str">
            <v>New Belgium Brewing Company</v>
          </cell>
          <cell r="H1339" t="str">
            <v>New Belgium Brewing Company</v>
          </cell>
          <cell r="K1339" t="str">
            <v>Draft</v>
          </cell>
          <cell r="L1339" t="str">
            <v>Yes</v>
          </cell>
        </row>
        <row r="1340">
          <cell r="G1340" t="str">
            <v>New Belgium Brewing Company</v>
          </cell>
          <cell r="H1340" t="str">
            <v>New Belgium Brewing Company</v>
          </cell>
          <cell r="K1340" t="str">
            <v>Draft</v>
          </cell>
          <cell r="L1340" t="str">
            <v>Yes</v>
          </cell>
        </row>
        <row r="1341">
          <cell r="G1341" t="str">
            <v>Voodoo Family</v>
          </cell>
          <cell r="H1341" t="str">
            <v>New Belgium Brewing Company</v>
          </cell>
          <cell r="K1341" t="str">
            <v>Package</v>
          </cell>
          <cell r="L1341" t="str">
            <v>Yes</v>
          </cell>
        </row>
        <row r="1342">
          <cell r="G1342" t="str">
            <v>Voodoo Family</v>
          </cell>
          <cell r="H1342" t="str">
            <v>New Belgium Brewing Company</v>
          </cell>
          <cell r="K1342" t="str">
            <v>Draft</v>
          </cell>
          <cell r="L1342" t="str">
            <v>Yes</v>
          </cell>
        </row>
        <row r="1343">
          <cell r="G1343" t="str">
            <v>New Belgium Brewing Company</v>
          </cell>
          <cell r="H1343" t="str">
            <v>New Belgium Brewing Company</v>
          </cell>
          <cell r="K1343" t="str">
            <v>Package</v>
          </cell>
          <cell r="L1343" t="str">
            <v>Yes</v>
          </cell>
        </row>
        <row r="1344">
          <cell r="G1344" t="str">
            <v>Voodoo Family</v>
          </cell>
          <cell r="H1344" t="str">
            <v>New Belgium Brewing Company</v>
          </cell>
          <cell r="K1344" t="str">
            <v>Package</v>
          </cell>
          <cell r="L1344" t="str">
            <v>Yes</v>
          </cell>
        </row>
        <row r="1345">
          <cell r="G1345" t="str">
            <v>Voodoo Family</v>
          </cell>
          <cell r="H1345" t="str">
            <v>New Belgium Brewing Company</v>
          </cell>
          <cell r="K1345" t="str">
            <v>Draft</v>
          </cell>
          <cell r="L1345" t="str">
            <v>Yes</v>
          </cell>
        </row>
        <row r="1346">
          <cell r="G1346" t="str">
            <v>Voodoo Family</v>
          </cell>
          <cell r="H1346" t="str">
            <v>New Belgium Brewing Company</v>
          </cell>
          <cell r="K1346" t="str">
            <v>Package</v>
          </cell>
          <cell r="L1346" t="str">
            <v>Yes</v>
          </cell>
        </row>
        <row r="1347">
          <cell r="G1347" t="str">
            <v>Voodoo Family</v>
          </cell>
          <cell r="H1347" t="str">
            <v>New Belgium Brewing Company</v>
          </cell>
          <cell r="K1347" t="str">
            <v>Package</v>
          </cell>
          <cell r="L1347" t="str">
            <v>Yes</v>
          </cell>
        </row>
        <row r="1348">
          <cell r="G1348" t="str">
            <v>New Belgium Brewing Company</v>
          </cell>
          <cell r="H1348" t="str">
            <v>New Belgium Brewing Company</v>
          </cell>
          <cell r="K1348" t="str">
            <v>Package</v>
          </cell>
          <cell r="L1348" t="str">
            <v>Yes</v>
          </cell>
        </row>
        <row r="1349">
          <cell r="G1349" t="str">
            <v>New Belgium Brewing Company</v>
          </cell>
          <cell r="H1349" t="str">
            <v>New Belgium Brewing Company</v>
          </cell>
          <cell r="K1349" t="str">
            <v>Draft</v>
          </cell>
          <cell r="L1349" t="str">
            <v>Yes</v>
          </cell>
        </row>
        <row r="1350">
          <cell r="G1350" t="str">
            <v>Voodoo Family</v>
          </cell>
          <cell r="H1350" t="str">
            <v>New Belgium Brewing Company</v>
          </cell>
          <cell r="K1350" t="str">
            <v>Draft</v>
          </cell>
          <cell r="L1350" t="str">
            <v>Yes</v>
          </cell>
        </row>
        <row r="1351">
          <cell r="G1351" t="str">
            <v>Voodoo Family</v>
          </cell>
          <cell r="H1351" t="str">
            <v>New Belgium Brewing Company</v>
          </cell>
          <cell r="K1351" t="str">
            <v>Draft</v>
          </cell>
          <cell r="L1351" t="str">
            <v>Yes</v>
          </cell>
        </row>
        <row r="1352">
          <cell r="G1352" t="str">
            <v>Voodoo Family</v>
          </cell>
          <cell r="H1352" t="str">
            <v>New Belgium Brewing Company</v>
          </cell>
          <cell r="K1352" t="str">
            <v>Package</v>
          </cell>
          <cell r="L1352" t="str">
            <v>No</v>
          </cell>
        </row>
        <row r="1353">
          <cell r="G1353" t="str">
            <v>Voodoo Family</v>
          </cell>
          <cell r="H1353" t="str">
            <v>New Belgium Brewing Company</v>
          </cell>
          <cell r="K1353" t="str">
            <v>Draft</v>
          </cell>
          <cell r="L1353" t="str">
            <v>Yes</v>
          </cell>
        </row>
        <row r="1354">
          <cell r="G1354" t="str">
            <v>New Belgium Brewing Company</v>
          </cell>
          <cell r="H1354" t="str">
            <v>New Belgium Brewing Company</v>
          </cell>
          <cell r="K1354" t="str">
            <v>Package</v>
          </cell>
          <cell r="L1354" t="str">
            <v>Yes</v>
          </cell>
        </row>
        <row r="1355">
          <cell r="G1355" t="str">
            <v>New Belgium Brewing Company</v>
          </cell>
          <cell r="H1355" t="str">
            <v>New Belgium Brewing Company</v>
          </cell>
          <cell r="K1355" t="str">
            <v>Draft</v>
          </cell>
          <cell r="L1355" t="str">
            <v>Yes</v>
          </cell>
        </row>
        <row r="1356">
          <cell r="G1356" t="str">
            <v>Voodoo Family</v>
          </cell>
          <cell r="H1356" t="str">
            <v>New Belgium Brewing Company</v>
          </cell>
          <cell r="K1356" t="str">
            <v>Package</v>
          </cell>
          <cell r="L1356" t="str">
            <v>Yes</v>
          </cell>
        </row>
        <row r="1357">
          <cell r="G1357" t="str">
            <v>Voodoo Family</v>
          </cell>
          <cell r="H1357" t="str">
            <v>New Belgium Brewing Company</v>
          </cell>
          <cell r="K1357" t="str">
            <v>Package</v>
          </cell>
          <cell r="L1357" t="str">
            <v>Yes</v>
          </cell>
        </row>
        <row r="1358">
          <cell r="G1358" t="str">
            <v>Voodoo Family</v>
          </cell>
          <cell r="H1358" t="str">
            <v>New Belgium Brewing Company</v>
          </cell>
          <cell r="K1358" t="str">
            <v>Package</v>
          </cell>
          <cell r="L1358" t="str">
            <v>Yes</v>
          </cell>
        </row>
        <row r="1359">
          <cell r="G1359" t="str">
            <v>Voodoo Family</v>
          </cell>
          <cell r="H1359" t="str">
            <v>New Belgium Brewing Company</v>
          </cell>
          <cell r="K1359" t="str">
            <v>Package</v>
          </cell>
          <cell r="L1359" t="str">
            <v>Yes</v>
          </cell>
        </row>
        <row r="1360">
          <cell r="G1360" t="str">
            <v>Voodoo Family</v>
          </cell>
          <cell r="H1360" t="str">
            <v>New Belgium Brewing Company</v>
          </cell>
          <cell r="K1360" t="str">
            <v>Package</v>
          </cell>
          <cell r="L1360" t="str">
            <v>Yes</v>
          </cell>
        </row>
        <row r="1361">
          <cell r="G1361" t="str">
            <v>New Belgium Brewing Company</v>
          </cell>
          <cell r="H1361" t="str">
            <v>New Belgium Brewing Company</v>
          </cell>
          <cell r="K1361" t="str">
            <v>Package</v>
          </cell>
          <cell r="L1361" t="str">
            <v>Yes</v>
          </cell>
        </row>
        <row r="1362">
          <cell r="G1362" t="str">
            <v>New Belgium Brewing Company</v>
          </cell>
          <cell r="H1362" t="str">
            <v>New Belgium Brewing Company</v>
          </cell>
          <cell r="K1362" t="str">
            <v>Draft</v>
          </cell>
          <cell r="L1362" t="str">
            <v>Yes</v>
          </cell>
        </row>
        <row r="1363">
          <cell r="G1363" t="str">
            <v>New Belgium Brewing Company</v>
          </cell>
          <cell r="H1363" t="str">
            <v>New Belgium Brewing Company</v>
          </cell>
          <cell r="K1363" t="str">
            <v>Draft</v>
          </cell>
          <cell r="L1363" t="str">
            <v>Yes</v>
          </cell>
        </row>
        <row r="1364">
          <cell r="G1364" t="str">
            <v>Voodoo Family</v>
          </cell>
          <cell r="H1364" t="str">
            <v>New Belgium Brewing Company</v>
          </cell>
          <cell r="K1364" t="str">
            <v>Draft</v>
          </cell>
          <cell r="L1364" t="str">
            <v>Yes</v>
          </cell>
        </row>
        <row r="1365">
          <cell r="G1365" t="str">
            <v>New Belgium Brewing Company</v>
          </cell>
          <cell r="H1365" t="str">
            <v>New Belgium Brewing Company</v>
          </cell>
          <cell r="K1365" t="str">
            <v>Package</v>
          </cell>
          <cell r="L1365" t="str">
            <v>Yes</v>
          </cell>
        </row>
        <row r="1366">
          <cell r="G1366" t="str">
            <v>New Belgium Brewing Company</v>
          </cell>
          <cell r="H1366" t="str">
            <v>New Belgium Brewing Company</v>
          </cell>
          <cell r="K1366" t="str">
            <v>Package</v>
          </cell>
          <cell r="L1366" t="str">
            <v>Yes</v>
          </cell>
        </row>
        <row r="1367">
          <cell r="G1367" t="str">
            <v>New Belgium Brewing Company</v>
          </cell>
          <cell r="H1367" t="str">
            <v>New Belgium Brewing Company</v>
          </cell>
          <cell r="K1367" t="str">
            <v>Draft</v>
          </cell>
          <cell r="L1367" t="str">
            <v>No</v>
          </cell>
        </row>
        <row r="1368">
          <cell r="G1368" t="str">
            <v>New Belgium Brewing Company</v>
          </cell>
          <cell r="H1368" t="str">
            <v>New Belgium Brewing Company</v>
          </cell>
          <cell r="K1368" t="str">
            <v>Draft</v>
          </cell>
          <cell r="L1368" t="str">
            <v>Yes</v>
          </cell>
        </row>
        <row r="1369">
          <cell r="G1369" t="str">
            <v>Fat Tire Family</v>
          </cell>
          <cell r="H1369" t="str">
            <v>New Belgium Brewing Company</v>
          </cell>
          <cell r="K1369" t="str">
            <v>Package</v>
          </cell>
          <cell r="L1369" t="str">
            <v>Yes</v>
          </cell>
        </row>
        <row r="1370">
          <cell r="G1370" t="str">
            <v>Fat Tire Family</v>
          </cell>
          <cell r="H1370" t="str">
            <v>New Belgium Brewing Company</v>
          </cell>
          <cell r="K1370" t="str">
            <v>Package</v>
          </cell>
          <cell r="L1370" t="str">
            <v>No</v>
          </cell>
        </row>
        <row r="1371">
          <cell r="G1371" t="str">
            <v>Garage Beer</v>
          </cell>
          <cell r="H1371" t="str">
            <v>Garage Beer</v>
          </cell>
          <cell r="K1371" t="str">
            <v>Package</v>
          </cell>
          <cell r="L1371" t="str">
            <v>Yes</v>
          </cell>
        </row>
        <row r="1372">
          <cell r="G1372" t="str">
            <v>Garage Beer</v>
          </cell>
          <cell r="H1372" t="str">
            <v>Garage Beer</v>
          </cell>
          <cell r="K1372" t="str">
            <v>Package</v>
          </cell>
          <cell r="L1372" t="str">
            <v>Yes</v>
          </cell>
        </row>
        <row r="1373">
          <cell r="G1373" t="str">
            <v>Garage Beer</v>
          </cell>
          <cell r="H1373" t="str">
            <v>Garage Beer</v>
          </cell>
          <cell r="K1373" t="str">
            <v>Draft</v>
          </cell>
          <cell r="L1373" t="str">
            <v>Yes</v>
          </cell>
        </row>
        <row r="1374">
          <cell r="G1374" t="str">
            <v>Garage Beer</v>
          </cell>
          <cell r="H1374" t="str">
            <v>Garage Beer</v>
          </cell>
          <cell r="K1374" t="str">
            <v>Package</v>
          </cell>
          <cell r="L1374" t="str">
            <v>Yes</v>
          </cell>
        </row>
        <row r="1375">
          <cell r="G1375" t="str">
            <v>Garage Beer</v>
          </cell>
          <cell r="H1375" t="str">
            <v>Garage Beer</v>
          </cell>
          <cell r="K1375" t="str">
            <v>Package</v>
          </cell>
          <cell r="L1375" t="str">
            <v>No</v>
          </cell>
        </row>
        <row r="1376">
          <cell r="G1376" t="str">
            <v>Garage Beer</v>
          </cell>
          <cell r="H1376" t="str">
            <v>Garage Beer</v>
          </cell>
          <cell r="K1376" t="str">
            <v>Draft</v>
          </cell>
          <cell r="L1376" t="str">
            <v>Yes</v>
          </cell>
        </row>
        <row r="1377">
          <cell r="G1377" t="str">
            <v>Garage Beer</v>
          </cell>
          <cell r="H1377" t="str">
            <v>Garage Beer</v>
          </cell>
          <cell r="K1377" t="str">
            <v>Package</v>
          </cell>
          <cell r="L1377" t="str">
            <v>Yes</v>
          </cell>
        </row>
        <row r="1378">
          <cell r="G1378" t="str">
            <v>Garage Beer</v>
          </cell>
          <cell r="H1378" t="str">
            <v>Garage Beer</v>
          </cell>
          <cell r="K1378" t="str">
            <v>Draft</v>
          </cell>
          <cell r="L1378" t="str">
            <v>Yes</v>
          </cell>
        </row>
        <row r="1379">
          <cell r="G1379" t="str">
            <v>Garage Beer</v>
          </cell>
          <cell r="H1379" t="str">
            <v>Garage Beer</v>
          </cell>
          <cell r="K1379" t="str">
            <v>Package</v>
          </cell>
          <cell r="L1379" t="str">
            <v>Yes</v>
          </cell>
        </row>
        <row r="1380">
          <cell r="G1380" t="str">
            <v>Garage Beer</v>
          </cell>
          <cell r="H1380" t="str">
            <v>Garage Beer</v>
          </cell>
          <cell r="K1380" t="str">
            <v>Draft</v>
          </cell>
          <cell r="L1380" t="str">
            <v>Yes</v>
          </cell>
        </row>
        <row r="1381">
          <cell r="G1381" t="str">
            <v>Garage Beer</v>
          </cell>
          <cell r="H1381" t="str">
            <v>Garage Beer</v>
          </cell>
          <cell r="K1381" t="str">
            <v>Package</v>
          </cell>
          <cell r="L1381" t="str">
            <v>Yes</v>
          </cell>
        </row>
        <row r="1382">
          <cell r="G1382" t="str">
            <v>Garage Beer</v>
          </cell>
          <cell r="H1382" t="str">
            <v>Garage Beer</v>
          </cell>
          <cell r="K1382" t="str">
            <v>Package</v>
          </cell>
          <cell r="L1382" t="str">
            <v>Yes</v>
          </cell>
        </row>
        <row r="1383">
          <cell r="G1383" t="str">
            <v>Garage Beer</v>
          </cell>
          <cell r="H1383" t="str">
            <v>Garage Beer</v>
          </cell>
          <cell r="K1383" t="str">
            <v>Package</v>
          </cell>
          <cell r="L1383" t="str">
            <v>Yes</v>
          </cell>
        </row>
        <row r="1384">
          <cell r="G1384" t="str">
            <v>Garage Beer</v>
          </cell>
          <cell r="H1384" t="str">
            <v>Garage Beer</v>
          </cell>
          <cell r="K1384" t="str">
            <v>Package</v>
          </cell>
          <cell r="L1384" t="str">
            <v>Yes</v>
          </cell>
        </row>
        <row r="1385">
          <cell r="G1385" t="str">
            <v>Garage Beer</v>
          </cell>
          <cell r="H1385" t="str">
            <v>Garage Beer</v>
          </cell>
          <cell r="K1385" t="str">
            <v>Package</v>
          </cell>
          <cell r="L1385" t="str">
            <v>Yes</v>
          </cell>
        </row>
        <row r="1386">
          <cell r="G1386" t="str">
            <v>Garage Beer</v>
          </cell>
          <cell r="H1386" t="str">
            <v>Garage Beer</v>
          </cell>
          <cell r="K1386" t="str">
            <v>Package</v>
          </cell>
          <cell r="L1386" t="str">
            <v>Yes</v>
          </cell>
        </row>
        <row r="1387">
          <cell r="G1387" t="str">
            <v>Garage Beer</v>
          </cell>
          <cell r="H1387" t="str">
            <v>Garage Beer</v>
          </cell>
          <cell r="K1387" t="str">
            <v>Package</v>
          </cell>
          <cell r="L1387" t="str">
            <v>Yes</v>
          </cell>
        </row>
        <row r="1388">
          <cell r="G1388" t="str">
            <v>Aguila</v>
          </cell>
          <cell r="H1388" t="str">
            <v>MolsonCoors Beverage Company</v>
          </cell>
          <cell r="K1388" t="str">
            <v>Package</v>
          </cell>
          <cell r="L1388" t="str">
            <v>Yes</v>
          </cell>
        </row>
        <row r="1389">
          <cell r="G1389" t="str">
            <v>Cristal</v>
          </cell>
          <cell r="H1389" t="str">
            <v>MolsonCoors Beverage Company</v>
          </cell>
          <cell r="K1389" t="str">
            <v>Package</v>
          </cell>
          <cell r="L1389" t="str">
            <v>No</v>
          </cell>
        </row>
        <row r="1390">
          <cell r="G1390" t="str">
            <v>Cristal</v>
          </cell>
          <cell r="H1390" t="str">
            <v>MolsonCoors Beverage Company</v>
          </cell>
          <cell r="K1390" t="str">
            <v>Package</v>
          </cell>
          <cell r="L1390" t="str">
            <v>No</v>
          </cell>
        </row>
        <row r="1391">
          <cell r="G1391" t="str">
            <v>Cusquena</v>
          </cell>
          <cell r="H1391" t="str">
            <v>MolsonCoors Beverage Company</v>
          </cell>
          <cell r="K1391" t="str">
            <v>Package</v>
          </cell>
          <cell r="L1391" t="str">
            <v>Yes</v>
          </cell>
        </row>
        <row r="1392">
          <cell r="G1392" t="str">
            <v>Cusquena</v>
          </cell>
          <cell r="H1392" t="str">
            <v>MolsonCoors Beverage Company</v>
          </cell>
          <cell r="K1392" t="str">
            <v>Package</v>
          </cell>
          <cell r="L1392" t="str">
            <v>Yes</v>
          </cell>
        </row>
        <row r="1393">
          <cell r="G1393" t="str">
            <v>Fosters</v>
          </cell>
          <cell r="H1393" t="str">
            <v>MolsonCoors Beverage Company</v>
          </cell>
          <cell r="K1393" t="str">
            <v>Package</v>
          </cell>
          <cell r="L1393" t="str">
            <v>Yes</v>
          </cell>
        </row>
        <row r="1394">
          <cell r="G1394" t="str">
            <v>Fosters</v>
          </cell>
          <cell r="H1394" t="str">
            <v>MolsonCoors Beverage Company</v>
          </cell>
          <cell r="K1394" t="str">
            <v>Draft</v>
          </cell>
          <cell r="L1394" t="str">
            <v>Yes</v>
          </cell>
        </row>
        <row r="1395">
          <cell r="G1395" t="str">
            <v>Fosters</v>
          </cell>
          <cell r="H1395" t="str">
            <v>MolsonCoors Beverage Company</v>
          </cell>
          <cell r="K1395" t="str">
            <v>Package</v>
          </cell>
          <cell r="L1395" t="str">
            <v>No</v>
          </cell>
        </row>
        <row r="1396">
          <cell r="G1396" t="str">
            <v>Fosters</v>
          </cell>
          <cell r="H1396" t="str">
            <v>MolsonCoors Beverage Company</v>
          </cell>
          <cell r="K1396" t="str">
            <v>Package</v>
          </cell>
          <cell r="L1396" t="str">
            <v>Yes</v>
          </cell>
        </row>
        <row r="1397">
          <cell r="G1397" t="str">
            <v>Grolsch</v>
          </cell>
          <cell r="H1397" t="str">
            <v>MolsonCoors Beverage Company</v>
          </cell>
          <cell r="K1397" t="str">
            <v>Package</v>
          </cell>
          <cell r="L1397" t="str">
            <v>No</v>
          </cell>
        </row>
        <row r="1398">
          <cell r="G1398" t="str">
            <v>Grolsch</v>
          </cell>
          <cell r="H1398" t="str">
            <v>MolsonCoors Beverage Company</v>
          </cell>
          <cell r="K1398" t="str">
            <v>Package</v>
          </cell>
          <cell r="L1398" t="str">
            <v>Yes</v>
          </cell>
        </row>
        <row r="1399">
          <cell r="G1399" t="str">
            <v>Grolsch</v>
          </cell>
          <cell r="H1399" t="str">
            <v>MolsonCoors Beverage Company</v>
          </cell>
          <cell r="K1399" t="str">
            <v>Package</v>
          </cell>
          <cell r="L1399" t="str">
            <v>Yes</v>
          </cell>
        </row>
        <row r="1400">
          <cell r="G1400" t="str">
            <v>Grolsch</v>
          </cell>
          <cell r="H1400" t="str">
            <v>MolsonCoors Beverage Company</v>
          </cell>
          <cell r="K1400" t="str">
            <v>Package</v>
          </cell>
          <cell r="L1400" t="str">
            <v>No</v>
          </cell>
        </row>
        <row r="1401">
          <cell r="G1401" t="str">
            <v>Lech</v>
          </cell>
          <cell r="H1401" t="str">
            <v>MolsonCoors Beverage Company</v>
          </cell>
          <cell r="K1401" t="str">
            <v>Package</v>
          </cell>
          <cell r="L1401" t="str">
            <v>No</v>
          </cell>
        </row>
        <row r="1402">
          <cell r="G1402" t="str">
            <v>Lech</v>
          </cell>
          <cell r="H1402" t="str">
            <v>MolsonCoors Beverage Company</v>
          </cell>
          <cell r="K1402" t="str">
            <v>Package</v>
          </cell>
          <cell r="L1402" t="str">
            <v>No</v>
          </cell>
        </row>
        <row r="1403">
          <cell r="G1403" t="str">
            <v>Peroni</v>
          </cell>
          <cell r="H1403" t="str">
            <v>MolsonCoors Beverage Company</v>
          </cell>
          <cell r="K1403" t="str">
            <v>Draft</v>
          </cell>
          <cell r="L1403" t="str">
            <v>Yes</v>
          </cell>
        </row>
        <row r="1404">
          <cell r="G1404" t="str">
            <v>Peroni</v>
          </cell>
          <cell r="H1404" t="str">
            <v>MolsonCoors Beverage Company</v>
          </cell>
          <cell r="K1404" t="str">
            <v>Draft</v>
          </cell>
          <cell r="L1404" t="str">
            <v>Yes</v>
          </cell>
        </row>
        <row r="1405">
          <cell r="G1405" t="str">
            <v>Peroni</v>
          </cell>
          <cell r="H1405" t="str">
            <v>MolsonCoors Beverage Company</v>
          </cell>
          <cell r="K1405" t="str">
            <v>Package</v>
          </cell>
          <cell r="L1405" t="str">
            <v>Yes</v>
          </cell>
        </row>
        <row r="1406">
          <cell r="G1406" t="str">
            <v>Peroni</v>
          </cell>
          <cell r="H1406" t="str">
            <v>MolsonCoors Beverage Company</v>
          </cell>
          <cell r="K1406" t="str">
            <v>Package</v>
          </cell>
          <cell r="L1406" t="str">
            <v>Yes</v>
          </cell>
        </row>
        <row r="1407">
          <cell r="G1407" t="str">
            <v>Peroni</v>
          </cell>
          <cell r="H1407" t="str">
            <v>MolsonCoors Beverage Company</v>
          </cell>
          <cell r="K1407" t="str">
            <v>Package</v>
          </cell>
          <cell r="L1407" t="str">
            <v>Yes</v>
          </cell>
        </row>
        <row r="1408">
          <cell r="G1408" t="str">
            <v>Peroni</v>
          </cell>
          <cell r="H1408" t="str">
            <v>MolsonCoors Beverage Company</v>
          </cell>
          <cell r="K1408" t="str">
            <v>Package</v>
          </cell>
          <cell r="L1408" t="str">
            <v>Yes</v>
          </cell>
        </row>
        <row r="1409">
          <cell r="G1409" t="str">
            <v>Peroni</v>
          </cell>
          <cell r="H1409" t="str">
            <v>MolsonCoors Beverage Company</v>
          </cell>
          <cell r="K1409" t="str">
            <v>Package</v>
          </cell>
          <cell r="L1409" t="str">
            <v>Yes</v>
          </cell>
        </row>
        <row r="1410">
          <cell r="G1410" t="str">
            <v>Peroni</v>
          </cell>
          <cell r="H1410" t="str">
            <v>MolsonCoors Beverage Company</v>
          </cell>
          <cell r="K1410" t="str">
            <v>Package</v>
          </cell>
          <cell r="L1410" t="str">
            <v>Yes</v>
          </cell>
        </row>
        <row r="1411">
          <cell r="G1411" t="str">
            <v>Pilsner Urquell</v>
          </cell>
          <cell r="H1411" t="str">
            <v>MolsonCoors Beverage Company</v>
          </cell>
          <cell r="K1411" t="str">
            <v>Draft</v>
          </cell>
          <cell r="L1411" t="str">
            <v>Yes</v>
          </cell>
        </row>
        <row r="1412">
          <cell r="G1412" t="str">
            <v>Pilsner Urquell</v>
          </cell>
          <cell r="H1412" t="str">
            <v>MolsonCoors Beverage Company</v>
          </cell>
          <cell r="K1412" t="str">
            <v>Draft</v>
          </cell>
          <cell r="L1412" t="str">
            <v>Yes</v>
          </cell>
        </row>
        <row r="1413">
          <cell r="G1413" t="str">
            <v>Pilsner Urquell</v>
          </cell>
          <cell r="H1413" t="str">
            <v>MolsonCoors Beverage Company</v>
          </cell>
          <cell r="K1413" t="str">
            <v>Package</v>
          </cell>
          <cell r="L1413" t="str">
            <v>Yes</v>
          </cell>
        </row>
        <row r="1414">
          <cell r="G1414" t="str">
            <v>Pilsner Urquell</v>
          </cell>
          <cell r="H1414" t="str">
            <v>MolsonCoors Beverage Company</v>
          </cell>
          <cell r="K1414" t="str">
            <v>Package</v>
          </cell>
          <cell r="L1414" t="str">
            <v>Yes</v>
          </cell>
        </row>
        <row r="1415">
          <cell r="G1415" t="str">
            <v>Pilsner Urquell</v>
          </cell>
          <cell r="H1415" t="str">
            <v>MolsonCoors Beverage Company</v>
          </cell>
          <cell r="K1415" t="str">
            <v>Package</v>
          </cell>
          <cell r="L1415" t="str">
            <v>Yes</v>
          </cell>
        </row>
        <row r="1416">
          <cell r="G1416" t="str">
            <v>Peroni</v>
          </cell>
          <cell r="H1416" t="str">
            <v>MolsonCoors Beverage Company</v>
          </cell>
          <cell r="K1416" t="str">
            <v>Package</v>
          </cell>
          <cell r="L1416" t="str">
            <v>Yes</v>
          </cell>
        </row>
        <row r="1417">
          <cell r="G1417" t="str">
            <v>Tyskie Gronie</v>
          </cell>
          <cell r="H1417" t="str">
            <v>MolsonCoors Beverage Company</v>
          </cell>
          <cell r="K1417" t="str">
            <v>Package</v>
          </cell>
          <cell r="L1417" t="str">
            <v>Yes</v>
          </cell>
        </row>
        <row r="1418">
          <cell r="G1418" t="str">
            <v>Tyskie Gronie</v>
          </cell>
          <cell r="H1418" t="str">
            <v>MolsonCoors Beverage Company</v>
          </cell>
          <cell r="K1418" t="str">
            <v>Package</v>
          </cell>
          <cell r="L1418" t="str">
            <v>Yes</v>
          </cell>
        </row>
        <row r="1419">
          <cell r="G1419" t="str">
            <v>Tyskie Gronie</v>
          </cell>
          <cell r="H1419" t="str">
            <v>MolsonCoors Beverage Company</v>
          </cell>
          <cell r="K1419" t="str">
            <v>Package</v>
          </cell>
          <cell r="L1419" t="str">
            <v>Yes</v>
          </cell>
        </row>
        <row r="1420">
          <cell r="G1420" t="str">
            <v>Tyskie Gronie</v>
          </cell>
          <cell r="H1420" t="str">
            <v>MolsonCoors Beverage Company</v>
          </cell>
          <cell r="K1420" t="str">
            <v>Package</v>
          </cell>
          <cell r="L1420" t="str">
            <v>Yes</v>
          </cell>
        </row>
        <row r="1421">
          <cell r="G1421" t="str">
            <v>Dab</v>
          </cell>
          <cell r="H1421" t="str">
            <v>Radeberger USA</v>
          </cell>
          <cell r="K1421" t="str">
            <v>Draft</v>
          </cell>
          <cell r="L1421" t="str">
            <v>Yes</v>
          </cell>
        </row>
        <row r="1422">
          <cell r="G1422" t="str">
            <v>Dab</v>
          </cell>
          <cell r="H1422" t="str">
            <v>Radeberger USA</v>
          </cell>
          <cell r="K1422" t="str">
            <v>Package</v>
          </cell>
          <cell r="L1422" t="str">
            <v>Yes</v>
          </cell>
        </row>
        <row r="1423">
          <cell r="G1423" t="str">
            <v>Dab</v>
          </cell>
          <cell r="H1423" t="str">
            <v>Radeberger USA</v>
          </cell>
          <cell r="K1423" t="str">
            <v>Package</v>
          </cell>
          <cell r="L1423" t="str">
            <v>No</v>
          </cell>
        </row>
        <row r="1424">
          <cell r="G1424" t="str">
            <v>Dab</v>
          </cell>
          <cell r="H1424" t="str">
            <v>Radeberger USA</v>
          </cell>
          <cell r="K1424" t="str">
            <v>Package</v>
          </cell>
          <cell r="L1424" t="str">
            <v>Yes</v>
          </cell>
        </row>
        <row r="1425">
          <cell r="G1425" t="str">
            <v>Dab</v>
          </cell>
          <cell r="H1425" t="str">
            <v>Radeberger USA</v>
          </cell>
          <cell r="K1425" t="str">
            <v>Package</v>
          </cell>
          <cell r="L1425" t="str">
            <v>Yes</v>
          </cell>
        </row>
        <row r="1426">
          <cell r="G1426" t="str">
            <v>Radeberger</v>
          </cell>
          <cell r="H1426" t="str">
            <v>Radeberger USA</v>
          </cell>
          <cell r="K1426" t="str">
            <v>Package</v>
          </cell>
          <cell r="L1426" t="str">
            <v>Yes</v>
          </cell>
        </row>
        <row r="1427">
          <cell r="G1427" t="str">
            <v>Radeberger</v>
          </cell>
          <cell r="H1427" t="str">
            <v>Radeberger USA</v>
          </cell>
          <cell r="K1427" t="str">
            <v>Draft</v>
          </cell>
          <cell r="L1427" t="str">
            <v>Yes</v>
          </cell>
        </row>
        <row r="1428">
          <cell r="G1428" t="str">
            <v>Radeberger</v>
          </cell>
          <cell r="H1428" t="str">
            <v>Radeberger USA</v>
          </cell>
          <cell r="K1428" t="str">
            <v>Package</v>
          </cell>
          <cell r="L1428" t="str">
            <v>Yes</v>
          </cell>
        </row>
        <row r="1429">
          <cell r="G1429" t="str">
            <v>Radeberger</v>
          </cell>
          <cell r="H1429" t="str">
            <v>Radeberger USA</v>
          </cell>
          <cell r="K1429" t="str">
            <v>Package</v>
          </cell>
          <cell r="L1429" t="str">
            <v>Yes</v>
          </cell>
        </row>
        <row r="1430">
          <cell r="G1430" t="str">
            <v>Murphy's</v>
          </cell>
          <cell r="H1430" t="str">
            <v>Heineken USA</v>
          </cell>
          <cell r="K1430" t="str">
            <v>Draft</v>
          </cell>
          <cell r="L1430" t="str">
            <v>Yes</v>
          </cell>
        </row>
        <row r="1431">
          <cell r="G1431" t="str">
            <v>Murphy's</v>
          </cell>
          <cell r="H1431" t="str">
            <v>Heineken USA</v>
          </cell>
          <cell r="K1431" t="str">
            <v>Package</v>
          </cell>
          <cell r="L1431" t="str">
            <v>Yes</v>
          </cell>
        </row>
        <row r="1432">
          <cell r="G1432" t="str">
            <v>Czechvar</v>
          </cell>
          <cell r="H1432" t="str">
            <v>Global Beer</v>
          </cell>
          <cell r="K1432" t="str">
            <v>Draft</v>
          </cell>
          <cell r="L1432" t="str">
            <v>Yes</v>
          </cell>
        </row>
        <row r="1433">
          <cell r="G1433" t="str">
            <v>Czechvar</v>
          </cell>
          <cell r="H1433" t="str">
            <v>Global Beer</v>
          </cell>
          <cell r="K1433" t="str">
            <v>Package</v>
          </cell>
          <cell r="L1433" t="str">
            <v>Yes</v>
          </cell>
        </row>
        <row r="1434">
          <cell r="G1434" t="str">
            <v>Daura</v>
          </cell>
          <cell r="H1434" t="str">
            <v>US Beverage</v>
          </cell>
          <cell r="K1434" t="str">
            <v>Package</v>
          </cell>
          <cell r="L1434" t="str">
            <v>Yes</v>
          </cell>
        </row>
        <row r="1435">
          <cell r="G1435" t="str">
            <v>Estrella</v>
          </cell>
          <cell r="H1435" t="str">
            <v>US Beverage</v>
          </cell>
          <cell r="K1435" t="str">
            <v>Package</v>
          </cell>
          <cell r="L1435" t="str">
            <v>Yes</v>
          </cell>
        </row>
        <row r="1436">
          <cell r="G1436" t="str">
            <v>Estrella</v>
          </cell>
          <cell r="H1436" t="str">
            <v>US Beverage</v>
          </cell>
          <cell r="K1436" t="str">
            <v>Package</v>
          </cell>
          <cell r="L1436" t="str">
            <v>Yes</v>
          </cell>
        </row>
        <row r="1437">
          <cell r="G1437" t="str">
            <v>Estrella</v>
          </cell>
          <cell r="H1437" t="str">
            <v>US Beverage</v>
          </cell>
          <cell r="K1437" t="str">
            <v>Draft</v>
          </cell>
          <cell r="L1437" t="str">
            <v>Yes</v>
          </cell>
        </row>
        <row r="1438">
          <cell r="G1438" t="str">
            <v>Estrella</v>
          </cell>
          <cell r="H1438" t="str">
            <v>US Beverage</v>
          </cell>
          <cell r="K1438" t="str">
            <v>Package</v>
          </cell>
          <cell r="L1438" t="str">
            <v>Yes</v>
          </cell>
        </row>
        <row r="1439">
          <cell r="G1439" t="str">
            <v>Tona</v>
          </cell>
          <cell r="H1439" t="str">
            <v>Artisanal Imports</v>
          </cell>
          <cell r="K1439" t="str">
            <v>Package</v>
          </cell>
          <cell r="L1439" t="str">
            <v>Yes</v>
          </cell>
        </row>
        <row r="1440">
          <cell r="G1440" t="str">
            <v>Tona</v>
          </cell>
          <cell r="H1440" t="str">
            <v>Artisanal Imports</v>
          </cell>
          <cell r="K1440" t="str">
            <v>Package</v>
          </cell>
          <cell r="L1440" t="str">
            <v>Yes</v>
          </cell>
        </row>
        <row r="1441">
          <cell r="G1441" t="str">
            <v>Palma</v>
          </cell>
          <cell r="H1441" t="str">
            <v>Artisanal Imports</v>
          </cell>
          <cell r="K1441" t="str">
            <v>Package</v>
          </cell>
          <cell r="L1441" t="str">
            <v>Yes</v>
          </cell>
        </row>
        <row r="1442">
          <cell r="G1442" t="str">
            <v>Palma</v>
          </cell>
          <cell r="H1442" t="str">
            <v>Artisanal Imports</v>
          </cell>
          <cell r="K1442" t="str">
            <v>Package</v>
          </cell>
          <cell r="L1442" t="str">
            <v>Yes</v>
          </cell>
        </row>
        <row r="1443">
          <cell r="G1443" t="str">
            <v>Palma</v>
          </cell>
          <cell r="H1443" t="str">
            <v>Artisanal Imports</v>
          </cell>
          <cell r="K1443" t="str">
            <v>Package</v>
          </cell>
          <cell r="L1443" t="str">
            <v>Yes</v>
          </cell>
        </row>
        <row r="1444">
          <cell r="G1444" t="str">
            <v>Tona</v>
          </cell>
          <cell r="H1444" t="str">
            <v>Artisanal Imports</v>
          </cell>
          <cell r="K1444" t="str">
            <v>Package</v>
          </cell>
          <cell r="L1444" t="str">
            <v>Yes</v>
          </cell>
        </row>
        <row r="1445">
          <cell r="G1445" t="str">
            <v>Lone Star</v>
          </cell>
          <cell r="H1445" t="str">
            <v>Pabst Brewing Company</v>
          </cell>
          <cell r="K1445" t="str">
            <v>Package</v>
          </cell>
          <cell r="L1445" t="str">
            <v>Yes</v>
          </cell>
        </row>
        <row r="1446">
          <cell r="G1446" t="str">
            <v>Pabst Blue Ribbon</v>
          </cell>
          <cell r="H1446" t="str">
            <v>Pabst Brewing Company</v>
          </cell>
          <cell r="K1446" t="str">
            <v>Draft</v>
          </cell>
          <cell r="L1446" t="str">
            <v>Yes</v>
          </cell>
        </row>
        <row r="1447">
          <cell r="G1447" t="str">
            <v>Pabst Light</v>
          </cell>
          <cell r="H1447" t="str">
            <v>Pabst Brewing Company</v>
          </cell>
          <cell r="K1447" t="str">
            <v>Package</v>
          </cell>
          <cell r="L1447" t="str">
            <v>Yes</v>
          </cell>
        </row>
        <row r="1448">
          <cell r="G1448" t="str">
            <v>Pabst Light</v>
          </cell>
          <cell r="H1448" t="str">
            <v>Pabst Brewing Company</v>
          </cell>
          <cell r="K1448" t="str">
            <v>Package</v>
          </cell>
          <cell r="L1448" t="str">
            <v>Yes</v>
          </cell>
        </row>
        <row r="1449">
          <cell r="G1449" t="str">
            <v>Pabst Light</v>
          </cell>
          <cell r="H1449" t="str">
            <v>Pabst Brewing Company</v>
          </cell>
          <cell r="K1449" t="str">
            <v>Package</v>
          </cell>
          <cell r="L1449" t="str">
            <v>Yes</v>
          </cell>
        </row>
        <row r="1450">
          <cell r="G1450" t="str">
            <v>Pabst Blue Ribbon</v>
          </cell>
          <cell r="H1450" t="str">
            <v>Pabst Brewing Company</v>
          </cell>
          <cell r="K1450" t="str">
            <v>Package</v>
          </cell>
          <cell r="L1450" t="str">
            <v>No</v>
          </cell>
        </row>
        <row r="1451">
          <cell r="G1451" t="str">
            <v>Pabst Blue Ribbon</v>
          </cell>
          <cell r="H1451" t="str">
            <v>Pabst Brewing Company</v>
          </cell>
          <cell r="K1451" t="str">
            <v>Package</v>
          </cell>
          <cell r="L1451" t="str">
            <v>Yes</v>
          </cell>
        </row>
        <row r="1452">
          <cell r="G1452" t="str">
            <v>Pabst Blue Ribbon</v>
          </cell>
          <cell r="H1452" t="str">
            <v>Pabst Brewing Company</v>
          </cell>
          <cell r="K1452" t="str">
            <v>Package</v>
          </cell>
          <cell r="L1452" t="str">
            <v>Yes</v>
          </cell>
        </row>
        <row r="1453">
          <cell r="G1453" t="str">
            <v>Pabst Blue Ribbon</v>
          </cell>
          <cell r="H1453" t="str">
            <v>Pabst Brewing Company</v>
          </cell>
          <cell r="K1453" t="str">
            <v>Package</v>
          </cell>
          <cell r="L1453" t="str">
            <v>Yes</v>
          </cell>
        </row>
        <row r="1454">
          <cell r="G1454" t="str">
            <v>Pabst Blue Ribbon</v>
          </cell>
          <cell r="H1454" t="str">
            <v>Pabst Brewing Company</v>
          </cell>
          <cell r="K1454" t="str">
            <v>Package</v>
          </cell>
          <cell r="L1454" t="str">
            <v>Yes</v>
          </cell>
        </row>
        <row r="1455">
          <cell r="G1455" t="str">
            <v>Pabst Blue Ribbon</v>
          </cell>
          <cell r="H1455" t="str">
            <v>Pabst Brewing Company</v>
          </cell>
          <cell r="K1455" t="str">
            <v>Package</v>
          </cell>
          <cell r="L1455" t="str">
            <v>Yes</v>
          </cell>
        </row>
        <row r="1456">
          <cell r="G1456" t="str">
            <v>Pabst Blue Ribbon</v>
          </cell>
          <cell r="H1456" t="str">
            <v>Pabst Brewing Company</v>
          </cell>
          <cell r="K1456" t="str">
            <v>Package</v>
          </cell>
          <cell r="L1456" t="str">
            <v>Yes</v>
          </cell>
        </row>
        <row r="1457">
          <cell r="G1457" t="str">
            <v>Pabst Blue Ribbon</v>
          </cell>
          <cell r="H1457" t="str">
            <v>Pabst Brewing Company</v>
          </cell>
          <cell r="K1457" t="str">
            <v>Package</v>
          </cell>
          <cell r="L1457" t="str">
            <v>No</v>
          </cell>
        </row>
        <row r="1458">
          <cell r="G1458" t="str">
            <v>Pabst Blue Ribbon</v>
          </cell>
          <cell r="H1458" t="str">
            <v>Pabst Brewing Company</v>
          </cell>
          <cell r="K1458" t="str">
            <v>Package</v>
          </cell>
          <cell r="L1458" t="str">
            <v>No</v>
          </cell>
        </row>
        <row r="1459">
          <cell r="G1459" t="str">
            <v>Pabst Blue Ribbon</v>
          </cell>
          <cell r="H1459" t="str">
            <v>Pabst Brewing Company</v>
          </cell>
          <cell r="K1459" t="str">
            <v>Package</v>
          </cell>
          <cell r="L1459" t="str">
            <v>No</v>
          </cell>
        </row>
        <row r="1460">
          <cell r="G1460" t="str">
            <v>Pabst Blue Ribbon</v>
          </cell>
          <cell r="H1460" t="str">
            <v>Pabst Brewing Company</v>
          </cell>
          <cell r="K1460" t="str">
            <v>Package</v>
          </cell>
          <cell r="L1460" t="str">
            <v>Yes</v>
          </cell>
        </row>
        <row r="1461">
          <cell r="G1461" t="str">
            <v>Old Milwaukee</v>
          </cell>
          <cell r="H1461" t="str">
            <v>Pabst Brewing Company</v>
          </cell>
          <cell r="K1461" t="str">
            <v>Package</v>
          </cell>
          <cell r="L1461" t="str">
            <v>Yes</v>
          </cell>
        </row>
        <row r="1462">
          <cell r="G1462" t="str">
            <v>Old Milwaukee</v>
          </cell>
          <cell r="H1462" t="str">
            <v>Pabst Brewing Company</v>
          </cell>
          <cell r="K1462" t="str">
            <v>Package</v>
          </cell>
          <cell r="L1462" t="str">
            <v>No</v>
          </cell>
        </row>
        <row r="1463">
          <cell r="G1463" t="str">
            <v>Old Milwaukee</v>
          </cell>
          <cell r="H1463" t="str">
            <v>Pabst Brewing Company</v>
          </cell>
          <cell r="K1463" t="str">
            <v>Package</v>
          </cell>
          <cell r="L1463" t="str">
            <v>No</v>
          </cell>
        </row>
        <row r="1464">
          <cell r="G1464" t="str">
            <v>Pabst Blue Ribbon</v>
          </cell>
          <cell r="H1464" t="str">
            <v>Pabst Brewing Company</v>
          </cell>
          <cell r="K1464" t="str">
            <v>Package</v>
          </cell>
          <cell r="L1464" t="str">
            <v>Yes</v>
          </cell>
        </row>
        <row r="1465">
          <cell r="G1465" t="str">
            <v>Pabst Light</v>
          </cell>
          <cell r="H1465" t="str">
            <v>Pabst Brewing Company</v>
          </cell>
          <cell r="K1465" t="str">
            <v>Package</v>
          </cell>
          <cell r="L1465" t="str">
            <v>No</v>
          </cell>
        </row>
        <row r="1466">
          <cell r="G1466" t="str">
            <v>Schaefer</v>
          </cell>
          <cell r="H1466" t="str">
            <v>Pabst Brewing Company</v>
          </cell>
          <cell r="K1466" t="str">
            <v>Package</v>
          </cell>
          <cell r="L1466" t="str">
            <v>No</v>
          </cell>
        </row>
        <row r="1467">
          <cell r="G1467" t="str">
            <v>Schaefer</v>
          </cell>
          <cell r="H1467" t="str">
            <v>Pabst Brewing Company</v>
          </cell>
          <cell r="K1467" t="str">
            <v>Package</v>
          </cell>
          <cell r="L1467" t="str">
            <v>Yes</v>
          </cell>
        </row>
        <row r="1468">
          <cell r="G1468" t="str">
            <v>Schaefer</v>
          </cell>
          <cell r="H1468" t="str">
            <v>Pabst Brewing Company</v>
          </cell>
          <cell r="K1468" t="str">
            <v>Package</v>
          </cell>
          <cell r="L1468" t="str">
            <v>No</v>
          </cell>
        </row>
        <row r="1469">
          <cell r="G1469" t="str">
            <v>Pabst Blue Ribbon</v>
          </cell>
          <cell r="H1469" t="str">
            <v>Pabst Brewing Company</v>
          </cell>
          <cell r="K1469" t="str">
            <v>Package</v>
          </cell>
          <cell r="L1469" t="str">
            <v>No</v>
          </cell>
        </row>
        <row r="1470">
          <cell r="G1470" t="str">
            <v>Colt 45</v>
          </cell>
          <cell r="H1470" t="str">
            <v>Pabst Brewing Company</v>
          </cell>
          <cell r="K1470" t="str">
            <v>Package</v>
          </cell>
          <cell r="L1470" t="str">
            <v>Yes</v>
          </cell>
        </row>
        <row r="1471">
          <cell r="G1471" t="str">
            <v>Colt 45</v>
          </cell>
          <cell r="H1471" t="str">
            <v>Pabst Brewing Company</v>
          </cell>
          <cell r="K1471" t="str">
            <v>Package</v>
          </cell>
          <cell r="L1471" t="str">
            <v>Yes</v>
          </cell>
        </row>
        <row r="1472">
          <cell r="G1472" t="str">
            <v>Colt 45</v>
          </cell>
          <cell r="H1472" t="str">
            <v>Pabst Brewing Company</v>
          </cell>
          <cell r="K1472" t="str">
            <v>Package</v>
          </cell>
          <cell r="L1472" t="str">
            <v>No</v>
          </cell>
        </row>
        <row r="1473">
          <cell r="G1473" t="str">
            <v>Colt 45</v>
          </cell>
          <cell r="H1473" t="str">
            <v>Pabst Brewing Company</v>
          </cell>
          <cell r="K1473" t="str">
            <v>Package</v>
          </cell>
          <cell r="L1473" t="str">
            <v>No</v>
          </cell>
        </row>
        <row r="1474">
          <cell r="G1474" t="str">
            <v>Colt 45</v>
          </cell>
          <cell r="H1474" t="str">
            <v>Pabst Brewing Company</v>
          </cell>
          <cell r="K1474" t="str">
            <v>Package</v>
          </cell>
          <cell r="L1474" t="str">
            <v>Yes</v>
          </cell>
        </row>
        <row r="1475">
          <cell r="G1475" t="str">
            <v>Colt 45</v>
          </cell>
          <cell r="H1475" t="str">
            <v>Pabst Brewing Company</v>
          </cell>
          <cell r="K1475" t="str">
            <v>Package</v>
          </cell>
          <cell r="L1475" t="str">
            <v>No</v>
          </cell>
        </row>
        <row r="1476">
          <cell r="G1476" t="str">
            <v>Colt 45</v>
          </cell>
          <cell r="H1476" t="str">
            <v>Pabst Brewing Company</v>
          </cell>
          <cell r="K1476" t="str">
            <v>Package</v>
          </cell>
          <cell r="L1476" t="str">
            <v>No</v>
          </cell>
        </row>
        <row r="1477">
          <cell r="G1477" t="str">
            <v>Colt 45</v>
          </cell>
          <cell r="H1477" t="str">
            <v>Pabst Brewing Company</v>
          </cell>
          <cell r="K1477" t="str">
            <v>Package</v>
          </cell>
          <cell r="L1477" t="str">
            <v>Yes</v>
          </cell>
        </row>
        <row r="1478">
          <cell r="G1478" t="str">
            <v>Colt 45</v>
          </cell>
          <cell r="H1478" t="str">
            <v>Pabst Brewing Company</v>
          </cell>
          <cell r="K1478" t="str">
            <v>Package</v>
          </cell>
          <cell r="L1478" t="str">
            <v>Yes</v>
          </cell>
        </row>
        <row r="1479">
          <cell r="G1479" t="str">
            <v>Colt 45</v>
          </cell>
          <cell r="H1479" t="str">
            <v>Pabst Brewing Company</v>
          </cell>
          <cell r="K1479" t="str">
            <v>Package</v>
          </cell>
          <cell r="L1479" t="str">
            <v>Yes</v>
          </cell>
        </row>
        <row r="1480">
          <cell r="G1480" t="str">
            <v>St Ides</v>
          </cell>
          <cell r="H1480" t="str">
            <v>Pabst Brewing Company</v>
          </cell>
          <cell r="K1480" t="str">
            <v>Package</v>
          </cell>
          <cell r="L1480" t="str">
            <v>Yes</v>
          </cell>
        </row>
        <row r="1481">
          <cell r="G1481" t="str">
            <v>St Ides</v>
          </cell>
          <cell r="H1481" t="str">
            <v>Pabst Brewing Company</v>
          </cell>
          <cell r="K1481" t="str">
            <v>Package</v>
          </cell>
          <cell r="L1481" t="str">
            <v>Yes</v>
          </cell>
        </row>
        <row r="1482">
          <cell r="G1482" t="str">
            <v>St Ides</v>
          </cell>
          <cell r="H1482" t="str">
            <v>Pabst Brewing Company</v>
          </cell>
          <cell r="K1482" t="str">
            <v>Package</v>
          </cell>
          <cell r="L1482" t="str">
            <v>No</v>
          </cell>
        </row>
        <row r="1483">
          <cell r="G1483" t="str">
            <v>St Ides</v>
          </cell>
          <cell r="H1483" t="str">
            <v>Pabst Brewing Company</v>
          </cell>
          <cell r="K1483" t="str">
            <v>Package</v>
          </cell>
          <cell r="L1483" t="str">
            <v>No</v>
          </cell>
        </row>
        <row r="1484">
          <cell r="G1484" t="str">
            <v>St Ides</v>
          </cell>
          <cell r="H1484" t="str">
            <v>Pabst Brewing Company</v>
          </cell>
          <cell r="K1484" t="str">
            <v>Package</v>
          </cell>
          <cell r="L1484" t="str">
            <v>Yes</v>
          </cell>
        </row>
        <row r="1485">
          <cell r="G1485" t="str">
            <v>Schlitz Malt</v>
          </cell>
          <cell r="H1485" t="str">
            <v>Pabst Brewing Company</v>
          </cell>
          <cell r="K1485" t="str">
            <v>Package</v>
          </cell>
          <cell r="L1485" t="str">
            <v>Yes</v>
          </cell>
        </row>
        <row r="1486">
          <cell r="G1486" t="str">
            <v>Schlitz Malt</v>
          </cell>
          <cell r="H1486" t="str">
            <v>Pabst Brewing Company</v>
          </cell>
          <cell r="K1486" t="str">
            <v>Package</v>
          </cell>
          <cell r="L1486" t="str">
            <v>Yes</v>
          </cell>
        </row>
        <row r="1487">
          <cell r="G1487" t="str">
            <v>Schlitz Malt</v>
          </cell>
          <cell r="H1487" t="str">
            <v>Pabst Brewing Company</v>
          </cell>
          <cell r="K1487" t="str">
            <v>Package</v>
          </cell>
          <cell r="L1487" t="str">
            <v>No</v>
          </cell>
        </row>
        <row r="1488">
          <cell r="G1488" t="str">
            <v>Schlitz Malt</v>
          </cell>
          <cell r="H1488" t="str">
            <v>Pabst Brewing Company</v>
          </cell>
          <cell r="K1488" t="str">
            <v>Package</v>
          </cell>
          <cell r="L1488" t="str">
            <v>No</v>
          </cell>
        </row>
        <row r="1489">
          <cell r="G1489" t="str">
            <v>Schlitz Malt</v>
          </cell>
          <cell r="H1489" t="str">
            <v>Pabst Brewing Company</v>
          </cell>
          <cell r="K1489" t="str">
            <v>Package</v>
          </cell>
          <cell r="L1489" t="str">
            <v>Yes</v>
          </cell>
        </row>
        <row r="1490">
          <cell r="G1490" t="str">
            <v>Country Club</v>
          </cell>
          <cell r="H1490" t="str">
            <v>Pabst Brewing Company</v>
          </cell>
          <cell r="K1490" t="str">
            <v>Package</v>
          </cell>
          <cell r="L1490" t="str">
            <v>No</v>
          </cell>
        </row>
        <row r="1491">
          <cell r="G1491" t="str">
            <v>Country Club</v>
          </cell>
          <cell r="H1491" t="str">
            <v>Pabst Brewing Company</v>
          </cell>
          <cell r="K1491" t="str">
            <v>Package</v>
          </cell>
          <cell r="L1491" t="str">
            <v>Yes</v>
          </cell>
        </row>
        <row r="1492">
          <cell r="G1492" t="str">
            <v>Country Club</v>
          </cell>
          <cell r="H1492" t="str">
            <v>Pabst Brewing Company</v>
          </cell>
          <cell r="K1492" t="str">
            <v>Package</v>
          </cell>
          <cell r="L1492" t="str">
            <v>Yes</v>
          </cell>
        </row>
        <row r="1493">
          <cell r="G1493" t="str">
            <v>Saranac</v>
          </cell>
          <cell r="H1493" t="str">
            <v>FX Matt</v>
          </cell>
          <cell r="K1493" t="str">
            <v>Draft</v>
          </cell>
          <cell r="L1493" t="str">
            <v>No</v>
          </cell>
        </row>
        <row r="1494">
          <cell r="G1494" t="str">
            <v>Saranac</v>
          </cell>
          <cell r="H1494" t="str">
            <v>FX Matt</v>
          </cell>
          <cell r="K1494" t="str">
            <v>Draft</v>
          </cell>
          <cell r="L1494" t="str">
            <v>No</v>
          </cell>
        </row>
        <row r="1495">
          <cell r="G1495" t="str">
            <v>Saranac</v>
          </cell>
          <cell r="H1495" t="str">
            <v>FX Matt</v>
          </cell>
          <cell r="K1495" t="str">
            <v>Draft</v>
          </cell>
          <cell r="L1495" t="str">
            <v>No</v>
          </cell>
        </row>
        <row r="1496">
          <cell r="G1496" t="str">
            <v>Saranac</v>
          </cell>
          <cell r="H1496" t="str">
            <v>FX Matt</v>
          </cell>
          <cell r="K1496" t="str">
            <v>Draft</v>
          </cell>
          <cell r="L1496" t="str">
            <v>No</v>
          </cell>
        </row>
        <row r="1497">
          <cell r="G1497" t="str">
            <v>Saranac</v>
          </cell>
          <cell r="H1497" t="str">
            <v>FX Matt</v>
          </cell>
          <cell r="K1497" t="str">
            <v>Draft</v>
          </cell>
          <cell r="L1497" t="str">
            <v>No</v>
          </cell>
        </row>
        <row r="1498">
          <cell r="G1498" t="str">
            <v>Saranac</v>
          </cell>
          <cell r="H1498" t="str">
            <v>FX Matt</v>
          </cell>
          <cell r="K1498" t="str">
            <v>Draft</v>
          </cell>
          <cell r="L1498" t="str">
            <v>Yes</v>
          </cell>
        </row>
        <row r="1499">
          <cell r="G1499" t="str">
            <v>Saranac</v>
          </cell>
          <cell r="H1499" t="str">
            <v>FX Matt</v>
          </cell>
          <cell r="K1499" t="str">
            <v>Draft</v>
          </cell>
          <cell r="L1499" t="str">
            <v>No</v>
          </cell>
        </row>
        <row r="1500">
          <cell r="G1500" t="str">
            <v>Saranac</v>
          </cell>
          <cell r="H1500" t="str">
            <v>FX Matt</v>
          </cell>
          <cell r="K1500" t="str">
            <v>Draft</v>
          </cell>
          <cell r="L1500" t="str">
            <v>No</v>
          </cell>
        </row>
        <row r="1501">
          <cell r="G1501" t="str">
            <v>Saranac</v>
          </cell>
          <cell r="H1501" t="str">
            <v>FX Matt</v>
          </cell>
          <cell r="K1501" t="str">
            <v>Package</v>
          </cell>
          <cell r="L1501" t="str">
            <v>Yes</v>
          </cell>
        </row>
        <row r="1502">
          <cell r="G1502" t="str">
            <v>Saranac</v>
          </cell>
          <cell r="H1502" t="str">
            <v>FX Matt</v>
          </cell>
          <cell r="K1502" t="str">
            <v>Package</v>
          </cell>
          <cell r="L1502" t="str">
            <v>Yes</v>
          </cell>
        </row>
        <row r="1503">
          <cell r="G1503" t="str">
            <v>Saranac</v>
          </cell>
          <cell r="H1503" t="str">
            <v>FX Matt</v>
          </cell>
          <cell r="K1503" t="str">
            <v>Package</v>
          </cell>
          <cell r="L1503" t="str">
            <v>Yes</v>
          </cell>
        </row>
        <row r="1504">
          <cell r="G1504" t="str">
            <v>Saranac</v>
          </cell>
          <cell r="H1504" t="str">
            <v>FX Matt</v>
          </cell>
          <cell r="K1504" t="str">
            <v>Package</v>
          </cell>
          <cell r="L1504" t="str">
            <v>No</v>
          </cell>
        </row>
        <row r="1505">
          <cell r="G1505" t="str">
            <v>Saranac</v>
          </cell>
          <cell r="H1505" t="str">
            <v>FX Matt</v>
          </cell>
          <cell r="K1505" t="str">
            <v>Package</v>
          </cell>
          <cell r="L1505" t="str">
            <v>Yes</v>
          </cell>
        </row>
        <row r="1506">
          <cell r="G1506" t="str">
            <v>Saranac</v>
          </cell>
          <cell r="H1506" t="str">
            <v>FX Matt</v>
          </cell>
          <cell r="K1506" t="str">
            <v>Package</v>
          </cell>
          <cell r="L1506" t="str">
            <v>No</v>
          </cell>
        </row>
        <row r="1507">
          <cell r="G1507" t="str">
            <v>Saranac</v>
          </cell>
          <cell r="H1507" t="str">
            <v>FX Matt</v>
          </cell>
          <cell r="K1507" t="str">
            <v>Package</v>
          </cell>
          <cell r="L1507" t="str">
            <v>No</v>
          </cell>
        </row>
        <row r="1508">
          <cell r="G1508" t="str">
            <v>Saranac</v>
          </cell>
          <cell r="H1508" t="str">
            <v>FX Matt</v>
          </cell>
          <cell r="K1508" t="str">
            <v>Package</v>
          </cell>
          <cell r="L1508" t="str">
            <v>No</v>
          </cell>
        </row>
        <row r="1509">
          <cell r="G1509" t="str">
            <v>Saranac</v>
          </cell>
          <cell r="H1509" t="str">
            <v>FX Matt</v>
          </cell>
          <cell r="K1509" t="str">
            <v>Package</v>
          </cell>
          <cell r="L1509" t="str">
            <v>Yes</v>
          </cell>
        </row>
        <row r="1510">
          <cell r="G1510" t="str">
            <v>Saranac</v>
          </cell>
          <cell r="H1510" t="str">
            <v>FX Matt</v>
          </cell>
          <cell r="K1510" t="str">
            <v>Package</v>
          </cell>
          <cell r="L1510" t="str">
            <v>Yes</v>
          </cell>
        </row>
        <row r="1511">
          <cell r="G1511" t="str">
            <v>Saranac</v>
          </cell>
          <cell r="H1511" t="str">
            <v>FX Matt</v>
          </cell>
          <cell r="K1511" t="str">
            <v>Package</v>
          </cell>
          <cell r="L1511" t="str">
            <v>No</v>
          </cell>
        </row>
        <row r="1512">
          <cell r="G1512" t="str">
            <v>Saranac</v>
          </cell>
          <cell r="H1512" t="str">
            <v>FX Matt</v>
          </cell>
          <cell r="K1512" t="str">
            <v>Package</v>
          </cell>
          <cell r="L1512" t="str">
            <v>Yes</v>
          </cell>
        </row>
        <row r="1513">
          <cell r="G1513" t="str">
            <v>Saranac</v>
          </cell>
          <cell r="H1513" t="str">
            <v>FX Matt</v>
          </cell>
          <cell r="K1513" t="str">
            <v>Package</v>
          </cell>
          <cell r="L1513" t="str">
            <v>Yes</v>
          </cell>
        </row>
        <row r="1514">
          <cell r="G1514" t="str">
            <v>Saranac</v>
          </cell>
          <cell r="H1514" t="str">
            <v>FX Matt</v>
          </cell>
          <cell r="K1514" t="str">
            <v>Draft</v>
          </cell>
          <cell r="L1514" t="str">
            <v>No</v>
          </cell>
        </row>
        <row r="1515">
          <cell r="G1515" t="str">
            <v>Saranac</v>
          </cell>
          <cell r="H1515" t="str">
            <v>FX Matt</v>
          </cell>
          <cell r="K1515" t="str">
            <v>Package</v>
          </cell>
          <cell r="L1515" t="str">
            <v>Yes</v>
          </cell>
        </row>
        <row r="1516">
          <cell r="G1516" t="str">
            <v>Saranac</v>
          </cell>
          <cell r="H1516" t="str">
            <v>FX Matt</v>
          </cell>
          <cell r="K1516" t="str">
            <v>Package</v>
          </cell>
          <cell r="L1516" t="str">
            <v>No</v>
          </cell>
        </row>
        <row r="1517">
          <cell r="G1517" t="str">
            <v>Saranac</v>
          </cell>
          <cell r="H1517" t="str">
            <v>FX Matt</v>
          </cell>
          <cell r="K1517" t="str">
            <v>Package</v>
          </cell>
          <cell r="L1517" t="str">
            <v>No</v>
          </cell>
        </row>
        <row r="1518">
          <cell r="G1518" t="str">
            <v>Saranac</v>
          </cell>
          <cell r="H1518" t="str">
            <v>FX Matt</v>
          </cell>
          <cell r="K1518" t="str">
            <v>Draft</v>
          </cell>
          <cell r="L1518" t="str">
            <v>No</v>
          </cell>
        </row>
        <row r="1519">
          <cell r="G1519" t="str">
            <v>Saranac</v>
          </cell>
          <cell r="H1519" t="str">
            <v>FX Matt</v>
          </cell>
          <cell r="K1519" t="str">
            <v>Draft</v>
          </cell>
          <cell r="L1519" t="str">
            <v>No</v>
          </cell>
        </row>
        <row r="1520">
          <cell r="G1520" t="str">
            <v>Saranac</v>
          </cell>
          <cell r="H1520" t="str">
            <v>FX Matt</v>
          </cell>
          <cell r="K1520" t="str">
            <v>Package</v>
          </cell>
          <cell r="L1520" t="str">
            <v>No</v>
          </cell>
        </row>
        <row r="1521">
          <cell r="G1521" t="str">
            <v>Saranac</v>
          </cell>
          <cell r="H1521" t="str">
            <v>FX Matt</v>
          </cell>
          <cell r="K1521" t="str">
            <v>Package</v>
          </cell>
          <cell r="L1521" t="str">
            <v>No</v>
          </cell>
        </row>
        <row r="1522">
          <cell r="G1522" t="str">
            <v>Saranac</v>
          </cell>
          <cell r="H1522" t="str">
            <v>FX Matt</v>
          </cell>
          <cell r="K1522" t="str">
            <v>Draft</v>
          </cell>
          <cell r="L1522" t="str">
            <v>No</v>
          </cell>
        </row>
        <row r="1523">
          <cell r="G1523" t="str">
            <v>Saranac</v>
          </cell>
          <cell r="H1523" t="str">
            <v>FX Matt</v>
          </cell>
          <cell r="K1523" t="str">
            <v>Package</v>
          </cell>
          <cell r="L1523" t="str">
            <v>No</v>
          </cell>
        </row>
        <row r="1524">
          <cell r="G1524" t="str">
            <v>Saranac</v>
          </cell>
          <cell r="H1524" t="str">
            <v>FX Matt</v>
          </cell>
          <cell r="K1524" t="str">
            <v>Package</v>
          </cell>
          <cell r="L1524" t="str">
            <v>Yes</v>
          </cell>
        </row>
        <row r="1525">
          <cell r="G1525" t="str">
            <v>Saranac</v>
          </cell>
          <cell r="H1525" t="str">
            <v>FX Matt</v>
          </cell>
          <cell r="K1525" t="str">
            <v>Package</v>
          </cell>
          <cell r="L1525" t="str">
            <v>No</v>
          </cell>
        </row>
        <row r="1526">
          <cell r="G1526" t="str">
            <v>Saranac</v>
          </cell>
          <cell r="H1526" t="str">
            <v>FX Matt</v>
          </cell>
          <cell r="K1526" t="str">
            <v>Package</v>
          </cell>
          <cell r="L1526" t="str">
            <v>Yes</v>
          </cell>
        </row>
        <row r="1527">
          <cell r="G1527" t="str">
            <v>Saranac</v>
          </cell>
          <cell r="H1527" t="str">
            <v>FX Matt</v>
          </cell>
          <cell r="K1527" t="str">
            <v>Package</v>
          </cell>
          <cell r="L1527" t="str">
            <v>Yes</v>
          </cell>
        </row>
        <row r="1528">
          <cell r="G1528" t="str">
            <v>Saranac</v>
          </cell>
          <cell r="H1528" t="str">
            <v>FX Matt</v>
          </cell>
          <cell r="K1528" t="str">
            <v>Package</v>
          </cell>
          <cell r="L1528" t="str">
            <v>No</v>
          </cell>
        </row>
        <row r="1529">
          <cell r="G1529" t="str">
            <v>Saranac</v>
          </cell>
          <cell r="H1529" t="str">
            <v>FX Matt</v>
          </cell>
          <cell r="K1529" t="str">
            <v>Package</v>
          </cell>
          <cell r="L1529" t="str">
            <v>No</v>
          </cell>
        </row>
        <row r="1530">
          <cell r="G1530" t="str">
            <v>Saranac</v>
          </cell>
          <cell r="H1530" t="str">
            <v>FX Matt</v>
          </cell>
          <cell r="K1530" t="str">
            <v>Package</v>
          </cell>
          <cell r="L1530" t="str">
            <v>Yes</v>
          </cell>
        </row>
        <row r="1531">
          <cell r="G1531" t="str">
            <v>Saranac</v>
          </cell>
          <cell r="H1531" t="str">
            <v>FX Matt</v>
          </cell>
          <cell r="K1531" t="str">
            <v>Package</v>
          </cell>
          <cell r="L1531" t="str">
            <v>Yes</v>
          </cell>
        </row>
        <row r="1532">
          <cell r="G1532" t="str">
            <v>Saranac</v>
          </cell>
          <cell r="H1532" t="str">
            <v>FX Matt</v>
          </cell>
          <cell r="K1532" t="str">
            <v>Package</v>
          </cell>
          <cell r="L1532" t="str">
            <v>Yes</v>
          </cell>
        </row>
        <row r="1533">
          <cell r="G1533" t="str">
            <v>Saranac</v>
          </cell>
          <cell r="H1533" t="str">
            <v>FX Matt</v>
          </cell>
          <cell r="K1533" t="str">
            <v>Package</v>
          </cell>
          <cell r="L1533" t="str">
            <v>No</v>
          </cell>
        </row>
        <row r="1534">
          <cell r="G1534" t="str">
            <v>Long Trail</v>
          </cell>
          <cell r="H1534" t="str">
            <v>Harpoon Brewery</v>
          </cell>
          <cell r="K1534" t="str">
            <v>Draft</v>
          </cell>
          <cell r="L1534" t="str">
            <v>Yes</v>
          </cell>
        </row>
        <row r="1535">
          <cell r="G1535" t="str">
            <v>Long Trail</v>
          </cell>
          <cell r="H1535" t="str">
            <v>Harpoon Brewery</v>
          </cell>
          <cell r="K1535" t="str">
            <v>Draft</v>
          </cell>
          <cell r="L1535" t="str">
            <v>Yes</v>
          </cell>
        </row>
        <row r="1536">
          <cell r="G1536" t="str">
            <v>Long Trail</v>
          </cell>
          <cell r="H1536" t="str">
            <v>Harpoon Brewery</v>
          </cell>
          <cell r="K1536" t="str">
            <v>Draft</v>
          </cell>
          <cell r="L1536" t="str">
            <v>Yes</v>
          </cell>
        </row>
        <row r="1537">
          <cell r="G1537" t="str">
            <v>Long Trail</v>
          </cell>
          <cell r="H1537" t="str">
            <v>Harpoon Brewery</v>
          </cell>
          <cell r="K1537" t="str">
            <v>Draft</v>
          </cell>
          <cell r="L1537" t="str">
            <v>Yes</v>
          </cell>
        </row>
        <row r="1538">
          <cell r="G1538" t="str">
            <v>Long Trail</v>
          </cell>
          <cell r="H1538" t="str">
            <v>Harpoon Brewery</v>
          </cell>
          <cell r="K1538" t="str">
            <v>Draft</v>
          </cell>
          <cell r="L1538" t="str">
            <v>Yes</v>
          </cell>
        </row>
        <row r="1539">
          <cell r="G1539" t="str">
            <v>Long Trail</v>
          </cell>
          <cell r="H1539" t="str">
            <v>Harpoon Brewery</v>
          </cell>
          <cell r="K1539" t="str">
            <v>Draft</v>
          </cell>
          <cell r="L1539" t="str">
            <v>Yes</v>
          </cell>
        </row>
        <row r="1540">
          <cell r="G1540" t="str">
            <v>Long Trail</v>
          </cell>
          <cell r="H1540" t="str">
            <v>Harpoon Brewery</v>
          </cell>
          <cell r="K1540" t="str">
            <v>Draft</v>
          </cell>
          <cell r="L1540" t="str">
            <v>Yes</v>
          </cell>
        </row>
        <row r="1541">
          <cell r="G1541" t="str">
            <v>Long Trail</v>
          </cell>
          <cell r="H1541" t="str">
            <v>Harpoon Brewery</v>
          </cell>
          <cell r="K1541" t="str">
            <v>Draft</v>
          </cell>
          <cell r="L1541" t="str">
            <v>Yes</v>
          </cell>
        </row>
        <row r="1542">
          <cell r="G1542" t="str">
            <v>Long Trail</v>
          </cell>
          <cell r="H1542" t="str">
            <v>Harpoon Brewery</v>
          </cell>
          <cell r="K1542" t="str">
            <v>Draft</v>
          </cell>
          <cell r="L1542" t="str">
            <v>Yes</v>
          </cell>
        </row>
        <row r="1543">
          <cell r="G1543" t="str">
            <v>Long Trail</v>
          </cell>
          <cell r="H1543" t="str">
            <v>Harpoon Brewery</v>
          </cell>
          <cell r="K1543" t="str">
            <v>Draft</v>
          </cell>
          <cell r="L1543" t="str">
            <v>Yes</v>
          </cell>
        </row>
        <row r="1544">
          <cell r="G1544" t="str">
            <v>Long Trail</v>
          </cell>
          <cell r="H1544" t="str">
            <v>Harpoon Brewery</v>
          </cell>
          <cell r="K1544" t="str">
            <v>Package</v>
          </cell>
          <cell r="L1544" t="str">
            <v>Yes</v>
          </cell>
        </row>
        <row r="1545">
          <cell r="G1545" t="str">
            <v>Long Trail</v>
          </cell>
          <cell r="H1545" t="str">
            <v>Harpoon Brewery</v>
          </cell>
          <cell r="K1545" t="str">
            <v>Package</v>
          </cell>
          <cell r="L1545" t="str">
            <v>Yes</v>
          </cell>
        </row>
        <row r="1546">
          <cell r="G1546" t="str">
            <v>Long Trail</v>
          </cell>
          <cell r="H1546" t="str">
            <v>Harpoon Brewery</v>
          </cell>
          <cell r="K1546" t="str">
            <v>Package</v>
          </cell>
          <cell r="L1546" t="str">
            <v>Yes</v>
          </cell>
        </row>
        <row r="1547">
          <cell r="G1547" t="str">
            <v>Long Trail</v>
          </cell>
          <cell r="H1547" t="str">
            <v>Harpoon Brewery</v>
          </cell>
          <cell r="K1547" t="str">
            <v>Package</v>
          </cell>
          <cell r="L1547" t="str">
            <v>Yes</v>
          </cell>
        </row>
        <row r="1548">
          <cell r="G1548" t="str">
            <v>Long Trail</v>
          </cell>
          <cell r="H1548" t="str">
            <v>Harpoon Brewery</v>
          </cell>
          <cell r="K1548" t="str">
            <v>Package</v>
          </cell>
          <cell r="L1548" t="str">
            <v>Yes</v>
          </cell>
        </row>
        <row r="1549">
          <cell r="G1549" t="str">
            <v>Long Trail</v>
          </cell>
          <cell r="H1549" t="str">
            <v>Harpoon Brewery</v>
          </cell>
          <cell r="K1549" t="str">
            <v>Package</v>
          </cell>
          <cell r="L1549" t="str">
            <v>No</v>
          </cell>
        </row>
        <row r="1550">
          <cell r="G1550" t="str">
            <v>Long Trail</v>
          </cell>
          <cell r="H1550" t="str">
            <v>Harpoon Brewery</v>
          </cell>
          <cell r="K1550" t="str">
            <v>Package</v>
          </cell>
          <cell r="L1550" t="str">
            <v>Yes</v>
          </cell>
        </row>
        <row r="1551">
          <cell r="G1551" t="str">
            <v>Long Trail</v>
          </cell>
          <cell r="H1551" t="str">
            <v>Harpoon Brewery</v>
          </cell>
          <cell r="K1551" t="str">
            <v>Package</v>
          </cell>
          <cell r="L1551" t="str">
            <v>Yes</v>
          </cell>
        </row>
        <row r="1552">
          <cell r="G1552" t="str">
            <v>Long Trail</v>
          </cell>
          <cell r="H1552" t="str">
            <v>Harpoon Brewery</v>
          </cell>
          <cell r="K1552" t="str">
            <v>Package</v>
          </cell>
          <cell r="L1552" t="str">
            <v>Yes</v>
          </cell>
        </row>
        <row r="1553">
          <cell r="G1553" t="str">
            <v>Long Trail</v>
          </cell>
          <cell r="H1553" t="str">
            <v>Harpoon Brewery</v>
          </cell>
          <cell r="K1553" t="str">
            <v>Package</v>
          </cell>
          <cell r="L1553" t="str">
            <v>Yes</v>
          </cell>
        </row>
        <row r="1554">
          <cell r="G1554" t="str">
            <v>Long Trail</v>
          </cell>
          <cell r="H1554" t="str">
            <v>Harpoon Brewery</v>
          </cell>
          <cell r="K1554" t="str">
            <v>Package</v>
          </cell>
          <cell r="L1554" t="str">
            <v>Yes</v>
          </cell>
        </row>
        <row r="1555">
          <cell r="G1555" t="str">
            <v>Long Trail</v>
          </cell>
          <cell r="H1555" t="str">
            <v>Harpoon Brewery</v>
          </cell>
          <cell r="K1555" t="str">
            <v>Package</v>
          </cell>
          <cell r="L1555" t="str">
            <v>Yes</v>
          </cell>
        </row>
        <row r="1556">
          <cell r="G1556" t="str">
            <v>Long Trail</v>
          </cell>
          <cell r="H1556" t="str">
            <v>Harpoon Brewery</v>
          </cell>
          <cell r="K1556" t="str">
            <v>Package</v>
          </cell>
          <cell r="L1556" t="str">
            <v>Yes</v>
          </cell>
        </row>
        <row r="1557">
          <cell r="G1557" t="str">
            <v>Long Trail</v>
          </cell>
          <cell r="H1557" t="str">
            <v>Harpoon Brewery</v>
          </cell>
          <cell r="K1557" t="str">
            <v>Package</v>
          </cell>
          <cell r="L1557" t="str">
            <v>No</v>
          </cell>
        </row>
        <row r="1558">
          <cell r="G1558" t="str">
            <v>Long Trail</v>
          </cell>
          <cell r="H1558" t="str">
            <v>Harpoon Brewery</v>
          </cell>
          <cell r="K1558" t="str">
            <v>Package</v>
          </cell>
          <cell r="L1558" t="str">
            <v>No</v>
          </cell>
        </row>
        <row r="1559">
          <cell r="G1559" t="str">
            <v>Long Trail</v>
          </cell>
          <cell r="H1559" t="str">
            <v>Harpoon Brewery</v>
          </cell>
          <cell r="K1559" t="str">
            <v>Package</v>
          </cell>
          <cell r="L1559" t="str">
            <v>Yes</v>
          </cell>
        </row>
        <row r="1560">
          <cell r="G1560" t="str">
            <v>Long Trail</v>
          </cell>
          <cell r="H1560" t="str">
            <v>Harpoon Brewery</v>
          </cell>
          <cell r="K1560" t="str">
            <v>Package</v>
          </cell>
          <cell r="L1560" t="str">
            <v>Yes</v>
          </cell>
        </row>
        <row r="1561">
          <cell r="G1561" t="str">
            <v>Long Trail</v>
          </cell>
          <cell r="H1561" t="str">
            <v>Harpoon Brewery</v>
          </cell>
          <cell r="K1561" t="str">
            <v>Package</v>
          </cell>
          <cell r="L1561" t="str">
            <v>No</v>
          </cell>
        </row>
        <row r="1562">
          <cell r="G1562" t="str">
            <v>Long Trail</v>
          </cell>
          <cell r="H1562" t="str">
            <v>Harpoon Brewery</v>
          </cell>
          <cell r="K1562" t="str">
            <v>Draft</v>
          </cell>
          <cell r="L1562" t="str">
            <v>Yes</v>
          </cell>
        </row>
        <row r="1563">
          <cell r="G1563" t="str">
            <v>Long Trail</v>
          </cell>
          <cell r="H1563" t="str">
            <v>Harpoon Brewery</v>
          </cell>
          <cell r="K1563" t="str">
            <v>Draft</v>
          </cell>
          <cell r="L1563" t="str">
            <v>Yes</v>
          </cell>
        </row>
        <row r="1564">
          <cell r="G1564" t="str">
            <v>Long Trail</v>
          </cell>
          <cell r="H1564" t="str">
            <v>Harpoon Brewery</v>
          </cell>
          <cell r="K1564" t="str">
            <v>Package</v>
          </cell>
          <cell r="L1564" t="str">
            <v>Yes</v>
          </cell>
        </row>
        <row r="1565">
          <cell r="G1565" t="str">
            <v>Long Trail</v>
          </cell>
          <cell r="H1565" t="str">
            <v>Harpoon Brewery</v>
          </cell>
          <cell r="K1565" t="str">
            <v>Package</v>
          </cell>
          <cell r="L1565" t="str">
            <v>Yes</v>
          </cell>
        </row>
        <row r="1566">
          <cell r="G1566" t="str">
            <v>Long Trail</v>
          </cell>
          <cell r="H1566" t="str">
            <v>Harpoon Brewery</v>
          </cell>
          <cell r="K1566" t="str">
            <v>Package</v>
          </cell>
          <cell r="L1566" t="str">
            <v>No</v>
          </cell>
        </row>
        <row r="1567">
          <cell r="G1567" t="str">
            <v>Long Trail</v>
          </cell>
          <cell r="H1567" t="str">
            <v>Harpoon Brewery</v>
          </cell>
          <cell r="K1567" t="str">
            <v>Package</v>
          </cell>
          <cell r="L1567" t="str">
            <v>Yes</v>
          </cell>
        </row>
        <row r="1568">
          <cell r="G1568" t="str">
            <v>Long Trail</v>
          </cell>
          <cell r="H1568" t="str">
            <v>Harpoon Brewery</v>
          </cell>
          <cell r="K1568" t="str">
            <v>Package</v>
          </cell>
          <cell r="L1568" t="str">
            <v>No</v>
          </cell>
        </row>
        <row r="1569">
          <cell r="G1569" t="str">
            <v>Long Trail</v>
          </cell>
          <cell r="H1569" t="str">
            <v>Harpoon Brewery</v>
          </cell>
          <cell r="K1569" t="str">
            <v>Draft</v>
          </cell>
          <cell r="L1569" t="str">
            <v>Yes</v>
          </cell>
        </row>
        <row r="1570">
          <cell r="G1570" t="str">
            <v>Long Trail</v>
          </cell>
          <cell r="H1570" t="str">
            <v>Harpoon Brewery</v>
          </cell>
          <cell r="K1570" t="str">
            <v>Package</v>
          </cell>
          <cell r="L1570" t="str">
            <v>Yes</v>
          </cell>
        </row>
        <row r="1571">
          <cell r="G1571" t="str">
            <v>Evil Genius</v>
          </cell>
          <cell r="H1571" t="str">
            <v>Evil Genius</v>
          </cell>
          <cell r="K1571" t="str">
            <v>Draft</v>
          </cell>
          <cell r="L1571" t="str">
            <v>No</v>
          </cell>
        </row>
        <row r="1572">
          <cell r="G1572" t="str">
            <v>Evil Genius</v>
          </cell>
          <cell r="H1572" t="str">
            <v>Evil Genius</v>
          </cell>
          <cell r="K1572" t="str">
            <v>Draft</v>
          </cell>
          <cell r="L1572" t="str">
            <v>Yes</v>
          </cell>
        </row>
        <row r="1573">
          <cell r="G1573" t="str">
            <v>Evil Genius</v>
          </cell>
          <cell r="H1573" t="str">
            <v>Evil Genius</v>
          </cell>
          <cell r="K1573" t="str">
            <v>Draft</v>
          </cell>
          <cell r="L1573" t="str">
            <v>Yes</v>
          </cell>
        </row>
        <row r="1574">
          <cell r="G1574" t="str">
            <v>Evil Genius</v>
          </cell>
          <cell r="H1574" t="str">
            <v>Evil Genius</v>
          </cell>
          <cell r="K1574" t="str">
            <v>Draft</v>
          </cell>
          <cell r="L1574" t="str">
            <v>No</v>
          </cell>
        </row>
        <row r="1575">
          <cell r="G1575" t="str">
            <v>Evil Genius</v>
          </cell>
          <cell r="H1575" t="str">
            <v>Evil Genius</v>
          </cell>
          <cell r="K1575" t="str">
            <v>Draft</v>
          </cell>
          <cell r="L1575" t="str">
            <v>No</v>
          </cell>
        </row>
        <row r="1576">
          <cell r="G1576" t="str">
            <v>Evil Genius</v>
          </cell>
          <cell r="H1576" t="str">
            <v>Evil Genius</v>
          </cell>
          <cell r="K1576" t="str">
            <v>Draft</v>
          </cell>
          <cell r="L1576" t="str">
            <v>Yes</v>
          </cell>
        </row>
        <row r="1577">
          <cell r="G1577" t="str">
            <v>Evil Genius</v>
          </cell>
          <cell r="H1577" t="str">
            <v>Evil Genius</v>
          </cell>
          <cell r="K1577" t="str">
            <v>Draft</v>
          </cell>
          <cell r="L1577" t="str">
            <v>No</v>
          </cell>
        </row>
        <row r="1578">
          <cell r="G1578" t="str">
            <v>Evil Genius</v>
          </cell>
          <cell r="H1578" t="str">
            <v>Evil Genius</v>
          </cell>
          <cell r="K1578" t="str">
            <v>Draft</v>
          </cell>
          <cell r="L1578" t="str">
            <v>Yes</v>
          </cell>
        </row>
        <row r="1579">
          <cell r="G1579" t="str">
            <v>Evil Genius</v>
          </cell>
          <cell r="H1579" t="str">
            <v>Evil Genius</v>
          </cell>
          <cell r="K1579" t="str">
            <v>Draft</v>
          </cell>
          <cell r="L1579" t="str">
            <v>Yes</v>
          </cell>
        </row>
        <row r="1580">
          <cell r="G1580" t="str">
            <v>Evil Genius</v>
          </cell>
          <cell r="H1580" t="str">
            <v>Evil Genius</v>
          </cell>
          <cell r="K1580" t="str">
            <v>Draft</v>
          </cell>
          <cell r="L1580" t="str">
            <v>Yes</v>
          </cell>
        </row>
        <row r="1581">
          <cell r="G1581" t="str">
            <v>Evil Genius</v>
          </cell>
          <cell r="H1581" t="str">
            <v>Evil Genius</v>
          </cell>
          <cell r="K1581" t="str">
            <v>Draft</v>
          </cell>
          <cell r="L1581" t="str">
            <v>Yes</v>
          </cell>
        </row>
        <row r="1582">
          <cell r="G1582" t="str">
            <v>Evil Genius</v>
          </cell>
          <cell r="H1582" t="str">
            <v>Evil Genius</v>
          </cell>
          <cell r="K1582" t="str">
            <v>Draft</v>
          </cell>
          <cell r="L1582" t="str">
            <v>No</v>
          </cell>
        </row>
        <row r="1583">
          <cell r="G1583" t="str">
            <v>Evil Genius</v>
          </cell>
          <cell r="H1583" t="str">
            <v>Evil Genius</v>
          </cell>
          <cell r="K1583" t="str">
            <v>Draft</v>
          </cell>
          <cell r="L1583" t="str">
            <v>No</v>
          </cell>
        </row>
        <row r="1584">
          <cell r="G1584" t="str">
            <v>Evil Genius</v>
          </cell>
          <cell r="H1584" t="str">
            <v>Evil Genius</v>
          </cell>
          <cell r="K1584" t="str">
            <v>Draft</v>
          </cell>
          <cell r="L1584" t="str">
            <v>No</v>
          </cell>
        </row>
        <row r="1585">
          <cell r="G1585" t="str">
            <v>Evil Genius</v>
          </cell>
          <cell r="H1585" t="str">
            <v>Evil Genius</v>
          </cell>
          <cell r="K1585" t="str">
            <v>Draft</v>
          </cell>
          <cell r="L1585" t="str">
            <v>No</v>
          </cell>
        </row>
        <row r="1586">
          <cell r="G1586" t="str">
            <v>Evil Genius</v>
          </cell>
          <cell r="H1586" t="str">
            <v>Evil Genius</v>
          </cell>
          <cell r="K1586" t="str">
            <v>Draft</v>
          </cell>
          <cell r="L1586" t="str">
            <v>No</v>
          </cell>
        </row>
        <row r="1587">
          <cell r="G1587" t="str">
            <v>Evil Genius</v>
          </cell>
          <cell r="H1587" t="str">
            <v>Evil Genius</v>
          </cell>
          <cell r="K1587" t="str">
            <v>Draft</v>
          </cell>
          <cell r="L1587" t="str">
            <v>No</v>
          </cell>
        </row>
        <row r="1588">
          <cell r="G1588" t="str">
            <v>Evil Genius</v>
          </cell>
          <cell r="H1588" t="str">
            <v>Evil Genius</v>
          </cell>
          <cell r="K1588" t="str">
            <v>Draft</v>
          </cell>
          <cell r="L1588" t="str">
            <v>No</v>
          </cell>
        </row>
        <row r="1589">
          <cell r="G1589" t="str">
            <v>Evil Genius</v>
          </cell>
          <cell r="H1589" t="str">
            <v>Evil Genius</v>
          </cell>
          <cell r="K1589" t="str">
            <v>Draft</v>
          </cell>
          <cell r="L1589" t="str">
            <v>No</v>
          </cell>
        </row>
        <row r="1590">
          <cell r="G1590" t="str">
            <v>Evil Genius</v>
          </cell>
          <cell r="H1590" t="str">
            <v>Evil Genius</v>
          </cell>
          <cell r="K1590" t="str">
            <v>Draft</v>
          </cell>
          <cell r="L1590" t="str">
            <v>No</v>
          </cell>
        </row>
        <row r="1591">
          <cell r="G1591" t="str">
            <v>Evil Genius</v>
          </cell>
          <cell r="H1591" t="str">
            <v>Evil Genius</v>
          </cell>
          <cell r="K1591" t="str">
            <v>Draft</v>
          </cell>
          <cell r="L1591" t="str">
            <v>No</v>
          </cell>
        </row>
        <row r="1592">
          <cell r="G1592" t="str">
            <v>Evil Genius</v>
          </cell>
          <cell r="H1592" t="str">
            <v>Evil Genius</v>
          </cell>
          <cell r="K1592" t="str">
            <v>Draft</v>
          </cell>
          <cell r="L1592" t="str">
            <v>Yes</v>
          </cell>
        </row>
        <row r="1593">
          <cell r="G1593" t="str">
            <v>Evil Genius</v>
          </cell>
          <cell r="H1593" t="str">
            <v>Evil Genius</v>
          </cell>
          <cell r="K1593" t="str">
            <v>Draft</v>
          </cell>
          <cell r="L1593" t="str">
            <v>No</v>
          </cell>
        </row>
        <row r="1594">
          <cell r="G1594" t="str">
            <v>Evil Genius</v>
          </cell>
          <cell r="H1594" t="str">
            <v>Evil Genius</v>
          </cell>
          <cell r="K1594" t="str">
            <v>Draft</v>
          </cell>
          <cell r="L1594" t="str">
            <v>No</v>
          </cell>
        </row>
        <row r="1595">
          <cell r="G1595" t="str">
            <v>Evil Genius</v>
          </cell>
          <cell r="H1595" t="str">
            <v>Evil Genius</v>
          </cell>
          <cell r="K1595" t="str">
            <v>Draft</v>
          </cell>
          <cell r="L1595" t="str">
            <v>No</v>
          </cell>
        </row>
        <row r="1596">
          <cell r="G1596" t="str">
            <v>Evil Genius</v>
          </cell>
          <cell r="H1596" t="str">
            <v>Evil Genius</v>
          </cell>
          <cell r="K1596" t="str">
            <v>Draft</v>
          </cell>
          <cell r="L1596" t="str">
            <v>No</v>
          </cell>
        </row>
        <row r="1597">
          <cell r="G1597" t="str">
            <v>Evil Genius</v>
          </cell>
          <cell r="H1597" t="str">
            <v>Evil Genius</v>
          </cell>
          <cell r="K1597" t="str">
            <v>Draft</v>
          </cell>
          <cell r="L1597" t="str">
            <v>No</v>
          </cell>
        </row>
        <row r="1598">
          <cell r="G1598" t="str">
            <v>Evil Genius</v>
          </cell>
          <cell r="H1598" t="str">
            <v>Evil Genius</v>
          </cell>
          <cell r="K1598" t="str">
            <v>Draft</v>
          </cell>
          <cell r="L1598" t="str">
            <v>No</v>
          </cell>
        </row>
        <row r="1599">
          <cell r="G1599" t="str">
            <v>Evil Genius</v>
          </cell>
          <cell r="H1599" t="str">
            <v>Evil Genius</v>
          </cell>
          <cell r="K1599" t="str">
            <v>Draft</v>
          </cell>
          <cell r="L1599" t="str">
            <v>No</v>
          </cell>
        </row>
        <row r="1600">
          <cell r="G1600" t="str">
            <v>Evil Genius</v>
          </cell>
          <cell r="H1600" t="str">
            <v>Evil Genius</v>
          </cell>
          <cell r="K1600" t="str">
            <v>Draft</v>
          </cell>
          <cell r="L1600" t="str">
            <v>No</v>
          </cell>
        </row>
        <row r="1601">
          <cell r="G1601" t="str">
            <v>Evil Genius</v>
          </cell>
          <cell r="H1601" t="str">
            <v>Evil Genius</v>
          </cell>
          <cell r="K1601" t="str">
            <v>Draft</v>
          </cell>
          <cell r="L1601" t="str">
            <v>Yes</v>
          </cell>
        </row>
        <row r="1602">
          <cell r="G1602" t="str">
            <v>Evil Genius</v>
          </cell>
          <cell r="H1602" t="str">
            <v>Evil Genius</v>
          </cell>
          <cell r="K1602" t="str">
            <v>Draft</v>
          </cell>
          <cell r="L1602" t="str">
            <v>No</v>
          </cell>
        </row>
        <row r="1603">
          <cell r="G1603" t="str">
            <v>Evil Genius</v>
          </cell>
          <cell r="H1603" t="str">
            <v>Evil Genius</v>
          </cell>
          <cell r="K1603" t="str">
            <v>Draft</v>
          </cell>
          <cell r="L1603" t="str">
            <v>No</v>
          </cell>
        </row>
        <row r="1604">
          <cell r="G1604" t="str">
            <v>Evil Genius</v>
          </cell>
          <cell r="H1604" t="str">
            <v>Evil Genius</v>
          </cell>
          <cell r="K1604" t="str">
            <v>Draft</v>
          </cell>
          <cell r="L1604" t="str">
            <v>No</v>
          </cell>
        </row>
        <row r="1605">
          <cell r="G1605" t="str">
            <v>Evil Genius</v>
          </cell>
          <cell r="H1605" t="str">
            <v>Evil Genius</v>
          </cell>
          <cell r="K1605" t="str">
            <v>Draft</v>
          </cell>
          <cell r="L1605" t="str">
            <v>No</v>
          </cell>
        </row>
        <row r="1606">
          <cell r="G1606" t="str">
            <v>Evil Genius</v>
          </cell>
          <cell r="H1606" t="str">
            <v>Evil Genius</v>
          </cell>
          <cell r="K1606" t="str">
            <v>Package</v>
          </cell>
          <cell r="L1606" t="str">
            <v>No</v>
          </cell>
        </row>
        <row r="1607">
          <cell r="G1607" t="str">
            <v>Evil Genius</v>
          </cell>
          <cell r="H1607" t="str">
            <v>Evil Genius</v>
          </cell>
          <cell r="K1607" t="str">
            <v>Package</v>
          </cell>
          <cell r="L1607" t="str">
            <v>No</v>
          </cell>
        </row>
        <row r="1608">
          <cell r="G1608" t="str">
            <v>Evil Genius</v>
          </cell>
          <cell r="H1608" t="str">
            <v>Evil Genius</v>
          </cell>
          <cell r="K1608" t="str">
            <v>Package</v>
          </cell>
          <cell r="L1608" t="str">
            <v>No</v>
          </cell>
        </row>
        <row r="1609">
          <cell r="G1609" t="str">
            <v>Evil Genius</v>
          </cell>
          <cell r="H1609" t="str">
            <v>Evil Genius</v>
          </cell>
          <cell r="K1609" t="str">
            <v>Package</v>
          </cell>
          <cell r="L1609" t="str">
            <v>No</v>
          </cell>
        </row>
        <row r="1610">
          <cell r="G1610" t="str">
            <v>Evil Genius</v>
          </cell>
          <cell r="H1610" t="str">
            <v>Evil Genius</v>
          </cell>
          <cell r="K1610" t="str">
            <v>Package</v>
          </cell>
          <cell r="L1610" t="str">
            <v>No</v>
          </cell>
        </row>
        <row r="1611">
          <cell r="G1611" t="str">
            <v>Evil Genius</v>
          </cell>
          <cell r="H1611" t="str">
            <v>Evil Genius</v>
          </cell>
          <cell r="K1611" t="str">
            <v>Package</v>
          </cell>
          <cell r="L1611" t="str">
            <v>No</v>
          </cell>
        </row>
        <row r="1612">
          <cell r="G1612" t="str">
            <v>Evil Genius</v>
          </cell>
          <cell r="H1612" t="str">
            <v>Evil Genius</v>
          </cell>
          <cell r="K1612" t="str">
            <v>Package</v>
          </cell>
          <cell r="L1612" t="str">
            <v>No</v>
          </cell>
        </row>
        <row r="1613">
          <cell r="G1613" t="str">
            <v>Evil Genius</v>
          </cell>
          <cell r="H1613" t="str">
            <v>Evil Genius</v>
          </cell>
          <cell r="K1613" t="str">
            <v>Package</v>
          </cell>
          <cell r="L1613" t="str">
            <v>No</v>
          </cell>
        </row>
        <row r="1614">
          <cell r="G1614" t="str">
            <v>Evil Genius</v>
          </cell>
          <cell r="H1614" t="str">
            <v>Evil Genius</v>
          </cell>
          <cell r="K1614" t="str">
            <v>Package</v>
          </cell>
          <cell r="L1614" t="str">
            <v>No</v>
          </cell>
        </row>
        <row r="1615">
          <cell r="G1615" t="str">
            <v>Evil Genius</v>
          </cell>
          <cell r="H1615" t="str">
            <v>Evil Genius</v>
          </cell>
          <cell r="K1615" t="str">
            <v>Package</v>
          </cell>
          <cell r="L1615" t="str">
            <v>No</v>
          </cell>
        </row>
        <row r="1616">
          <cell r="G1616" t="str">
            <v>Evil Genius</v>
          </cell>
          <cell r="H1616" t="str">
            <v>Evil Genius</v>
          </cell>
          <cell r="K1616" t="str">
            <v>Package</v>
          </cell>
          <cell r="L1616" t="str">
            <v>No</v>
          </cell>
        </row>
        <row r="1617">
          <cell r="G1617" t="str">
            <v>Evil Genius</v>
          </cell>
          <cell r="H1617" t="str">
            <v>Evil Genius</v>
          </cell>
          <cell r="K1617" t="str">
            <v>Package</v>
          </cell>
          <cell r="L1617" t="str">
            <v>No</v>
          </cell>
        </row>
        <row r="1618">
          <cell r="G1618" t="str">
            <v>Evil Genius</v>
          </cell>
          <cell r="H1618" t="str">
            <v>Evil Genius</v>
          </cell>
          <cell r="K1618" t="str">
            <v>Package</v>
          </cell>
          <cell r="L1618" t="str">
            <v>No</v>
          </cell>
        </row>
        <row r="1619">
          <cell r="G1619" t="str">
            <v>Evil Genius</v>
          </cell>
          <cell r="H1619" t="str">
            <v>Evil Genius</v>
          </cell>
          <cell r="K1619" t="str">
            <v>Package</v>
          </cell>
          <cell r="L1619" t="str">
            <v>No</v>
          </cell>
        </row>
        <row r="1620">
          <cell r="G1620" t="str">
            <v>Evil Genius</v>
          </cell>
          <cell r="H1620" t="str">
            <v>Evil Genius</v>
          </cell>
          <cell r="K1620" t="str">
            <v>Package</v>
          </cell>
          <cell r="L1620" t="str">
            <v>No</v>
          </cell>
        </row>
        <row r="1621">
          <cell r="G1621" t="str">
            <v>Evil Genius</v>
          </cell>
          <cell r="H1621" t="str">
            <v>Evil Genius</v>
          </cell>
          <cell r="K1621" t="str">
            <v>Package</v>
          </cell>
          <cell r="L1621" t="str">
            <v>No</v>
          </cell>
        </row>
        <row r="1622">
          <cell r="G1622" t="str">
            <v>Evil Genius</v>
          </cell>
          <cell r="H1622" t="str">
            <v>Evil Genius</v>
          </cell>
          <cell r="K1622" t="str">
            <v>Package</v>
          </cell>
          <cell r="L1622" t="str">
            <v>No</v>
          </cell>
        </row>
        <row r="1623">
          <cell r="G1623" t="str">
            <v>Evil Genius</v>
          </cell>
          <cell r="H1623" t="str">
            <v>Evil Genius</v>
          </cell>
          <cell r="K1623" t="str">
            <v>Package</v>
          </cell>
          <cell r="L1623" t="str">
            <v>No</v>
          </cell>
        </row>
        <row r="1624">
          <cell r="G1624" t="str">
            <v>Evil Genius</v>
          </cell>
          <cell r="H1624" t="str">
            <v>Evil Genius</v>
          </cell>
          <cell r="K1624" t="str">
            <v>Package</v>
          </cell>
          <cell r="L1624" t="str">
            <v>Yes</v>
          </cell>
        </row>
        <row r="1625">
          <cell r="G1625" t="str">
            <v>Evil Genius</v>
          </cell>
          <cell r="H1625" t="str">
            <v>Evil Genius</v>
          </cell>
          <cell r="K1625" t="str">
            <v>Package</v>
          </cell>
          <cell r="L1625" t="str">
            <v>Yes</v>
          </cell>
        </row>
        <row r="1626">
          <cell r="G1626" t="str">
            <v>Evil Genius</v>
          </cell>
          <cell r="H1626" t="str">
            <v>Evil Genius</v>
          </cell>
          <cell r="K1626" t="str">
            <v>Draft</v>
          </cell>
          <cell r="L1626" t="str">
            <v>No</v>
          </cell>
        </row>
        <row r="1627">
          <cell r="G1627" t="str">
            <v>Evil Genius</v>
          </cell>
          <cell r="H1627" t="str">
            <v>Evil Genius</v>
          </cell>
          <cell r="K1627" t="str">
            <v>Package</v>
          </cell>
          <cell r="L1627" t="str">
            <v>No</v>
          </cell>
        </row>
        <row r="1628">
          <cell r="G1628" t="str">
            <v>Evil Genius</v>
          </cell>
          <cell r="H1628" t="str">
            <v>Evil Genius</v>
          </cell>
          <cell r="K1628" t="str">
            <v>Package</v>
          </cell>
          <cell r="L1628" t="str">
            <v>No</v>
          </cell>
        </row>
        <row r="1629">
          <cell r="G1629" t="str">
            <v>Evil Genius</v>
          </cell>
          <cell r="H1629" t="str">
            <v>Evil Genius</v>
          </cell>
          <cell r="K1629" t="str">
            <v>Package</v>
          </cell>
          <cell r="L1629" t="str">
            <v>No</v>
          </cell>
        </row>
        <row r="1630">
          <cell r="G1630" t="str">
            <v>Evil Genius</v>
          </cell>
          <cell r="H1630" t="str">
            <v>Evil Genius</v>
          </cell>
          <cell r="K1630" t="str">
            <v>Draft</v>
          </cell>
          <cell r="L1630" t="str">
            <v>No</v>
          </cell>
        </row>
        <row r="1631">
          <cell r="G1631" t="str">
            <v>Evil Genius</v>
          </cell>
          <cell r="H1631" t="str">
            <v>Evil Genius</v>
          </cell>
          <cell r="K1631" t="str">
            <v>Draft</v>
          </cell>
          <cell r="L1631" t="str">
            <v>No</v>
          </cell>
        </row>
        <row r="1632">
          <cell r="G1632" t="str">
            <v>Evil Genius</v>
          </cell>
          <cell r="H1632" t="str">
            <v>Evil Genius</v>
          </cell>
          <cell r="K1632" t="str">
            <v>Draft</v>
          </cell>
          <cell r="L1632" t="str">
            <v>No</v>
          </cell>
        </row>
        <row r="1633">
          <cell r="G1633" t="str">
            <v>Evil Genius</v>
          </cell>
          <cell r="H1633" t="str">
            <v>Evil Genius</v>
          </cell>
          <cell r="K1633" t="str">
            <v>Package</v>
          </cell>
          <cell r="L1633" t="str">
            <v>Yes</v>
          </cell>
        </row>
        <row r="1634">
          <cell r="G1634" t="str">
            <v>Evil Genius</v>
          </cell>
          <cell r="H1634" t="str">
            <v>Evil Genius</v>
          </cell>
          <cell r="K1634" t="str">
            <v>Draft</v>
          </cell>
          <cell r="L1634" t="str">
            <v>No</v>
          </cell>
        </row>
        <row r="1635">
          <cell r="G1635" t="str">
            <v>Evil Genius</v>
          </cell>
          <cell r="H1635" t="str">
            <v>Evil Genius</v>
          </cell>
          <cell r="K1635" t="str">
            <v>Package</v>
          </cell>
          <cell r="L1635" t="str">
            <v>No</v>
          </cell>
        </row>
        <row r="1636">
          <cell r="G1636" t="str">
            <v>Evil Genius</v>
          </cell>
          <cell r="H1636" t="str">
            <v>Evil Genius</v>
          </cell>
          <cell r="K1636" t="str">
            <v>Draft</v>
          </cell>
          <cell r="L1636" t="str">
            <v>No</v>
          </cell>
        </row>
        <row r="1637">
          <cell r="G1637" t="str">
            <v>Evil Genius</v>
          </cell>
          <cell r="H1637" t="str">
            <v>Evil Genius</v>
          </cell>
          <cell r="K1637" t="str">
            <v>Draft</v>
          </cell>
          <cell r="L1637" t="str">
            <v>No</v>
          </cell>
        </row>
        <row r="1638">
          <cell r="G1638" t="str">
            <v>Evil Genius</v>
          </cell>
          <cell r="H1638" t="str">
            <v>Evil Genius</v>
          </cell>
          <cell r="K1638" t="str">
            <v>Draft</v>
          </cell>
          <cell r="L1638" t="str">
            <v>No</v>
          </cell>
        </row>
        <row r="1639">
          <cell r="G1639" t="str">
            <v>Evil Genius</v>
          </cell>
          <cell r="H1639" t="str">
            <v>Evil Genius</v>
          </cell>
          <cell r="K1639" t="str">
            <v>Draft</v>
          </cell>
          <cell r="L1639" t="str">
            <v>No</v>
          </cell>
        </row>
        <row r="1640">
          <cell r="G1640" t="str">
            <v>Evil Genius</v>
          </cell>
          <cell r="H1640" t="str">
            <v>Evil Genius</v>
          </cell>
          <cell r="K1640" t="str">
            <v>Draft</v>
          </cell>
          <cell r="L1640" t="str">
            <v>No</v>
          </cell>
        </row>
        <row r="1641">
          <cell r="G1641" t="str">
            <v>Evil Genius</v>
          </cell>
          <cell r="H1641" t="str">
            <v>Evil Genius</v>
          </cell>
          <cell r="K1641" t="str">
            <v>Draft</v>
          </cell>
          <cell r="L1641" t="str">
            <v>Yes</v>
          </cell>
        </row>
        <row r="1642">
          <cell r="G1642" t="str">
            <v>Evil Genius</v>
          </cell>
          <cell r="H1642" t="str">
            <v>Evil Genius</v>
          </cell>
          <cell r="K1642" t="str">
            <v>Draft</v>
          </cell>
          <cell r="L1642" t="str">
            <v>Yes</v>
          </cell>
        </row>
        <row r="1643">
          <cell r="G1643" t="str">
            <v>Evil Genius</v>
          </cell>
          <cell r="H1643" t="str">
            <v>Evil Genius</v>
          </cell>
          <cell r="K1643" t="str">
            <v>Draft</v>
          </cell>
          <cell r="L1643" t="str">
            <v>No</v>
          </cell>
        </row>
        <row r="1644">
          <cell r="G1644" t="str">
            <v>Evil Genius</v>
          </cell>
          <cell r="H1644" t="str">
            <v>Evil Genius</v>
          </cell>
          <cell r="K1644" t="str">
            <v>Package</v>
          </cell>
          <cell r="L1644" t="str">
            <v>No</v>
          </cell>
        </row>
        <row r="1645">
          <cell r="G1645" t="str">
            <v>Evil Genius</v>
          </cell>
          <cell r="H1645" t="str">
            <v>Evil Genius</v>
          </cell>
          <cell r="K1645" t="str">
            <v>Draft</v>
          </cell>
          <cell r="L1645" t="str">
            <v>No</v>
          </cell>
        </row>
        <row r="1646">
          <cell r="G1646" t="str">
            <v>Evil Genius</v>
          </cell>
          <cell r="H1646" t="str">
            <v>Evil Genius</v>
          </cell>
          <cell r="K1646" t="str">
            <v>Package</v>
          </cell>
          <cell r="L1646" t="str">
            <v>No</v>
          </cell>
        </row>
        <row r="1647">
          <cell r="G1647" t="str">
            <v>Evil Genius</v>
          </cell>
          <cell r="H1647" t="str">
            <v>Evil Genius</v>
          </cell>
          <cell r="K1647" t="str">
            <v>Draft</v>
          </cell>
          <cell r="L1647" t="str">
            <v>No</v>
          </cell>
        </row>
        <row r="1648">
          <cell r="G1648" t="str">
            <v>Evil Genius</v>
          </cell>
          <cell r="H1648" t="str">
            <v>Evil Genius</v>
          </cell>
          <cell r="K1648" t="str">
            <v>Package</v>
          </cell>
          <cell r="L1648" t="str">
            <v>Yes</v>
          </cell>
        </row>
        <row r="1649">
          <cell r="G1649" t="str">
            <v>Evil Genius</v>
          </cell>
          <cell r="H1649" t="str">
            <v>Evil Genius</v>
          </cell>
          <cell r="K1649" t="str">
            <v>Package</v>
          </cell>
          <cell r="L1649" t="str">
            <v>No</v>
          </cell>
        </row>
        <row r="1650">
          <cell r="G1650" t="str">
            <v>Evil Genius</v>
          </cell>
          <cell r="H1650" t="str">
            <v>Evil Genius</v>
          </cell>
          <cell r="K1650" t="str">
            <v>Package</v>
          </cell>
          <cell r="L1650" t="str">
            <v>No</v>
          </cell>
        </row>
        <row r="1651">
          <cell r="G1651" t="str">
            <v>Evil Genius</v>
          </cell>
          <cell r="H1651" t="str">
            <v>Evil Genius</v>
          </cell>
          <cell r="K1651" t="str">
            <v>Package</v>
          </cell>
          <cell r="L1651" t="str">
            <v>No</v>
          </cell>
        </row>
        <row r="1652">
          <cell r="G1652" t="str">
            <v>Evil Genius</v>
          </cell>
          <cell r="H1652" t="str">
            <v>Evil Genius</v>
          </cell>
          <cell r="K1652" t="str">
            <v>Draft</v>
          </cell>
          <cell r="L1652" t="str">
            <v>No</v>
          </cell>
        </row>
        <row r="1653">
          <cell r="G1653" t="str">
            <v>Evil Genius</v>
          </cell>
          <cell r="H1653" t="str">
            <v>Evil Genius</v>
          </cell>
          <cell r="K1653" t="str">
            <v>Package</v>
          </cell>
          <cell r="L1653" t="str">
            <v>Yes</v>
          </cell>
        </row>
        <row r="1654">
          <cell r="G1654" t="str">
            <v>Evil Genius</v>
          </cell>
          <cell r="H1654" t="str">
            <v>Evil Genius</v>
          </cell>
          <cell r="K1654" t="str">
            <v>Package</v>
          </cell>
          <cell r="L1654" t="str">
            <v>Yes</v>
          </cell>
        </row>
        <row r="1655">
          <cell r="G1655" t="str">
            <v>Evil Genius</v>
          </cell>
          <cell r="H1655" t="str">
            <v>Evil Genius</v>
          </cell>
          <cell r="K1655" t="str">
            <v>Package</v>
          </cell>
          <cell r="L1655" t="str">
            <v>Yes</v>
          </cell>
        </row>
        <row r="1656">
          <cell r="G1656" t="str">
            <v>Evil Genius</v>
          </cell>
          <cell r="H1656" t="str">
            <v>Evil Genius</v>
          </cell>
          <cell r="K1656" t="str">
            <v>Package</v>
          </cell>
          <cell r="L1656" t="str">
            <v>Yes</v>
          </cell>
        </row>
        <row r="1657">
          <cell r="G1657" t="str">
            <v>Evil Genius</v>
          </cell>
          <cell r="H1657" t="str">
            <v>Evil Genius</v>
          </cell>
          <cell r="K1657" t="str">
            <v>Package</v>
          </cell>
          <cell r="L1657" t="str">
            <v>Yes</v>
          </cell>
        </row>
        <row r="1658">
          <cell r="G1658" t="str">
            <v>Evil Genius</v>
          </cell>
          <cell r="H1658" t="str">
            <v>Evil Genius</v>
          </cell>
          <cell r="K1658" t="str">
            <v>Package</v>
          </cell>
          <cell r="L1658" t="str">
            <v>No</v>
          </cell>
        </row>
        <row r="1659">
          <cell r="G1659" t="str">
            <v>Evil Genius</v>
          </cell>
          <cell r="H1659" t="str">
            <v>Evil Genius</v>
          </cell>
          <cell r="K1659" t="str">
            <v>Package</v>
          </cell>
          <cell r="L1659" t="str">
            <v>No</v>
          </cell>
        </row>
        <row r="1660">
          <cell r="G1660" t="str">
            <v>Evil Genius</v>
          </cell>
          <cell r="H1660" t="str">
            <v>Evil Genius</v>
          </cell>
          <cell r="K1660" t="str">
            <v>Package</v>
          </cell>
          <cell r="L1660" t="str">
            <v>No</v>
          </cell>
        </row>
        <row r="1661">
          <cell r="G1661" t="str">
            <v>Evil Genius</v>
          </cell>
          <cell r="H1661" t="str">
            <v>Evil Genius</v>
          </cell>
          <cell r="K1661" t="str">
            <v>Draft</v>
          </cell>
          <cell r="L1661" t="str">
            <v>No</v>
          </cell>
        </row>
        <row r="1662">
          <cell r="G1662" t="str">
            <v>Evil Genius</v>
          </cell>
          <cell r="H1662" t="str">
            <v>Evil Genius</v>
          </cell>
          <cell r="K1662" t="str">
            <v>Draft</v>
          </cell>
          <cell r="L1662" t="str">
            <v>No</v>
          </cell>
        </row>
        <row r="1663">
          <cell r="G1663" t="str">
            <v>Evil Genius</v>
          </cell>
          <cell r="H1663" t="str">
            <v>Evil Genius</v>
          </cell>
          <cell r="K1663" t="str">
            <v>Package</v>
          </cell>
          <cell r="L1663" t="str">
            <v>No</v>
          </cell>
        </row>
        <row r="1664">
          <cell r="G1664" t="str">
            <v>Evil Genius</v>
          </cell>
          <cell r="H1664" t="str">
            <v>Evil Genius</v>
          </cell>
          <cell r="K1664" t="str">
            <v>Draft</v>
          </cell>
          <cell r="L1664" t="str">
            <v>No</v>
          </cell>
        </row>
        <row r="1665">
          <cell r="G1665" t="str">
            <v>Evil Genius</v>
          </cell>
          <cell r="H1665" t="str">
            <v>Evil Genius</v>
          </cell>
          <cell r="K1665" t="str">
            <v>Draft</v>
          </cell>
          <cell r="L1665" t="str">
            <v>No</v>
          </cell>
        </row>
        <row r="1666">
          <cell r="G1666" t="str">
            <v>Steel Reserve</v>
          </cell>
          <cell r="H1666" t="str">
            <v>MolsonCoors Beverage Company</v>
          </cell>
          <cell r="K1666" t="str">
            <v>Package</v>
          </cell>
          <cell r="L1666" t="str">
            <v>Yes</v>
          </cell>
        </row>
        <row r="1667">
          <cell r="G1667" t="str">
            <v>Steel Reserve</v>
          </cell>
          <cell r="H1667" t="str">
            <v>MolsonCoors Beverage Company</v>
          </cell>
          <cell r="K1667" t="str">
            <v>Package</v>
          </cell>
          <cell r="L1667" t="str">
            <v>Yes</v>
          </cell>
        </row>
        <row r="1668">
          <cell r="G1668" t="str">
            <v>Steel Reserve</v>
          </cell>
          <cell r="H1668" t="str">
            <v>MolsonCoors Beverage Company</v>
          </cell>
          <cell r="K1668" t="str">
            <v>Package</v>
          </cell>
          <cell r="L1668" t="str">
            <v>Yes</v>
          </cell>
        </row>
        <row r="1669">
          <cell r="G1669" t="str">
            <v>Steel Reserve</v>
          </cell>
          <cell r="H1669" t="str">
            <v>MolsonCoors Beverage Company</v>
          </cell>
          <cell r="K1669" t="str">
            <v>Package</v>
          </cell>
          <cell r="L1669" t="str">
            <v>Yes</v>
          </cell>
        </row>
        <row r="1670">
          <cell r="G1670" t="str">
            <v>Steel Reserve Alloy Series</v>
          </cell>
          <cell r="H1670" t="str">
            <v>MolsonCoors Beverage Company</v>
          </cell>
          <cell r="K1670" t="str">
            <v>Package</v>
          </cell>
          <cell r="L1670" t="str">
            <v>No</v>
          </cell>
        </row>
        <row r="1671">
          <cell r="G1671" t="str">
            <v>Steel Reserve Alloy Series</v>
          </cell>
          <cell r="H1671" t="str">
            <v>MolsonCoors Beverage Company</v>
          </cell>
          <cell r="K1671" t="str">
            <v>Package</v>
          </cell>
          <cell r="L1671" t="str">
            <v>No</v>
          </cell>
        </row>
        <row r="1672">
          <cell r="G1672" t="str">
            <v>Evil Genius</v>
          </cell>
          <cell r="H1672" t="str">
            <v>Evil Genius</v>
          </cell>
          <cell r="K1672" t="str">
            <v>Package</v>
          </cell>
          <cell r="L1672" t="str">
            <v>No</v>
          </cell>
        </row>
        <row r="1673">
          <cell r="G1673" t="str">
            <v>Evil Genius</v>
          </cell>
          <cell r="H1673" t="str">
            <v>Evil Genius</v>
          </cell>
          <cell r="K1673" t="str">
            <v>Draft</v>
          </cell>
          <cell r="L1673" t="str">
            <v>No</v>
          </cell>
        </row>
        <row r="1674">
          <cell r="G1674" t="str">
            <v>Steel Reserve Alloy Series</v>
          </cell>
          <cell r="H1674" t="str">
            <v>MolsonCoors Beverage Company</v>
          </cell>
          <cell r="K1674" t="str">
            <v>Package</v>
          </cell>
          <cell r="L1674" t="str">
            <v>No</v>
          </cell>
        </row>
        <row r="1675">
          <cell r="G1675" t="str">
            <v>Evil Genius</v>
          </cell>
          <cell r="H1675" t="str">
            <v>Evil Genius</v>
          </cell>
          <cell r="K1675" t="str">
            <v>Package</v>
          </cell>
          <cell r="L1675" t="str">
            <v>Yes</v>
          </cell>
        </row>
        <row r="1676">
          <cell r="G1676" t="str">
            <v>Evil Genius</v>
          </cell>
          <cell r="H1676" t="str">
            <v>Evil Genius</v>
          </cell>
          <cell r="K1676" t="str">
            <v>Draft</v>
          </cell>
          <cell r="L1676" t="str">
            <v>Yes</v>
          </cell>
        </row>
        <row r="1677">
          <cell r="G1677" t="str">
            <v>Steel Reserve Alloy Series</v>
          </cell>
          <cell r="H1677" t="str">
            <v>MolsonCoors Beverage Company</v>
          </cell>
          <cell r="K1677" t="str">
            <v>Package</v>
          </cell>
          <cell r="L1677" t="str">
            <v>No</v>
          </cell>
        </row>
        <row r="1678">
          <cell r="G1678" t="str">
            <v>Steel Reserve Alloy Series</v>
          </cell>
          <cell r="H1678" t="str">
            <v>MolsonCoors Beverage Company</v>
          </cell>
          <cell r="K1678" t="str">
            <v>Package</v>
          </cell>
          <cell r="L1678" t="str">
            <v>No</v>
          </cell>
        </row>
        <row r="1679">
          <cell r="G1679" t="str">
            <v>Steel Reserve Alloy Series</v>
          </cell>
          <cell r="H1679" t="str">
            <v>MolsonCoors Beverage Company</v>
          </cell>
          <cell r="K1679" t="str">
            <v>Package</v>
          </cell>
          <cell r="L1679" t="str">
            <v>Yes</v>
          </cell>
        </row>
        <row r="1680">
          <cell r="G1680" t="str">
            <v>Steel Reserve Alloy Series</v>
          </cell>
          <cell r="H1680" t="str">
            <v>MolsonCoors Beverage Company</v>
          </cell>
          <cell r="K1680" t="str">
            <v>Package</v>
          </cell>
          <cell r="L1680" t="str">
            <v>No</v>
          </cell>
        </row>
        <row r="1681">
          <cell r="G1681" t="str">
            <v>Steel Reserve</v>
          </cell>
          <cell r="H1681" t="str">
            <v>MolsonCoors Beverage Company</v>
          </cell>
          <cell r="K1681" t="str">
            <v>Package</v>
          </cell>
          <cell r="L1681" t="str">
            <v>No</v>
          </cell>
        </row>
        <row r="1682">
          <cell r="G1682" t="str">
            <v>Steel Reserve</v>
          </cell>
          <cell r="H1682" t="str">
            <v>MolsonCoors Beverage Company</v>
          </cell>
          <cell r="K1682" t="str">
            <v>Package</v>
          </cell>
          <cell r="L1682" t="str">
            <v>No</v>
          </cell>
        </row>
        <row r="1683">
          <cell r="G1683" t="str">
            <v>Earthquake</v>
          </cell>
          <cell r="H1683" t="str">
            <v>Phusion Projects</v>
          </cell>
          <cell r="K1683" t="str">
            <v>Package</v>
          </cell>
          <cell r="L1683" t="str">
            <v>No</v>
          </cell>
        </row>
        <row r="1684">
          <cell r="G1684" t="str">
            <v>Earthquake</v>
          </cell>
          <cell r="H1684" t="str">
            <v>Phusion Projects</v>
          </cell>
          <cell r="K1684" t="str">
            <v>Package</v>
          </cell>
          <cell r="L1684" t="str">
            <v>Yes</v>
          </cell>
        </row>
        <row r="1685">
          <cell r="G1685" t="str">
            <v>Montauk</v>
          </cell>
          <cell r="H1685" t="str">
            <v>Montauk Brewing Co</v>
          </cell>
          <cell r="K1685" t="str">
            <v>Package</v>
          </cell>
          <cell r="L1685" t="str">
            <v>Yes</v>
          </cell>
        </row>
        <row r="1686">
          <cell r="G1686" t="str">
            <v>Daura</v>
          </cell>
          <cell r="H1686" t="str">
            <v>US Beverage</v>
          </cell>
          <cell r="K1686" t="str">
            <v>Package</v>
          </cell>
          <cell r="L1686" t="str">
            <v>Yes</v>
          </cell>
        </row>
        <row r="1687">
          <cell r="G1687" t="str">
            <v>Pabst Blue Ribbon</v>
          </cell>
          <cell r="H1687" t="str">
            <v>Pabst Brewing Company</v>
          </cell>
          <cell r="K1687" t="str">
            <v>Package</v>
          </cell>
          <cell r="L1687" t="str">
            <v>Yes</v>
          </cell>
        </row>
        <row r="1688">
          <cell r="G1688" t="str">
            <v>Coors Edge</v>
          </cell>
          <cell r="H1688" t="str">
            <v>MolsonCoors Beverage Company</v>
          </cell>
          <cell r="K1688" t="str">
            <v>Package</v>
          </cell>
          <cell r="L1688" t="str">
            <v>Yes</v>
          </cell>
        </row>
        <row r="1689">
          <cell r="G1689" t="str">
            <v>Peroni</v>
          </cell>
          <cell r="H1689" t="str">
            <v>MolsonCoors Beverage Company</v>
          </cell>
          <cell r="K1689" t="str">
            <v>Package</v>
          </cell>
          <cell r="L1689" t="str">
            <v>Yes</v>
          </cell>
        </row>
        <row r="1690">
          <cell r="G1690" t="str">
            <v>Blue Moon</v>
          </cell>
          <cell r="H1690" t="str">
            <v>MolsonCoors Beverage Company</v>
          </cell>
          <cell r="K1690" t="str">
            <v>Package</v>
          </cell>
          <cell r="L1690" t="str">
            <v>Yes</v>
          </cell>
        </row>
        <row r="1691">
          <cell r="G1691" t="str">
            <v>Blue Moon</v>
          </cell>
          <cell r="H1691" t="str">
            <v>MolsonCoors Beverage Company</v>
          </cell>
          <cell r="K1691" t="str">
            <v>Package</v>
          </cell>
          <cell r="L1691" t="str">
            <v>Yes</v>
          </cell>
        </row>
        <row r="1692">
          <cell r="G1692" t="str">
            <v>Coors 0.0</v>
          </cell>
          <cell r="H1692" t="str">
            <v>MolsonCoors Beverage Company</v>
          </cell>
          <cell r="K1692" t="str">
            <v>Package</v>
          </cell>
          <cell r="L1692" t="str">
            <v>Yes</v>
          </cell>
        </row>
        <row r="1693">
          <cell r="G1693" t="str">
            <v>Coors 0.0</v>
          </cell>
          <cell r="H1693" t="str">
            <v>MolsonCoors Beverage Company</v>
          </cell>
          <cell r="K1693" t="str">
            <v>Package</v>
          </cell>
          <cell r="L1693" t="str">
            <v>Yes</v>
          </cell>
        </row>
        <row r="1694">
          <cell r="G1694" t="str">
            <v>Montauk</v>
          </cell>
          <cell r="H1694" t="str">
            <v>Montauk Brewing Co</v>
          </cell>
          <cell r="K1694" t="str">
            <v>Package</v>
          </cell>
          <cell r="L1694" t="str">
            <v>Yes</v>
          </cell>
        </row>
        <row r="1695">
          <cell r="G1695" t="str">
            <v>Flying Dog Brewing Co</v>
          </cell>
          <cell r="H1695" t="str">
            <v>FX Matt</v>
          </cell>
          <cell r="K1695" t="str">
            <v>Package</v>
          </cell>
          <cell r="L1695" t="str">
            <v>Yes</v>
          </cell>
        </row>
        <row r="1696">
          <cell r="G1696" t="str">
            <v>Corona NA</v>
          </cell>
          <cell r="H1696" t="str">
            <v>Constellation Brands</v>
          </cell>
          <cell r="K1696" t="str">
            <v>Package</v>
          </cell>
          <cell r="L1696" t="str">
            <v>Yes</v>
          </cell>
        </row>
        <row r="1697">
          <cell r="G1697" t="str">
            <v>Corona NA</v>
          </cell>
          <cell r="H1697" t="str">
            <v>Constellation Brands</v>
          </cell>
          <cell r="K1697" t="str">
            <v>Package</v>
          </cell>
          <cell r="L1697" t="str">
            <v>Yes</v>
          </cell>
        </row>
        <row r="1698">
          <cell r="G1698" t="str">
            <v>Corona NA</v>
          </cell>
          <cell r="H1698" t="str">
            <v>Constellation Brands</v>
          </cell>
          <cell r="K1698" t="str">
            <v>Package</v>
          </cell>
          <cell r="L1698" t="str">
            <v>Yes</v>
          </cell>
        </row>
        <row r="1699">
          <cell r="G1699" t="str">
            <v>Sierra Nevada</v>
          </cell>
          <cell r="H1699" t="str">
            <v>Sierra Nevada Brewing Company</v>
          </cell>
          <cell r="K1699" t="str">
            <v>Package</v>
          </cell>
          <cell r="L1699" t="str">
            <v>Yes</v>
          </cell>
        </row>
        <row r="1700">
          <cell r="G1700" t="str">
            <v>Sierra Nevada</v>
          </cell>
          <cell r="H1700" t="str">
            <v>Sierra Nevada Brewing Company</v>
          </cell>
          <cell r="K1700" t="str">
            <v>Package</v>
          </cell>
          <cell r="L1700" t="str">
            <v>Yes</v>
          </cell>
        </row>
        <row r="1701">
          <cell r="G1701" t="str">
            <v>Sierra Nevada</v>
          </cell>
          <cell r="H1701" t="str">
            <v>Sierra Nevada Brewing Company</v>
          </cell>
          <cell r="K1701" t="str">
            <v>Package</v>
          </cell>
          <cell r="L1701" t="str">
            <v>Yes</v>
          </cell>
        </row>
        <row r="1702">
          <cell r="G1702" t="str">
            <v>Sierra Nevada</v>
          </cell>
          <cell r="H1702" t="str">
            <v>Sierra Nevada Brewing Company</v>
          </cell>
          <cell r="K1702" t="str">
            <v>Package</v>
          </cell>
          <cell r="L1702" t="str">
            <v>Yes</v>
          </cell>
        </row>
        <row r="1703">
          <cell r="G1703" t="str">
            <v>Sierra Nevada</v>
          </cell>
          <cell r="H1703" t="str">
            <v>Sierra Nevada Brewing Company</v>
          </cell>
          <cell r="K1703" t="str">
            <v>Package</v>
          </cell>
          <cell r="L1703" t="str">
            <v>Yes</v>
          </cell>
        </row>
        <row r="1704">
          <cell r="G1704" t="str">
            <v>Lagunitas NA</v>
          </cell>
          <cell r="H1704" t="str">
            <v>Lagunitas Brewing Co</v>
          </cell>
          <cell r="K1704" t="str">
            <v>Package</v>
          </cell>
          <cell r="L1704" t="str">
            <v>No</v>
          </cell>
        </row>
        <row r="1705">
          <cell r="G1705" t="str">
            <v>Lagunitas NA</v>
          </cell>
          <cell r="H1705" t="str">
            <v>Lagunitas Brewing Co</v>
          </cell>
          <cell r="K1705" t="str">
            <v>Package</v>
          </cell>
          <cell r="L1705" t="str">
            <v>Yes</v>
          </cell>
        </row>
        <row r="1706">
          <cell r="G1706" t="str">
            <v>Lagunitas NA</v>
          </cell>
          <cell r="H1706" t="str">
            <v>Lagunitas Brewing Co</v>
          </cell>
          <cell r="K1706" t="str">
            <v>Package</v>
          </cell>
          <cell r="L1706" t="str">
            <v>Yes</v>
          </cell>
        </row>
        <row r="1707">
          <cell r="G1707" t="str">
            <v>Lagunitas NA</v>
          </cell>
          <cell r="H1707" t="str">
            <v>Lagunitas Brewing Co</v>
          </cell>
          <cell r="K1707" t="str">
            <v>Package</v>
          </cell>
          <cell r="L1707" t="str">
            <v>Yes</v>
          </cell>
        </row>
        <row r="1708">
          <cell r="G1708" t="str">
            <v>Lagunitas NA</v>
          </cell>
          <cell r="H1708" t="str">
            <v>Lagunitas Brewing Co</v>
          </cell>
          <cell r="K1708" t="str">
            <v>Package</v>
          </cell>
          <cell r="L1708" t="str">
            <v>Yes</v>
          </cell>
        </row>
        <row r="1709">
          <cell r="G1709" t="str">
            <v>Lagunitas NA</v>
          </cell>
          <cell r="H1709" t="str">
            <v>Lagunitas Brewing Co</v>
          </cell>
          <cell r="K1709" t="str">
            <v>Package</v>
          </cell>
          <cell r="L1709" t="str">
            <v>Yes</v>
          </cell>
        </row>
        <row r="1710">
          <cell r="G1710" t="str">
            <v>Sierra Nevada</v>
          </cell>
          <cell r="H1710" t="str">
            <v>Sierra Nevada Brewing Company</v>
          </cell>
          <cell r="K1710" t="str">
            <v>Package</v>
          </cell>
          <cell r="L1710" t="str">
            <v>Yes</v>
          </cell>
        </row>
        <row r="1711">
          <cell r="G1711" t="str">
            <v>Sapporo</v>
          </cell>
          <cell r="H1711" t="str">
            <v>Sapporo</v>
          </cell>
          <cell r="K1711" t="str">
            <v>Package</v>
          </cell>
          <cell r="L1711" t="str">
            <v>Yes</v>
          </cell>
        </row>
        <row r="1712">
          <cell r="G1712" t="str">
            <v>Buckler</v>
          </cell>
          <cell r="H1712" t="str">
            <v>Heineken USA</v>
          </cell>
          <cell r="K1712" t="str">
            <v>Package</v>
          </cell>
          <cell r="L1712" t="str">
            <v>Yes</v>
          </cell>
        </row>
        <row r="1713">
          <cell r="G1713" t="str">
            <v>Tsingtao</v>
          </cell>
          <cell r="H1713" t="str">
            <v>Paulaner</v>
          </cell>
          <cell r="K1713" t="str">
            <v>Package</v>
          </cell>
          <cell r="L1713" t="str">
            <v>Yes</v>
          </cell>
        </row>
        <row r="1714">
          <cell r="G1714" t="str">
            <v>Clausthaler</v>
          </cell>
          <cell r="H1714" t="str">
            <v>Radeberger USA</v>
          </cell>
          <cell r="K1714" t="str">
            <v>Package</v>
          </cell>
          <cell r="L1714" t="str">
            <v>Yes</v>
          </cell>
        </row>
        <row r="1715">
          <cell r="G1715" t="str">
            <v>Clausthaler</v>
          </cell>
          <cell r="H1715" t="str">
            <v>Radeberger USA</v>
          </cell>
          <cell r="K1715" t="str">
            <v>Package</v>
          </cell>
          <cell r="L1715" t="str">
            <v>Yes</v>
          </cell>
        </row>
        <row r="1716">
          <cell r="G1716" t="str">
            <v>Clausthaler</v>
          </cell>
          <cell r="H1716" t="str">
            <v>Radeberger USA</v>
          </cell>
          <cell r="K1716" t="str">
            <v>Package</v>
          </cell>
          <cell r="L1716" t="str">
            <v>No</v>
          </cell>
        </row>
        <row r="1717">
          <cell r="G1717" t="str">
            <v>Clausthaler</v>
          </cell>
          <cell r="H1717" t="str">
            <v>Radeberger USA</v>
          </cell>
          <cell r="K1717" t="str">
            <v>Package</v>
          </cell>
          <cell r="L1717" t="str">
            <v>No</v>
          </cell>
        </row>
        <row r="1718">
          <cell r="G1718" t="str">
            <v>Clausthaler</v>
          </cell>
          <cell r="H1718" t="str">
            <v>Radeberger USA</v>
          </cell>
          <cell r="K1718" t="str">
            <v>Package</v>
          </cell>
          <cell r="L1718" t="str">
            <v>Yes</v>
          </cell>
        </row>
        <row r="1719">
          <cell r="G1719" t="str">
            <v>Clausthaler</v>
          </cell>
          <cell r="H1719" t="str">
            <v>Radeberger USA</v>
          </cell>
          <cell r="K1719" t="str">
            <v>Package</v>
          </cell>
          <cell r="L1719" t="str">
            <v>No</v>
          </cell>
        </row>
        <row r="1720">
          <cell r="G1720" t="str">
            <v>Clausthaler</v>
          </cell>
          <cell r="H1720" t="str">
            <v>Radeberger USA</v>
          </cell>
          <cell r="K1720" t="str">
            <v>Package</v>
          </cell>
          <cell r="L1720" t="str">
            <v>Yes</v>
          </cell>
        </row>
        <row r="1721">
          <cell r="G1721" t="str">
            <v>Athletic</v>
          </cell>
          <cell r="H1721" t="str">
            <v>Athletic Brewing Company</v>
          </cell>
          <cell r="K1721" t="str">
            <v>Package</v>
          </cell>
          <cell r="L1721" t="str">
            <v>No</v>
          </cell>
        </row>
        <row r="1722">
          <cell r="G1722" t="str">
            <v>Athletic</v>
          </cell>
          <cell r="H1722" t="str">
            <v>Athletic Brewing Company</v>
          </cell>
          <cell r="K1722" t="str">
            <v>Package</v>
          </cell>
          <cell r="L1722" t="str">
            <v>Yes</v>
          </cell>
        </row>
        <row r="1723">
          <cell r="G1723" t="str">
            <v>Athletic</v>
          </cell>
          <cell r="H1723" t="str">
            <v>Athletic Brewing Company</v>
          </cell>
          <cell r="K1723" t="str">
            <v>Package</v>
          </cell>
          <cell r="L1723" t="str">
            <v>Yes</v>
          </cell>
        </row>
        <row r="1724">
          <cell r="G1724" t="str">
            <v>Athletic</v>
          </cell>
          <cell r="H1724" t="str">
            <v>Athletic Brewing Company</v>
          </cell>
          <cell r="K1724" t="str">
            <v>Package</v>
          </cell>
          <cell r="L1724" t="str">
            <v>Yes</v>
          </cell>
        </row>
        <row r="1725">
          <cell r="G1725" t="str">
            <v>Athletic</v>
          </cell>
          <cell r="H1725" t="str">
            <v>Athletic Brewing Company</v>
          </cell>
          <cell r="K1725" t="str">
            <v>Package</v>
          </cell>
          <cell r="L1725" t="str">
            <v>Yes</v>
          </cell>
        </row>
        <row r="1726">
          <cell r="G1726" t="str">
            <v>Athletic</v>
          </cell>
          <cell r="H1726" t="str">
            <v>Athletic Brewing Company</v>
          </cell>
          <cell r="K1726" t="str">
            <v>Package</v>
          </cell>
          <cell r="L1726" t="str">
            <v>Yes</v>
          </cell>
        </row>
        <row r="1727">
          <cell r="G1727" t="str">
            <v>Athletic</v>
          </cell>
          <cell r="H1727" t="str">
            <v>Athletic Brewing Company</v>
          </cell>
          <cell r="K1727" t="str">
            <v>Package</v>
          </cell>
          <cell r="L1727" t="str">
            <v>Yes</v>
          </cell>
        </row>
        <row r="1728">
          <cell r="G1728" t="str">
            <v>Athletic</v>
          </cell>
          <cell r="H1728" t="str">
            <v>Athletic Brewing Company</v>
          </cell>
          <cell r="K1728" t="str">
            <v>Package</v>
          </cell>
          <cell r="L1728" t="str">
            <v>Yes</v>
          </cell>
        </row>
        <row r="1729">
          <cell r="G1729" t="str">
            <v>Athletic</v>
          </cell>
          <cell r="H1729" t="str">
            <v>Athletic Brewing Company</v>
          </cell>
          <cell r="K1729" t="str">
            <v>Package</v>
          </cell>
          <cell r="L1729" t="str">
            <v>Yes</v>
          </cell>
        </row>
        <row r="1730">
          <cell r="G1730" t="str">
            <v>Athletic</v>
          </cell>
          <cell r="H1730" t="str">
            <v>Athletic Brewing Company</v>
          </cell>
          <cell r="K1730" t="str">
            <v>Package</v>
          </cell>
          <cell r="L1730" t="str">
            <v>Yes</v>
          </cell>
        </row>
        <row r="1731">
          <cell r="G1731" t="str">
            <v>Athletic</v>
          </cell>
          <cell r="H1731" t="str">
            <v>Athletic Brewing Company</v>
          </cell>
          <cell r="K1731" t="str">
            <v>Package</v>
          </cell>
          <cell r="L1731" t="str">
            <v>No</v>
          </cell>
        </row>
        <row r="1732">
          <cell r="G1732" t="str">
            <v>Athletic</v>
          </cell>
          <cell r="H1732" t="str">
            <v>Athletic Brewing Company</v>
          </cell>
          <cell r="K1732" t="str">
            <v>Package</v>
          </cell>
          <cell r="L1732" t="str">
            <v>Yes</v>
          </cell>
        </row>
        <row r="1733">
          <cell r="G1733" t="str">
            <v>Athletic</v>
          </cell>
          <cell r="H1733" t="str">
            <v>Athletic Brewing Company</v>
          </cell>
          <cell r="K1733" t="str">
            <v>Package</v>
          </cell>
          <cell r="L1733" t="str">
            <v>Yes</v>
          </cell>
        </row>
        <row r="1734">
          <cell r="G1734" t="str">
            <v>Athletic</v>
          </cell>
          <cell r="H1734" t="str">
            <v>Athletic Brewing Company</v>
          </cell>
          <cell r="K1734" t="str">
            <v>Package</v>
          </cell>
          <cell r="L1734" t="str">
            <v>No</v>
          </cell>
        </row>
        <row r="1735">
          <cell r="G1735" t="str">
            <v>Athletic</v>
          </cell>
          <cell r="H1735" t="str">
            <v>Athletic Brewing Company</v>
          </cell>
          <cell r="K1735" t="str">
            <v>Package</v>
          </cell>
          <cell r="L1735" t="str">
            <v>Yes</v>
          </cell>
        </row>
        <row r="1736">
          <cell r="G1736" t="str">
            <v>Athletic</v>
          </cell>
          <cell r="H1736" t="str">
            <v>Athletic Brewing Company</v>
          </cell>
          <cell r="K1736" t="str">
            <v>Package</v>
          </cell>
          <cell r="L1736" t="str">
            <v>Yes</v>
          </cell>
        </row>
        <row r="1737">
          <cell r="G1737" t="str">
            <v>Athletic</v>
          </cell>
          <cell r="H1737" t="str">
            <v>Athletic Brewing Company</v>
          </cell>
          <cell r="K1737" t="str">
            <v>Package</v>
          </cell>
          <cell r="L1737" t="str">
            <v>Yes</v>
          </cell>
        </row>
        <row r="1738">
          <cell r="G1738" t="str">
            <v>Athletic</v>
          </cell>
          <cell r="H1738" t="str">
            <v>Athletic Brewing Company</v>
          </cell>
          <cell r="K1738" t="str">
            <v>Package</v>
          </cell>
          <cell r="L1738" t="str">
            <v>Yes</v>
          </cell>
        </row>
        <row r="1739">
          <cell r="G1739" t="str">
            <v>Athletic</v>
          </cell>
          <cell r="H1739" t="str">
            <v>Athletic Brewing Company</v>
          </cell>
          <cell r="K1739" t="str">
            <v>Package</v>
          </cell>
          <cell r="L1739" t="str">
            <v>Yes</v>
          </cell>
        </row>
        <row r="1740">
          <cell r="G1740" t="str">
            <v>Saranac</v>
          </cell>
          <cell r="H1740" t="str">
            <v>FX Matt</v>
          </cell>
          <cell r="K1740" t="str">
            <v>Package</v>
          </cell>
          <cell r="L1740" t="str">
            <v>Yes</v>
          </cell>
        </row>
        <row r="1741">
          <cell r="G1741" t="str">
            <v>Athletic</v>
          </cell>
          <cell r="H1741" t="str">
            <v>Athletic Brewing Company</v>
          </cell>
          <cell r="K1741" t="str">
            <v>Package</v>
          </cell>
          <cell r="L1741" t="str">
            <v>Yes</v>
          </cell>
        </row>
        <row r="1742">
          <cell r="G1742" t="str">
            <v>Athletic</v>
          </cell>
          <cell r="H1742" t="str">
            <v>Athletic Brewing Company</v>
          </cell>
          <cell r="K1742" t="str">
            <v>Package</v>
          </cell>
          <cell r="L1742" t="str">
            <v>Yes</v>
          </cell>
        </row>
        <row r="1743">
          <cell r="G1743" t="str">
            <v>Athletic</v>
          </cell>
          <cell r="H1743" t="str">
            <v>Athletic Brewing Company</v>
          </cell>
          <cell r="K1743" t="str">
            <v>Package</v>
          </cell>
          <cell r="L1743" t="str">
            <v>Yes</v>
          </cell>
        </row>
        <row r="1744">
          <cell r="G1744" t="str">
            <v>Athletic</v>
          </cell>
          <cell r="H1744" t="str">
            <v>Athletic Brewing Company</v>
          </cell>
          <cell r="K1744" t="str">
            <v>Package</v>
          </cell>
          <cell r="L1744" t="str">
            <v>Yes</v>
          </cell>
        </row>
        <row r="1745">
          <cell r="G1745" t="str">
            <v>Athletic</v>
          </cell>
          <cell r="H1745" t="str">
            <v>Athletic Brewing Company</v>
          </cell>
          <cell r="K1745" t="str">
            <v>Draft</v>
          </cell>
          <cell r="L1745" t="str">
            <v>Yes</v>
          </cell>
        </row>
        <row r="1746">
          <cell r="G1746" t="str">
            <v>Athletic</v>
          </cell>
          <cell r="H1746" t="str">
            <v>Athletic Brewing Company</v>
          </cell>
          <cell r="K1746" t="str">
            <v>Package</v>
          </cell>
          <cell r="L1746" t="str">
            <v>Yes</v>
          </cell>
        </row>
        <row r="1747">
          <cell r="G1747" t="str">
            <v>Athletic</v>
          </cell>
          <cell r="H1747" t="str">
            <v>Athletic Brewing Company</v>
          </cell>
          <cell r="K1747" t="str">
            <v>Package</v>
          </cell>
          <cell r="L1747" t="str">
            <v>Yes</v>
          </cell>
        </row>
        <row r="1748">
          <cell r="G1748" t="str">
            <v>Athletic</v>
          </cell>
          <cell r="H1748" t="str">
            <v>Athletic Brewing Company</v>
          </cell>
          <cell r="K1748" t="str">
            <v>Package</v>
          </cell>
          <cell r="L1748" t="str">
            <v>Yes</v>
          </cell>
        </row>
        <row r="1749">
          <cell r="G1749" t="str">
            <v>Athletic</v>
          </cell>
          <cell r="H1749" t="str">
            <v>Athletic Brewing Company</v>
          </cell>
          <cell r="K1749" t="str">
            <v>Package</v>
          </cell>
          <cell r="L1749" t="str">
            <v>Yes</v>
          </cell>
        </row>
        <row r="1750">
          <cell r="G1750" t="str">
            <v>Athletic</v>
          </cell>
          <cell r="H1750" t="str">
            <v>Athletic Brewing Company</v>
          </cell>
          <cell r="K1750" t="str">
            <v>Package</v>
          </cell>
          <cell r="L1750" t="str">
            <v>Yes</v>
          </cell>
        </row>
        <row r="1751">
          <cell r="G1751" t="str">
            <v>Athletic</v>
          </cell>
          <cell r="H1751" t="str">
            <v>Athletic Brewing Company</v>
          </cell>
          <cell r="K1751" t="str">
            <v>Package</v>
          </cell>
          <cell r="L1751" t="str">
            <v>Yes</v>
          </cell>
        </row>
        <row r="1752">
          <cell r="G1752" t="str">
            <v>Unibroue</v>
          </cell>
          <cell r="H1752" t="str">
            <v>Unibroue</v>
          </cell>
          <cell r="K1752" t="str">
            <v>Package</v>
          </cell>
          <cell r="L1752" t="str">
            <v>No</v>
          </cell>
        </row>
        <row r="1753">
          <cell r="G1753" t="str">
            <v>Unibroue</v>
          </cell>
          <cell r="H1753" t="str">
            <v>Unibroue</v>
          </cell>
          <cell r="K1753" t="str">
            <v>Package</v>
          </cell>
          <cell r="L1753" t="str">
            <v>Yes</v>
          </cell>
        </row>
        <row r="1754">
          <cell r="G1754" t="str">
            <v>Unibroue</v>
          </cell>
          <cell r="H1754" t="str">
            <v>Unibroue</v>
          </cell>
          <cell r="K1754" t="str">
            <v>Package</v>
          </cell>
          <cell r="L1754" t="str">
            <v>Yes</v>
          </cell>
        </row>
        <row r="1755">
          <cell r="G1755" t="str">
            <v>Unibroue</v>
          </cell>
          <cell r="H1755" t="str">
            <v>Unibroue</v>
          </cell>
          <cell r="K1755" t="str">
            <v>Package</v>
          </cell>
          <cell r="L1755" t="str">
            <v>No</v>
          </cell>
        </row>
        <row r="1756">
          <cell r="G1756" t="str">
            <v>Unibroue</v>
          </cell>
          <cell r="H1756" t="str">
            <v>Unibroue</v>
          </cell>
          <cell r="K1756" t="str">
            <v>Package</v>
          </cell>
          <cell r="L1756" t="str">
            <v>No</v>
          </cell>
        </row>
        <row r="1757">
          <cell r="G1757" t="str">
            <v>Unibroue</v>
          </cell>
          <cell r="H1757" t="str">
            <v>Unibroue</v>
          </cell>
          <cell r="K1757" t="str">
            <v>Package</v>
          </cell>
          <cell r="L1757" t="str">
            <v>No</v>
          </cell>
        </row>
        <row r="1758">
          <cell r="G1758" t="str">
            <v>Unibroue</v>
          </cell>
          <cell r="H1758" t="str">
            <v>Unibroue</v>
          </cell>
          <cell r="K1758" t="str">
            <v>Package</v>
          </cell>
          <cell r="L1758" t="str">
            <v>No</v>
          </cell>
        </row>
        <row r="1759">
          <cell r="G1759" t="str">
            <v>Unibroue</v>
          </cell>
          <cell r="H1759" t="str">
            <v>Unibroue</v>
          </cell>
          <cell r="K1759" t="str">
            <v>Package</v>
          </cell>
          <cell r="L1759" t="str">
            <v>No</v>
          </cell>
        </row>
        <row r="1760">
          <cell r="G1760" t="str">
            <v>Unibroue</v>
          </cell>
          <cell r="H1760" t="str">
            <v>Unibroue</v>
          </cell>
          <cell r="K1760" t="str">
            <v>Package</v>
          </cell>
          <cell r="L1760" t="str">
            <v>No</v>
          </cell>
        </row>
        <row r="1761">
          <cell r="G1761" t="str">
            <v>Unibroue</v>
          </cell>
          <cell r="H1761" t="str">
            <v>Unibroue</v>
          </cell>
          <cell r="K1761" t="str">
            <v>Draft</v>
          </cell>
          <cell r="L1761" t="str">
            <v>Yes</v>
          </cell>
        </row>
        <row r="1762">
          <cell r="G1762" t="str">
            <v>Unibroue</v>
          </cell>
          <cell r="H1762" t="str">
            <v>Unibroue</v>
          </cell>
          <cell r="K1762" t="str">
            <v>Package</v>
          </cell>
          <cell r="L1762" t="str">
            <v>No</v>
          </cell>
        </row>
        <row r="1763">
          <cell r="G1763" t="str">
            <v>Unibroue</v>
          </cell>
          <cell r="H1763" t="str">
            <v>Unibroue</v>
          </cell>
          <cell r="K1763" t="str">
            <v>Package</v>
          </cell>
          <cell r="L1763" t="str">
            <v>No</v>
          </cell>
        </row>
        <row r="1764">
          <cell r="G1764" t="str">
            <v>Unibroue</v>
          </cell>
          <cell r="H1764" t="str">
            <v>Unibroue</v>
          </cell>
          <cell r="K1764" t="str">
            <v>Package</v>
          </cell>
          <cell r="L1764" t="str">
            <v>No</v>
          </cell>
        </row>
        <row r="1765">
          <cell r="G1765" t="str">
            <v>Unibroue</v>
          </cell>
          <cell r="H1765" t="str">
            <v>Unibroue</v>
          </cell>
          <cell r="K1765" t="str">
            <v>Draft</v>
          </cell>
          <cell r="L1765" t="str">
            <v>No</v>
          </cell>
        </row>
        <row r="1766">
          <cell r="G1766" t="str">
            <v>Unibroue</v>
          </cell>
          <cell r="H1766" t="str">
            <v>Unibroue</v>
          </cell>
          <cell r="K1766" t="str">
            <v>Package</v>
          </cell>
          <cell r="L1766" t="str">
            <v>No</v>
          </cell>
        </row>
        <row r="1767">
          <cell r="G1767" t="str">
            <v>Unibroue</v>
          </cell>
          <cell r="H1767" t="str">
            <v>Unibroue</v>
          </cell>
          <cell r="K1767" t="str">
            <v>Package</v>
          </cell>
          <cell r="L1767" t="str">
            <v>Yes</v>
          </cell>
        </row>
        <row r="1768">
          <cell r="G1768" t="str">
            <v>Unibroue</v>
          </cell>
          <cell r="H1768" t="str">
            <v>Unibroue</v>
          </cell>
          <cell r="K1768" t="str">
            <v>Package</v>
          </cell>
          <cell r="L1768" t="str">
            <v>No</v>
          </cell>
        </row>
        <row r="1769">
          <cell r="G1769" t="str">
            <v>Monk''s Cafe</v>
          </cell>
          <cell r="H1769" t="str">
            <v>Global Beer</v>
          </cell>
          <cell r="K1769" t="str">
            <v>Package</v>
          </cell>
          <cell r="L1769" t="str">
            <v>No</v>
          </cell>
        </row>
        <row r="1770">
          <cell r="G1770" t="str">
            <v>Monk''s Cafe</v>
          </cell>
          <cell r="H1770" t="str">
            <v>Global Beer</v>
          </cell>
          <cell r="K1770" t="str">
            <v>Draft</v>
          </cell>
          <cell r="L1770" t="str">
            <v>No</v>
          </cell>
        </row>
        <row r="1771">
          <cell r="G1771" t="str">
            <v>Monk''s Cafe</v>
          </cell>
          <cell r="H1771" t="str">
            <v>Global Beer</v>
          </cell>
          <cell r="K1771" t="str">
            <v>Package</v>
          </cell>
          <cell r="L1771" t="str">
            <v>No</v>
          </cell>
        </row>
        <row r="1772">
          <cell r="G1772" t="str">
            <v>Monk''s Cafe</v>
          </cell>
          <cell r="H1772" t="str">
            <v>Global Beer</v>
          </cell>
          <cell r="K1772" t="str">
            <v>Draft</v>
          </cell>
          <cell r="L1772" t="str">
            <v>No</v>
          </cell>
        </row>
        <row r="1773">
          <cell r="G1773" t="str">
            <v>Yard House</v>
          </cell>
          <cell r="H1773" t="str">
            <v>Global Beer</v>
          </cell>
          <cell r="K1773" t="str">
            <v>Draft</v>
          </cell>
          <cell r="L1773" t="str">
            <v>No</v>
          </cell>
        </row>
        <row r="1774">
          <cell r="G1774" t="str">
            <v>Yard House</v>
          </cell>
          <cell r="H1774" t="str">
            <v>Global Beer</v>
          </cell>
          <cell r="K1774" t="str">
            <v>Draft</v>
          </cell>
          <cell r="L1774" t="str">
            <v>Yes</v>
          </cell>
        </row>
        <row r="1775">
          <cell r="G1775" t="str">
            <v>Yard House</v>
          </cell>
          <cell r="H1775" t="str">
            <v>Global Beer</v>
          </cell>
          <cell r="K1775" t="str">
            <v>Draft</v>
          </cell>
          <cell r="L1775" t="str">
            <v>Yes</v>
          </cell>
        </row>
        <row r="1776">
          <cell r="G1776" t="str">
            <v>Yard House</v>
          </cell>
          <cell r="H1776" t="str">
            <v>Global Beer</v>
          </cell>
          <cell r="K1776" t="str">
            <v>Draft</v>
          </cell>
          <cell r="L1776" t="str">
            <v>Yes</v>
          </cell>
        </row>
        <row r="1777">
          <cell r="G1777" t="str">
            <v>Bavik</v>
          </cell>
          <cell r="H1777" t="str">
            <v>Global Beer</v>
          </cell>
          <cell r="K1777" t="str">
            <v>Draft</v>
          </cell>
          <cell r="L1777" t="str">
            <v>Yes</v>
          </cell>
        </row>
        <row r="1778">
          <cell r="G1778" t="str">
            <v>Bavik</v>
          </cell>
          <cell r="H1778" t="str">
            <v>Global Beer</v>
          </cell>
          <cell r="K1778" t="str">
            <v>Package</v>
          </cell>
          <cell r="L1778" t="str">
            <v>No</v>
          </cell>
        </row>
        <row r="1779">
          <cell r="G1779" t="str">
            <v>Bavik</v>
          </cell>
          <cell r="H1779" t="str">
            <v>Global Beer</v>
          </cell>
          <cell r="K1779" t="str">
            <v>Package</v>
          </cell>
          <cell r="L1779" t="str">
            <v>No</v>
          </cell>
        </row>
        <row r="1780">
          <cell r="G1780" t="str">
            <v>Piraat</v>
          </cell>
          <cell r="H1780" t="str">
            <v>Global Beer</v>
          </cell>
          <cell r="K1780" t="str">
            <v>Package</v>
          </cell>
          <cell r="L1780" t="str">
            <v>Yes</v>
          </cell>
        </row>
        <row r="1781">
          <cell r="G1781" t="str">
            <v>Piraat</v>
          </cell>
          <cell r="H1781" t="str">
            <v>Global Beer</v>
          </cell>
          <cell r="K1781" t="str">
            <v>Package</v>
          </cell>
          <cell r="L1781" t="str">
            <v>Yes</v>
          </cell>
        </row>
        <row r="1782">
          <cell r="G1782" t="str">
            <v>Piraat</v>
          </cell>
          <cell r="H1782" t="str">
            <v>Global Beer</v>
          </cell>
          <cell r="K1782" t="str">
            <v>Package</v>
          </cell>
          <cell r="L1782" t="str">
            <v>No</v>
          </cell>
        </row>
        <row r="1783">
          <cell r="G1783" t="str">
            <v>Piraat</v>
          </cell>
          <cell r="H1783" t="str">
            <v>Global Beer</v>
          </cell>
          <cell r="K1783" t="str">
            <v>Package</v>
          </cell>
          <cell r="L1783" t="str">
            <v>No</v>
          </cell>
        </row>
        <row r="1784">
          <cell r="G1784" t="str">
            <v>Piraat</v>
          </cell>
          <cell r="H1784" t="str">
            <v>Global Beer</v>
          </cell>
          <cell r="K1784" t="str">
            <v>Package</v>
          </cell>
          <cell r="L1784" t="str">
            <v>No</v>
          </cell>
        </row>
        <row r="1785">
          <cell r="G1785" t="str">
            <v>Piraat</v>
          </cell>
          <cell r="H1785" t="str">
            <v>Global Beer</v>
          </cell>
          <cell r="K1785" t="str">
            <v>Draft</v>
          </cell>
          <cell r="L1785" t="str">
            <v>No</v>
          </cell>
        </row>
        <row r="1786">
          <cell r="G1786" t="str">
            <v>Piraat</v>
          </cell>
          <cell r="H1786" t="str">
            <v>Global Beer</v>
          </cell>
          <cell r="K1786" t="str">
            <v>Draft</v>
          </cell>
          <cell r="L1786" t="str">
            <v>Yes</v>
          </cell>
        </row>
        <row r="1787">
          <cell r="G1787" t="str">
            <v>Piraat</v>
          </cell>
          <cell r="H1787" t="str">
            <v>Global Beer</v>
          </cell>
          <cell r="K1787" t="str">
            <v>Package</v>
          </cell>
          <cell r="L1787" t="str">
            <v>Yes</v>
          </cell>
        </row>
        <row r="1788">
          <cell r="G1788" t="str">
            <v>Petrus</v>
          </cell>
          <cell r="H1788" t="str">
            <v>Global Beer</v>
          </cell>
          <cell r="K1788" t="str">
            <v>Package</v>
          </cell>
          <cell r="L1788" t="str">
            <v>No</v>
          </cell>
        </row>
        <row r="1789">
          <cell r="G1789" t="str">
            <v>Petrus</v>
          </cell>
          <cell r="H1789" t="str">
            <v>Global Beer</v>
          </cell>
          <cell r="K1789" t="str">
            <v>Package</v>
          </cell>
          <cell r="L1789" t="str">
            <v>No</v>
          </cell>
        </row>
        <row r="1790">
          <cell r="G1790" t="str">
            <v>Petrus</v>
          </cell>
          <cell r="H1790" t="str">
            <v>Global Beer</v>
          </cell>
          <cell r="K1790" t="str">
            <v>Draft</v>
          </cell>
          <cell r="L1790" t="str">
            <v>No</v>
          </cell>
        </row>
        <row r="1791">
          <cell r="G1791" t="str">
            <v>Petrus</v>
          </cell>
          <cell r="H1791" t="str">
            <v>Global Beer</v>
          </cell>
          <cell r="K1791" t="str">
            <v>Draft</v>
          </cell>
          <cell r="L1791" t="str">
            <v>No</v>
          </cell>
        </row>
        <row r="1792">
          <cell r="G1792" t="str">
            <v>Petrus</v>
          </cell>
          <cell r="H1792" t="str">
            <v>Global Beer</v>
          </cell>
          <cell r="K1792" t="str">
            <v>Draft</v>
          </cell>
          <cell r="L1792" t="str">
            <v>No</v>
          </cell>
        </row>
        <row r="1793">
          <cell r="G1793" t="str">
            <v>Petrus</v>
          </cell>
          <cell r="H1793" t="str">
            <v>Global Beer</v>
          </cell>
          <cell r="K1793" t="str">
            <v>Draft</v>
          </cell>
          <cell r="L1793" t="str">
            <v>Yes</v>
          </cell>
        </row>
        <row r="1794">
          <cell r="G1794" t="str">
            <v>Petrus</v>
          </cell>
          <cell r="H1794" t="str">
            <v>Global Beer</v>
          </cell>
          <cell r="K1794" t="str">
            <v>Draft</v>
          </cell>
          <cell r="L1794" t="str">
            <v>Yes</v>
          </cell>
        </row>
        <row r="1795">
          <cell r="G1795" t="str">
            <v>Petrus</v>
          </cell>
          <cell r="H1795" t="str">
            <v>Global Beer</v>
          </cell>
          <cell r="K1795" t="str">
            <v>Package</v>
          </cell>
          <cell r="L1795" t="str">
            <v>Yes</v>
          </cell>
        </row>
        <row r="1796">
          <cell r="G1796" t="str">
            <v>Baptist Wit</v>
          </cell>
          <cell r="H1796" t="str">
            <v>Global Beer</v>
          </cell>
          <cell r="K1796" t="str">
            <v>Draft</v>
          </cell>
          <cell r="L1796" t="str">
            <v>Yes</v>
          </cell>
        </row>
        <row r="1797">
          <cell r="G1797" t="str">
            <v>Van Steenberge</v>
          </cell>
          <cell r="H1797" t="str">
            <v>Global Beer</v>
          </cell>
          <cell r="K1797" t="str">
            <v>Package</v>
          </cell>
          <cell r="L1797" t="str">
            <v>Yes</v>
          </cell>
        </row>
        <row r="1798">
          <cell r="G1798" t="str">
            <v>Fruli</v>
          </cell>
          <cell r="H1798" t="str">
            <v>Paulaner</v>
          </cell>
          <cell r="K1798" t="str">
            <v>Package</v>
          </cell>
          <cell r="L1798" t="str">
            <v>No</v>
          </cell>
        </row>
        <row r="1799">
          <cell r="G1799" t="str">
            <v>Fruli</v>
          </cell>
          <cell r="H1799" t="str">
            <v>Paulaner</v>
          </cell>
          <cell r="K1799" t="str">
            <v>Package</v>
          </cell>
          <cell r="L1799" t="str">
            <v>No</v>
          </cell>
        </row>
        <row r="1800">
          <cell r="G1800" t="str">
            <v>Fruli</v>
          </cell>
          <cell r="H1800" t="str">
            <v>Paulaner</v>
          </cell>
          <cell r="K1800" t="str">
            <v>Draft</v>
          </cell>
          <cell r="L1800" t="str">
            <v>No</v>
          </cell>
        </row>
        <row r="1801">
          <cell r="G1801" t="str">
            <v>Gulden Draak</v>
          </cell>
          <cell r="H1801" t="str">
            <v>Global Beer</v>
          </cell>
          <cell r="K1801" t="str">
            <v>Package</v>
          </cell>
          <cell r="L1801" t="str">
            <v>Yes</v>
          </cell>
        </row>
        <row r="1802">
          <cell r="G1802" t="str">
            <v>Gulden Draak</v>
          </cell>
          <cell r="H1802" t="str">
            <v>Global Beer</v>
          </cell>
          <cell r="K1802" t="str">
            <v>Package</v>
          </cell>
          <cell r="L1802" t="str">
            <v>Yes</v>
          </cell>
        </row>
        <row r="1803">
          <cell r="G1803" t="str">
            <v>Gulden Draak</v>
          </cell>
          <cell r="H1803" t="str">
            <v>Global Beer</v>
          </cell>
          <cell r="K1803" t="str">
            <v>Package</v>
          </cell>
          <cell r="L1803" t="str">
            <v>Yes</v>
          </cell>
        </row>
        <row r="1804">
          <cell r="G1804" t="str">
            <v>Gulden Draak</v>
          </cell>
          <cell r="H1804" t="str">
            <v>Global Beer</v>
          </cell>
          <cell r="K1804" t="str">
            <v>Draft</v>
          </cell>
          <cell r="L1804" t="str">
            <v>No</v>
          </cell>
        </row>
        <row r="1805">
          <cell r="G1805" t="str">
            <v>Gulden Draak</v>
          </cell>
          <cell r="H1805" t="str">
            <v>Global Beer</v>
          </cell>
          <cell r="K1805" t="str">
            <v>Package</v>
          </cell>
          <cell r="L1805" t="str">
            <v>No</v>
          </cell>
        </row>
        <row r="1806">
          <cell r="G1806" t="str">
            <v>Gulden Draak</v>
          </cell>
          <cell r="H1806" t="str">
            <v>Global Beer</v>
          </cell>
          <cell r="K1806" t="str">
            <v>Package</v>
          </cell>
          <cell r="L1806" t="str">
            <v>No</v>
          </cell>
        </row>
        <row r="1807">
          <cell r="G1807" t="str">
            <v>Gulden Draak</v>
          </cell>
          <cell r="H1807" t="str">
            <v>Global Beer</v>
          </cell>
          <cell r="K1807" t="str">
            <v>Draft</v>
          </cell>
          <cell r="L1807" t="str">
            <v>No</v>
          </cell>
        </row>
        <row r="1808">
          <cell r="G1808" t="str">
            <v>Gulden Draak</v>
          </cell>
          <cell r="H1808" t="str">
            <v>Global Beer</v>
          </cell>
          <cell r="K1808" t="str">
            <v>Draft</v>
          </cell>
          <cell r="L1808" t="str">
            <v>Yes</v>
          </cell>
        </row>
        <row r="1809">
          <cell r="G1809" t="str">
            <v>Gulden Draak</v>
          </cell>
          <cell r="H1809" t="str">
            <v>Global Beer</v>
          </cell>
          <cell r="K1809" t="str">
            <v>Package</v>
          </cell>
          <cell r="L1809" t="str">
            <v>No</v>
          </cell>
        </row>
        <row r="1810">
          <cell r="G1810" t="str">
            <v>Gulden Draak</v>
          </cell>
          <cell r="H1810" t="str">
            <v>Global Beer</v>
          </cell>
          <cell r="K1810" t="str">
            <v>Package</v>
          </cell>
          <cell r="L1810" t="str">
            <v>Yes</v>
          </cell>
        </row>
        <row r="1811">
          <cell r="G1811" t="str">
            <v>Gulden Draak</v>
          </cell>
          <cell r="H1811" t="str">
            <v>Global Beer</v>
          </cell>
          <cell r="K1811" t="str">
            <v>Package</v>
          </cell>
          <cell r="L1811" t="str">
            <v>Yes</v>
          </cell>
        </row>
        <row r="1812">
          <cell r="G1812" t="str">
            <v>Sapporo</v>
          </cell>
          <cell r="H1812" t="str">
            <v>Sapporo</v>
          </cell>
          <cell r="K1812" t="str">
            <v>Package</v>
          </cell>
          <cell r="L1812" t="str">
            <v>Yes</v>
          </cell>
        </row>
        <row r="1813">
          <cell r="G1813" t="str">
            <v>Sapporo</v>
          </cell>
          <cell r="H1813" t="str">
            <v>Sapporo</v>
          </cell>
          <cell r="K1813" t="str">
            <v>Package</v>
          </cell>
          <cell r="L1813" t="str">
            <v>Yes</v>
          </cell>
        </row>
        <row r="1814">
          <cell r="G1814" t="str">
            <v>Sapporo</v>
          </cell>
          <cell r="H1814" t="str">
            <v>Sapporo</v>
          </cell>
          <cell r="K1814" t="str">
            <v>Package</v>
          </cell>
          <cell r="L1814" t="str">
            <v>No</v>
          </cell>
        </row>
        <row r="1815">
          <cell r="G1815" t="str">
            <v>Sapporo</v>
          </cell>
          <cell r="H1815" t="str">
            <v>Sapporo</v>
          </cell>
          <cell r="K1815" t="str">
            <v>Package</v>
          </cell>
          <cell r="L1815" t="str">
            <v>Yes</v>
          </cell>
        </row>
        <row r="1816">
          <cell r="G1816" t="str">
            <v>Sapporo</v>
          </cell>
          <cell r="H1816" t="str">
            <v>Sapporo</v>
          </cell>
          <cell r="K1816" t="str">
            <v>Package</v>
          </cell>
          <cell r="L1816" t="str">
            <v>Yes</v>
          </cell>
        </row>
        <row r="1817">
          <cell r="G1817" t="str">
            <v>Sapporo</v>
          </cell>
          <cell r="H1817" t="str">
            <v>Sapporo</v>
          </cell>
          <cell r="K1817" t="str">
            <v>Draft</v>
          </cell>
          <cell r="L1817" t="str">
            <v>Yes</v>
          </cell>
        </row>
        <row r="1818">
          <cell r="G1818" t="str">
            <v>Sapporo</v>
          </cell>
          <cell r="H1818" t="str">
            <v>Sapporo</v>
          </cell>
          <cell r="K1818" t="str">
            <v>Package</v>
          </cell>
          <cell r="L1818" t="str">
            <v>Yes</v>
          </cell>
        </row>
        <row r="1819">
          <cell r="G1819" t="str">
            <v>Sapporo</v>
          </cell>
          <cell r="H1819" t="str">
            <v>Sapporo</v>
          </cell>
          <cell r="K1819" t="str">
            <v>Package</v>
          </cell>
          <cell r="L1819" t="str">
            <v>No</v>
          </cell>
        </row>
        <row r="1820">
          <cell r="G1820" t="str">
            <v>Sapporo</v>
          </cell>
          <cell r="H1820" t="str">
            <v>Sapporo</v>
          </cell>
          <cell r="K1820" t="str">
            <v>Draft</v>
          </cell>
          <cell r="L1820" t="str">
            <v>Yes</v>
          </cell>
        </row>
        <row r="1821">
          <cell r="G1821" t="str">
            <v>Sapporo</v>
          </cell>
          <cell r="H1821" t="str">
            <v>Sapporo</v>
          </cell>
          <cell r="K1821" t="str">
            <v>Package</v>
          </cell>
          <cell r="L1821" t="str">
            <v>No</v>
          </cell>
        </row>
        <row r="1822">
          <cell r="G1822" t="str">
            <v>Sapporo</v>
          </cell>
          <cell r="H1822" t="str">
            <v>Sapporo</v>
          </cell>
          <cell r="K1822" t="str">
            <v>Package</v>
          </cell>
          <cell r="L1822" t="str">
            <v>Yes</v>
          </cell>
        </row>
        <row r="1823">
          <cell r="G1823" t="str">
            <v>Sapporo</v>
          </cell>
          <cell r="H1823" t="str">
            <v>Sapporo</v>
          </cell>
          <cell r="K1823" t="str">
            <v>Package</v>
          </cell>
          <cell r="L1823" t="str">
            <v>Yes</v>
          </cell>
        </row>
        <row r="1824">
          <cell r="G1824" t="str">
            <v>Sapporo</v>
          </cell>
          <cell r="H1824" t="str">
            <v>Sapporo</v>
          </cell>
          <cell r="K1824" t="str">
            <v>Package</v>
          </cell>
          <cell r="L1824" t="str">
            <v>Yes</v>
          </cell>
        </row>
        <row r="1825">
          <cell r="G1825" t="str">
            <v>Sapporo</v>
          </cell>
          <cell r="H1825" t="str">
            <v>Sapporo</v>
          </cell>
          <cell r="K1825" t="str">
            <v>Package</v>
          </cell>
          <cell r="L1825" t="str">
            <v>Yes</v>
          </cell>
        </row>
        <row r="1826">
          <cell r="G1826" t="str">
            <v>Sapporo</v>
          </cell>
          <cell r="H1826" t="str">
            <v>Sapporo</v>
          </cell>
          <cell r="K1826" t="str">
            <v>Package</v>
          </cell>
          <cell r="L1826" t="str">
            <v>Yes</v>
          </cell>
        </row>
        <row r="1827">
          <cell r="G1827" t="str">
            <v>Hacker-Pschorr</v>
          </cell>
          <cell r="H1827" t="str">
            <v>Paulaner</v>
          </cell>
          <cell r="K1827" t="str">
            <v>Package</v>
          </cell>
          <cell r="L1827" t="str">
            <v>Yes</v>
          </cell>
        </row>
        <row r="1828">
          <cell r="G1828" t="str">
            <v>Hacker-Pschorr</v>
          </cell>
          <cell r="H1828" t="str">
            <v>Paulaner</v>
          </cell>
          <cell r="K1828" t="str">
            <v>Package</v>
          </cell>
          <cell r="L1828" t="str">
            <v>Yes</v>
          </cell>
        </row>
        <row r="1829">
          <cell r="G1829" t="str">
            <v>Hacker-Pschorr</v>
          </cell>
          <cell r="H1829" t="str">
            <v>Paulaner</v>
          </cell>
          <cell r="K1829" t="str">
            <v>Package</v>
          </cell>
          <cell r="L1829" t="str">
            <v>Yes</v>
          </cell>
        </row>
        <row r="1830">
          <cell r="G1830" t="str">
            <v>Hacker-Pschorr</v>
          </cell>
          <cell r="H1830" t="str">
            <v>Paulaner</v>
          </cell>
          <cell r="K1830" t="str">
            <v>Package</v>
          </cell>
          <cell r="L1830" t="str">
            <v>No</v>
          </cell>
        </row>
        <row r="1831">
          <cell r="G1831" t="str">
            <v>Hacker-Pschorr</v>
          </cell>
          <cell r="H1831" t="str">
            <v>Paulaner</v>
          </cell>
          <cell r="K1831" t="str">
            <v>Package</v>
          </cell>
          <cell r="L1831" t="str">
            <v>No</v>
          </cell>
        </row>
        <row r="1832">
          <cell r="G1832" t="str">
            <v>Hacker-Pschorr</v>
          </cell>
          <cell r="H1832" t="str">
            <v>Paulaner</v>
          </cell>
          <cell r="K1832" t="str">
            <v>Package</v>
          </cell>
          <cell r="L1832" t="str">
            <v>Yes</v>
          </cell>
        </row>
        <row r="1833">
          <cell r="G1833" t="str">
            <v>Hacker-Pschorr</v>
          </cell>
          <cell r="H1833" t="str">
            <v>Paulaner</v>
          </cell>
          <cell r="K1833" t="str">
            <v>Draft</v>
          </cell>
          <cell r="L1833" t="str">
            <v>Yes</v>
          </cell>
        </row>
        <row r="1834">
          <cell r="G1834" t="str">
            <v>Hacker-Pschorr</v>
          </cell>
          <cell r="H1834" t="str">
            <v>Paulaner</v>
          </cell>
          <cell r="K1834" t="str">
            <v>Package</v>
          </cell>
          <cell r="L1834" t="str">
            <v>Yes</v>
          </cell>
        </row>
        <row r="1835">
          <cell r="G1835" t="str">
            <v>Hacker-Pschorr</v>
          </cell>
          <cell r="H1835" t="str">
            <v>Paulaner</v>
          </cell>
          <cell r="K1835" t="str">
            <v>Package</v>
          </cell>
          <cell r="L1835" t="str">
            <v>Yes</v>
          </cell>
        </row>
        <row r="1836">
          <cell r="G1836" t="str">
            <v>Paulaner</v>
          </cell>
          <cell r="H1836" t="str">
            <v>Paulaner</v>
          </cell>
          <cell r="K1836" t="str">
            <v>Package</v>
          </cell>
          <cell r="L1836" t="str">
            <v>Yes</v>
          </cell>
        </row>
        <row r="1837">
          <cell r="G1837" t="str">
            <v>Paulaner</v>
          </cell>
          <cell r="H1837" t="str">
            <v>Paulaner</v>
          </cell>
          <cell r="K1837" t="str">
            <v>Package</v>
          </cell>
          <cell r="L1837" t="str">
            <v>Yes</v>
          </cell>
        </row>
        <row r="1838">
          <cell r="G1838" t="str">
            <v>Paulaner</v>
          </cell>
          <cell r="H1838" t="str">
            <v>Paulaner</v>
          </cell>
          <cell r="K1838" t="str">
            <v>Draft</v>
          </cell>
          <cell r="L1838" t="str">
            <v>Yes</v>
          </cell>
        </row>
        <row r="1839">
          <cell r="G1839" t="str">
            <v>Paulaner</v>
          </cell>
          <cell r="H1839" t="str">
            <v>Paulaner</v>
          </cell>
          <cell r="K1839" t="str">
            <v>Draft</v>
          </cell>
          <cell r="L1839" t="str">
            <v>Yes</v>
          </cell>
        </row>
        <row r="1840">
          <cell r="G1840" t="str">
            <v>Paulaner</v>
          </cell>
          <cell r="H1840" t="str">
            <v>Paulaner</v>
          </cell>
          <cell r="K1840" t="str">
            <v>Package</v>
          </cell>
          <cell r="L1840" t="str">
            <v>Yes</v>
          </cell>
        </row>
        <row r="1841">
          <cell r="G1841" t="str">
            <v>Paulaner</v>
          </cell>
          <cell r="H1841" t="str">
            <v>Paulaner</v>
          </cell>
          <cell r="K1841" t="str">
            <v>Package</v>
          </cell>
          <cell r="L1841" t="str">
            <v>Yes</v>
          </cell>
        </row>
        <row r="1842">
          <cell r="G1842" t="str">
            <v>Paulaner</v>
          </cell>
          <cell r="H1842" t="str">
            <v>Paulaner</v>
          </cell>
          <cell r="K1842" t="str">
            <v>Package</v>
          </cell>
          <cell r="L1842" t="str">
            <v>Yes</v>
          </cell>
        </row>
        <row r="1843">
          <cell r="G1843" t="str">
            <v>Paulaner</v>
          </cell>
          <cell r="H1843" t="str">
            <v>Paulaner</v>
          </cell>
          <cell r="K1843" t="str">
            <v>Draft</v>
          </cell>
          <cell r="L1843" t="str">
            <v>Yes</v>
          </cell>
        </row>
        <row r="1844">
          <cell r="G1844" t="str">
            <v>Paulaner</v>
          </cell>
          <cell r="H1844" t="str">
            <v>Paulaner</v>
          </cell>
          <cell r="K1844" t="str">
            <v>Draft</v>
          </cell>
          <cell r="L1844" t="str">
            <v>Yes</v>
          </cell>
        </row>
        <row r="1845">
          <cell r="G1845" t="str">
            <v>Paulaner</v>
          </cell>
          <cell r="H1845" t="str">
            <v>Paulaner</v>
          </cell>
          <cell r="K1845" t="str">
            <v>Package</v>
          </cell>
          <cell r="L1845" t="str">
            <v>No</v>
          </cell>
        </row>
        <row r="1846">
          <cell r="G1846" t="str">
            <v>Paulaner</v>
          </cell>
          <cell r="H1846" t="str">
            <v>Paulaner</v>
          </cell>
          <cell r="K1846" t="str">
            <v>Package</v>
          </cell>
          <cell r="L1846" t="str">
            <v>No</v>
          </cell>
        </row>
        <row r="1847">
          <cell r="G1847" t="str">
            <v>Paulaner</v>
          </cell>
          <cell r="H1847" t="str">
            <v>Paulaner</v>
          </cell>
          <cell r="K1847" t="str">
            <v>Package</v>
          </cell>
          <cell r="L1847" t="str">
            <v>Yes</v>
          </cell>
        </row>
        <row r="1848">
          <cell r="G1848" t="str">
            <v>Paulaner</v>
          </cell>
          <cell r="H1848" t="str">
            <v>Paulaner</v>
          </cell>
          <cell r="K1848" t="str">
            <v>Package</v>
          </cell>
          <cell r="L1848" t="str">
            <v>Yes</v>
          </cell>
        </row>
        <row r="1849">
          <cell r="G1849" t="str">
            <v>Paulaner</v>
          </cell>
          <cell r="H1849" t="str">
            <v>Paulaner</v>
          </cell>
          <cell r="K1849" t="str">
            <v>Package</v>
          </cell>
          <cell r="L1849" t="str">
            <v>Yes</v>
          </cell>
        </row>
        <row r="1850">
          <cell r="G1850" t="str">
            <v>Paulaner</v>
          </cell>
          <cell r="H1850" t="str">
            <v>Paulaner</v>
          </cell>
          <cell r="K1850" t="str">
            <v>Package</v>
          </cell>
          <cell r="L1850" t="str">
            <v>No</v>
          </cell>
        </row>
        <row r="1851">
          <cell r="G1851" t="str">
            <v>Paulaner</v>
          </cell>
          <cell r="H1851" t="str">
            <v>Paulaner</v>
          </cell>
          <cell r="K1851" t="str">
            <v>Package</v>
          </cell>
          <cell r="L1851" t="str">
            <v>Yes</v>
          </cell>
        </row>
        <row r="1852">
          <cell r="G1852" t="str">
            <v>Paulaner</v>
          </cell>
          <cell r="H1852" t="str">
            <v>Paulaner</v>
          </cell>
          <cell r="K1852" t="str">
            <v>Package</v>
          </cell>
          <cell r="L1852" t="str">
            <v>Yes</v>
          </cell>
        </row>
        <row r="1853">
          <cell r="G1853" t="str">
            <v>Paulaner</v>
          </cell>
          <cell r="H1853" t="str">
            <v>Paulaner</v>
          </cell>
          <cell r="K1853" t="str">
            <v>Draft</v>
          </cell>
          <cell r="L1853" t="str">
            <v>Yes</v>
          </cell>
        </row>
        <row r="1854">
          <cell r="G1854" t="str">
            <v>Paulaner</v>
          </cell>
          <cell r="H1854" t="str">
            <v>Paulaner</v>
          </cell>
          <cell r="K1854" t="str">
            <v>Package</v>
          </cell>
          <cell r="L1854" t="str">
            <v>Yes</v>
          </cell>
        </row>
        <row r="1855">
          <cell r="G1855" t="str">
            <v>Paulaner</v>
          </cell>
          <cell r="H1855" t="str">
            <v>Paulaner</v>
          </cell>
          <cell r="K1855" t="str">
            <v>Package</v>
          </cell>
          <cell r="L1855" t="str">
            <v>Yes</v>
          </cell>
        </row>
        <row r="1856">
          <cell r="G1856" t="str">
            <v>Paulaner</v>
          </cell>
          <cell r="H1856" t="str">
            <v>Paulaner</v>
          </cell>
          <cell r="K1856" t="str">
            <v>Package</v>
          </cell>
          <cell r="L1856" t="str">
            <v>Yes</v>
          </cell>
        </row>
        <row r="1857">
          <cell r="G1857" t="str">
            <v>Paulaner</v>
          </cell>
          <cell r="H1857" t="str">
            <v>Paulaner</v>
          </cell>
          <cell r="K1857" t="str">
            <v>Package</v>
          </cell>
          <cell r="L1857" t="str">
            <v>Yes</v>
          </cell>
        </row>
        <row r="1858">
          <cell r="G1858" t="str">
            <v>Paulaner</v>
          </cell>
          <cell r="H1858" t="str">
            <v>Paulaner</v>
          </cell>
          <cell r="K1858" t="str">
            <v>Package</v>
          </cell>
          <cell r="L1858" t="str">
            <v>Yes</v>
          </cell>
        </row>
        <row r="1859">
          <cell r="G1859" t="str">
            <v>Paulaner</v>
          </cell>
          <cell r="H1859" t="str">
            <v>Paulaner</v>
          </cell>
          <cell r="K1859" t="str">
            <v>Draft</v>
          </cell>
          <cell r="L1859" t="str">
            <v>Yes</v>
          </cell>
        </row>
        <row r="1860">
          <cell r="G1860" t="str">
            <v>Hacker-Pschorr</v>
          </cell>
          <cell r="H1860" t="str">
            <v>Paulaner</v>
          </cell>
          <cell r="K1860" t="str">
            <v>Draft</v>
          </cell>
          <cell r="L1860" t="str">
            <v>Yes</v>
          </cell>
        </row>
        <row r="1861">
          <cell r="G1861" t="str">
            <v>Paulaner</v>
          </cell>
          <cell r="H1861" t="str">
            <v>Paulaner</v>
          </cell>
          <cell r="K1861" t="str">
            <v>Package</v>
          </cell>
          <cell r="L1861" t="str">
            <v>Yes</v>
          </cell>
        </row>
        <row r="1862">
          <cell r="G1862" t="str">
            <v>Paulaner</v>
          </cell>
          <cell r="H1862" t="str">
            <v>Paulaner</v>
          </cell>
          <cell r="K1862" t="str">
            <v>Package</v>
          </cell>
          <cell r="L1862" t="str">
            <v>Yes</v>
          </cell>
        </row>
        <row r="1863">
          <cell r="G1863" t="str">
            <v>Hacker-Pschorr</v>
          </cell>
          <cell r="H1863" t="str">
            <v>Paulaner</v>
          </cell>
          <cell r="K1863" t="str">
            <v>Package</v>
          </cell>
          <cell r="L1863" t="str">
            <v>No</v>
          </cell>
        </row>
        <row r="1864">
          <cell r="G1864" t="str">
            <v>Paulaner</v>
          </cell>
          <cell r="H1864" t="str">
            <v>Paulaner</v>
          </cell>
          <cell r="K1864" t="str">
            <v>Package</v>
          </cell>
          <cell r="L1864" t="str">
            <v>Yes</v>
          </cell>
        </row>
        <row r="1865">
          <cell r="G1865" t="str">
            <v>Paulaner</v>
          </cell>
          <cell r="H1865" t="str">
            <v>Paulaner</v>
          </cell>
          <cell r="K1865" t="str">
            <v>Package</v>
          </cell>
          <cell r="L1865" t="str">
            <v>No</v>
          </cell>
        </row>
        <row r="1866">
          <cell r="G1866" t="str">
            <v>Paulaner</v>
          </cell>
          <cell r="H1866" t="str">
            <v>Paulaner</v>
          </cell>
          <cell r="K1866" t="str">
            <v>Package</v>
          </cell>
          <cell r="L1866" t="str">
            <v>No</v>
          </cell>
        </row>
        <row r="1867">
          <cell r="G1867" t="str">
            <v>Hacker-Pschorr</v>
          </cell>
          <cell r="H1867" t="str">
            <v>Paulaner</v>
          </cell>
          <cell r="K1867" t="str">
            <v>Draft</v>
          </cell>
          <cell r="L1867" t="str">
            <v>No</v>
          </cell>
        </row>
        <row r="1868">
          <cell r="G1868" t="str">
            <v>Paulaner</v>
          </cell>
          <cell r="H1868" t="str">
            <v>Paulaner</v>
          </cell>
          <cell r="K1868" t="str">
            <v>Package</v>
          </cell>
          <cell r="L1868" t="str">
            <v>Yes</v>
          </cell>
        </row>
        <row r="1869">
          <cell r="G1869" t="str">
            <v>Paulaner</v>
          </cell>
          <cell r="H1869" t="str">
            <v>Paulaner</v>
          </cell>
          <cell r="K1869" t="str">
            <v>Package</v>
          </cell>
          <cell r="L1869" t="str">
            <v>Yes</v>
          </cell>
        </row>
        <row r="1870">
          <cell r="G1870" t="str">
            <v>Tagus</v>
          </cell>
          <cell r="H1870" t="str">
            <v>US Beverage</v>
          </cell>
          <cell r="K1870" t="str">
            <v>Package</v>
          </cell>
          <cell r="L1870" t="str">
            <v>Yes</v>
          </cell>
        </row>
        <row r="1871">
          <cell r="G1871" t="str">
            <v>Tagus</v>
          </cell>
          <cell r="H1871" t="str">
            <v>US Beverage</v>
          </cell>
          <cell r="K1871" t="str">
            <v>Package</v>
          </cell>
          <cell r="L1871" t="str">
            <v>Yes</v>
          </cell>
        </row>
        <row r="1872">
          <cell r="G1872" t="str">
            <v>Weihenstephaner</v>
          </cell>
          <cell r="H1872" t="str">
            <v>Total Beverage Solutions</v>
          </cell>
          <cell r="K1872" t="str">
            <v>Package</v>
          </cell>
          <cell r="L1872" t="str">
            <v>Yes</v>
          </cell>
        </row>
        <row r="1873">
          <cell r="G1873" t="str">
            <v>Weihenstephaner</v>
          </cell>
          <cell r="H1873" t="str">
            <v>Total Beverage Solutions</v>
          </cell>
          <cell r="K1873" t="str">
            <v>Package</v>
          </cell>
          <cell r="L1873" t="str">
            <v>No</v>
          </cell>
        </row>
        <row r="1874">
          <cell r="G1874" t="str">
            <v>Weihenstephaner</v>
          </cell>
          <cell r="H1874" t="str">
            <v>Total Beverage Solutions</v>
          </cell>
          <cell r="K1874" t="str">
            <v>Draft</v>
          </cell>
          <cell r="L1874" t="str">
            <v>Yes</v>
          </cell>
        </row>
        <row r="1875">
          <cell r="G1875" t="str">
            <v>Weihenstephaner</v>
          </cell>
          <cell r="H1875" t="str">
            <v>Total Beverage Solutions</v>
          </cell>
          <cell r="K1875" t="str">
            <v>Draft</v>
          </cell>
          <cell r="L1875" t="str">
            <v>Yes</v>
          </cell>
        </row>
        <row r="1876">
          <cell r="G1876" t="str">
            <v>Weihenstephaner</v>
          </cell>
          <cell r="H1876" t="str">
            <v>Total Beverage Solutions</v>
          </cell>
          <cell r="K1876" t="str">
            <v>Draft</v>
          </cell>
          <cell r="L1876" t="str">
            <v>No</v>
          </cell>
        </row>
        <row r="1877">
          <cell r="G1877" t="str">
            <v>Weihenstephaner</v>
          </cell>
          <cell r="H1877" t="str">
            <v>Total Beverage Solutions</v>
          </cell>
          <cell r="K1877" t="str">
            <v>Draft</v>
          </cell>
          <cell r="L1877" t="str">
            <v>Yes</v>
          </cell>
        </row>
        <row r="1878">
          <cell r="G1878" t="str">
            <v>Weihenstephaner</v>
          </cell>
          <cell r="H1878" t="str">
            <v>Total Beverage Solutions</v>
          </cell>
          <cell r="K1878" t="str">
            <v>Package</v>
          </cell>
          <cell r="L1878" t="str">
            <v>Yes</v>
          </cell>
        </row>
        <row r="1879">
          <cell r="G1879" t="str">
            <v>Weihenstephaner</v>
          </cell>
          <cell r="H1879" t="str">
            <v>Total Beverage Solutions</v>
          </cell>
          <cell r="K1879" t="str">
            <v>Package</v>
          </cell>
          <cell r="L1879" t="str">
            <v>Yes</v>
          </cell>
        </row>
        <row r="1880">
          <cell r="G1880" t="str">
            <v>Weihenstephaner</v>
          </cell>
          <cell r="H1880" t="str">
            <v>Total Beverage Solutions</v>
          </cell>
          <cell r="K1880" t="str">
            <v>Package</v>
          </cell>
          <cell r="L1880" t="str">
            <v>Yes</v>
          </cell>
        </row>
        <row r="1881">
          <cell r="G1881" t="str">
            <v>Weihenstephaner</v>
          </cell>
          <cell r="H1881" t="str">
            <v>Total Beverage Solutions</v>
          </cell>
          <cell r="K1881" t="str">
            <v>Package</v>
          </cell>
          <cell r="L1881" t="str">
            <v>Yes</v>
          </cell>
        </row>
        <row r="1882">
          <cell r="G1882" t="str">
            <v>Weihenstephaner</v>
          </cell>
          <cell r="H1882" t="str">
            <v>Total Beverage Solutions</v>
          </cell>
          <cell r="K1882" t="str">
            <v>Package</v>
          </cell>
          <cell r="L1882" t="str">
            <v>Yes</v>
          </cell>
        </row>
        <row r="1883">
          <cell r="G1883" t="str">
            <v>Weihenstephaner</v>
          </cell>
          <cell r="H1883" t="str">
            <v>Total Beverage Solutions</v>
          </cell>
          <cell r="K1883" t="str">
            <v>Package</v>
          </cell>
          <cell r="L1883" t="str">
            <v>Yes</v>
          </cell>
        </row>
        <row r="1884">
          <cell r="G1884" t="str">
            <v>Weihenstephaner</v>
          </cell>
          <cell r="H1884" t="str">
            <v>Total Beverage Solutions</v>
          </cell>
          <cell r="K1884" t="str">
            <v>Package</v>
          </cell>
          <cell r="L1884" t="str">
            <v>No</v>
          </cell>
        </row>
        <row r="1885">
          <cell r="G1885" t="str">
            <v>Weihenstephaner</v>
          </cell>
          <cell r="H1885" t="str">
            <v>Total Beverage Solutions</v>
          </cell>
          <cell r="K1885" t="str">
            <v>Package</v>
          </cell>
          <cell r="L1885" t="str">
            <v>Yes</v>
          </cell>
        </row>
        <row r="1886">
          <cell r="G1886" t="str">
            <v>Weihenstephaner</v>
          </cell>
          <cell r="H1886" t="str">
            <v>Total Beverage Solutions</v>
          </cell>
          <cell r="K1886" t="str">
            <v>Package</v>
          </cell>
          <cell r="L1886" t="str">
            <v>No</v>
          </cell>
        </row>
        <row r="1887">
          <cell r="G1887" t="str">
            <v>Weihenstephaner</v>
          </cell>
          <cell r="H1887" t="str">
            <v>Total Beverage Solutions</v>
          </cell>
          <cell r="K1887" t="str">
            <v>Package</v>
          </cell>
          <cell r="L1887" t="str">
            <v>Yes</v>
          </cell>
        </row>
        <row r="1888">
          <cell r="G1888" t="str">
            <v>Weihenstephaner</v>
          </cell>
          <cell r="H1888" t="str">
            <v>Total Beverage Solutions</v>
          </cell>
          <cell r="K1888" t="str">
            <v>Package</v>
          </cell>
          <cell r="L1888" t="str">
            <v>Yes</v>
          </cell>
        </row>
        <row r="1889">
          <cell r="G1889" t="str">
            <v>Weihenstephaner</v>
          </cell>
          <cell r="H1889" t="str">
            <v>Total Beverage Solutions</v>
          </cell>
          <cell r="K1889" t="str">
            <v>Package</v>
          </cell>
          <cell r="L1889" t="str">
            <v>Yes</v>
          </cell>
        </row>
        <row r="1890">
          <cell r="G1890" t="str">
            <v>Weihenstephaner</v>
          </cell>
          <cell r="H1890" t="str">
            <v>Total Beverage Solutions</v>
          </cell>
          <cell r="K1890" t="str">
            <v>Package</v>
          </cell>
          <cell r="L1890" t="str">
            <v>Yes</v>
          </cell>
        </row>
        <row r="1891">
          <cell r="G1891" t="str">
            <v>Weihenstephaner</v>
          </cell>
          <cell r="H1891" t="str">
            <v>Total Beverage Solutions</v>
          </cell>
          <cell r="K1891" t="str">
            <v>Package</v>
          </cell>
          <cell r="L1891" t="str">
            <v>Yes</v>
          </cell>
        </row>
        <row r="1892">
          <cell r="G1892" t="str">
            <v>Weihenstephaner</v>
          </cell>
          <cell r="H1892" t="str">
            <v>Total Beverage Solutions</v>
          </cell>
          <cell r="K1892" t="str">
            <v>Package</v>
          </cell>
          <cell r="L1892" t="str">
            <v>Yes</v>
          </cell>
        </row>
        <row r="1893">
          <cell r="G1893" t="str">
            <v>Weihenstephaner</v>
          </cell>
          <cell r="H1893" t="str">
            <v>Total Beverage Solutions</v>
          </cell>
          <cell r="K1893" t="str">
            <v>Package</v>
          </cell>
          <cell r="L1893" t="str">
            <v>No</v>
          </cell>
        </row>
        <row r="1894">
          <cell r="G1894" t="str">
            <v>Weihenstephaner</v>
          </cell>
          <cell r="H1894" t="str">
            <v>Total Beverage Solutions</v>
          </cell>
          <cell r="K1894" t="str">
            <v>Draft</v>
          </cell>
          <cell r="L1894" t="str">
            <v>Yes</v>
          </cell>
        </row>
        <row r="1895">
          <cell r="G1895" t="str">
            <v>Banks</v>
          </cell>
          <cell r="H1895" t="str">
            <v>Total Beverage Solutions</v>
          </cell>
          <cell r="K1895" t="str">
            <v>Package</v>
          </cell>
          <cell r="L1895" t="str">
            <v>Yes</v>
          </cell>
        </row>
        <row r="1896">
          <cell r="G1896" t="str">
            <v>Weihenstephaner</v>
          </cell>
          <cell r="H1896" t="str">
            <v>Total Beverage Solutions</v>
          </cell>
          <cell r="K1896" t="str">
            <v>Draft</v>
          </cell>
          <cell r="L1896" t="str">
            <v>Yes</v>
          </cell>
        </row>
        <row r="1897">
          <cell r="G1897" t="str">
            <v>Golden Pheasant</v>
          </cell>
          <cell r="H1897" t="str">
            <v>Golden Pheasant</v>
          </cell>
          <cell r="K1897" t="str">
            <v>Package</v>
          </cell>
          <cell r="L1897" t="str">
            <v>Yes</v>
          </cell>
        </row>
        <row r="1898">
          <cell r="G1898" t="str">
            <v>Carib</v>
          </cell>
          <cell r="H1898" t="str">
            <v>Total Beverage Solutions</v>
          </cell>
          <cell r="K1898" t="str">
            <v>Package</v>
          </cell>
          <cell r="L1898" t="str">
            <v>Yes</v>
          </cell>
        </row>
        <row r="1899">
          <cell r="G1899" t="str">
            <v>Carib</v>
          </cell>
          <cell r="H1899" t="str">
            <v>Total Beverage Solutions</v>
          </cell>
          <cell r="K1899" t="str">
            <v>Package</v>
          </cell>
          <cell r="L1899" t="str">
            <v>Yes</v>
          </cell>
        </row>
        <row r="1900">
          <cell r="G1900" t="str">
            <v>Carib</v>
          </cell>
          <cell r="H1900" t="str">
            <v>Total Beverage Solutions</v>
          </cell>
          <cell r="K1900" t="str">
            <v>Package</v>
          </cell>
          <cell r="L1900" t="str">
            <v>Yes</v>
          </cell>
        </row>
        <row r="1901">
          <cell r="G1901" t="str">
            <v>Carib</v>
          </cell>
          <cell r="H1901" t="str">
            <v>Total Beverage Solutions</v>
          </cell>
          <cell r="K1901" t="str">
            <v>Package</v>
          </cell>
          <cell r="L1901" t="str">
            <v>Yes</v>
          </cell>
        </row>
        <row r="1902">
          <cell r="G1902" t="str">
            <v>Carib</v>
          </cell>
          <cell r="H1902" t="str">
            <v>Total Beverage Solutions</v>
          </cell>
          <cell r="K1902" t="str">
            <v>Package</v>
          </cell>
          <cell r="L1902" t="str">
            <v>No</v>
          </cell>
        </row>
        <row r="1903">
          <cell r="G1903" t="str">
            <v>Carib</v>
          </cell>
          <cell r="H1903" t="str">
            <v>Total Beverage Solutions</v>
          </cell>
          <cell r="K1903" t="str">
            <v>Package</v>
          </cell>
          <cell r="L1903" t="str">
            <v>Yes</v>
          </cell>
        </row>
        <row r="1904">
          <cell r="G1904" t="str">
            <v>Mackeson</v>
          </cell>
          <cell r="H1904" t="str">
            <v>Total Beverage Solutions</v>
          </cell>
          <cell r="K1904" t="str">
            <v>Package</v>
          </cell>
          <cell r="L1904" t="str">
            <v>Yes</v>
          </cell>
        </row>
        <row r="1905">
          <cell r="G1905" t="str">
            <v>Bell's Hearted Family</v>
          </cell>
          <cell r="H1905" t="str">
            <v>Bell's</v>
          </cell>
          <cell r="K1905" t="str">
            <v>Package</v>
          </cell>
          <cell r="L1905" t="str">
            <v>Yes</v>
          </cell>
        </row>
        <row r="1906">
          <cell r="G1906" t="str">
            <v>Bell's Hearted Family</v>
          </cell>
          <cell r="H1906" t="str">
            <v>Bell's</v>
          </cell>
          <cell r="K1906" t="str">
            <v>Package</v>
          </cell>
          <cell r="L1906" t="str">
            <v>Yes</v>
          </cell>
        </row>
        <row r="1907">
          <cell r="G1907" t="str">
            <v>Bell's Hearted Family</v>
          </cell>
          <cell r="H1907" t="str">
            <v>Bell's</v>
          </cell>
          <cell r="K1907" t="str">
            <v>Package</v>
          </cell>
          <cell r="L1907" t="str">
            <v>Yes</v>
          </cell>
        </row>
        <row r="1908">
          <cell r="G1908" t="str">
            <v>Bell's Hearted Family</v>
          </cell>
          <cell r="H1908" t="str">
            <v>Bell's</v>
          </cell>
          <cell r="K1908" t="str">
            <v>Package</v>
          </cell>
          <cell r="L1908" t="str">
            <v>Yes</v>
          </cell>
        </row>
        <row r="1909">
          <cell r="G1909" t="str">
            <v>Bell's Hearted Family</v>
          </cell>
          <cell r="H1909" t="str">
            <v>Bell's</v>
          </cell>
          <cell r="K1909" t="str">
            <v>Draft</v>
          </cell>
          <cell r="L1909" t="str">
            <v>Yes</v>
          </cell>
        </row>
        <row r="1910">
          <cell r="G1910" t="str">
            <v>Bell's Hearted Family</v>
          </cell>
          <cell r="H1910" t="str">
            <v>Bell's</v>
          </cell>
          <cell r="K1910" t="str">
            <v>Draft</v>
          </cell>
          <cell r="L1910" t="str">
            <v>Yes</v>
          </cell>
        </row>
        <row r="1911">
          <cell r="G1911" t="str">
            <v>Bell's</v>
          </cell>
          <cell r="H1911" t="str">
            <v>Bell's</v>
          </cell>
          <cell r="K1911" t="str">
            <v>Package</v>
          </cell>
          <cell r="L1911" t="str">
            <v>Yes</v>
          </cell>
        </row>
        <row r="1912">
          <cell r="G1912" t="str">
            <v>Bell's</v>
          </cell>
          <cell r="H1912" t="str">
            <v>Bell's</v>
          </cell>
          <cell r="K1912" t="str">
            <v>Package</v>
          </cell>
          <cell r="L1912" t="str">
            <v>Yes</v>
          </cell>
        </row>
        <row r="1913">
          <cell r="G1913" t="str">
            <v>Bell's</v>
          </cell>
          <cell r="H1913" t="str">
            <v>Bell's</v>
          </cell>
          <cell r="K1913" t="str">
            <v>Package</v>
          </cell>
          <cell r="L1913" t="str">
            <v>Yes</v>
          </cell>
        </row>
        <row r="1914">
          <cell r="G1914" t="str">
            <v>Bell's</v>
          </cell>
          <cell r="H1914" t="str">
            <v>Bell's</v>
          </cell>
          <cell r="K1914" t="str">
            <v>Draft</v>
          </cell>
          <cell r="L1914" t="str">
            <v>Yes</v>
          </cell>
        </row>
        <row r="1915">
          <cell r="G1915" t="str">
            <v>Bell's</v>
          </cell>
          <cell r="H1915" t="str">
            <v>Bell's</v>
          </cell>
          <cell r="K1915" t="str">
            <v>Draft</v>
          </cell>
          <cell r="L1915" t="str">
            <v>Yes</v>
          </cell>
        </row>
        <row r="1916">
          <cell r="G1916" t="str">
            <v>Bell's</v>
          </cell>
          <cell r="H1916" t="str">
            <v>Bell's</v>
          </cell>
          <cell r="K1916" t="str">
            <v>Package</v>
          </cell>
          <cell r="L1916" t="str">
            <v>Yes</v>
          </cell>
        </row>
        <row r="1917">
          <cell r="G1917" t="str">
            <v>Bell's</v>
          </cell>
          <cell r="H1917" t="str">
            <v>Bell's</v>
          </cell>
          <cell r="K1917" t="str">
            <v>Package</v>
          </cell>
          <cell r="L1917" t="str">
            <v>Yes</v>
          </cell>
        </row>
        <row r="1918">
          <cell r="G1918" t="str">
            <v>Bell's</v>
          </cell>
          <cell r="H1918" t="str">
            <v>Bell's</v>
          </cell>
          <cell r="K1918" t="str">
            <v>Package</v>
          </cell>
          <cell r="L1918" t="str">
            <v>Yes</v>
          </cell>
        </row>
        <row r="1919">
          <cell r="G1919" t="str">
            <v>Bell's</v>
          </cell>
          <cell r="H1919" t="str">
            <v>Bell's</v>
          </cell>
          <cell r="K1919" t="str">
            <v>Draft</v>
          </cell>
          <cell r="L1919" t="str">
            <v>Yes</v>
          </cell>
        </row>
        <row r="1920">
          <cell r="G1920" t="str">
            <v>Bell's</v>
          </cell>
          <cell r="H1920" t="str">
            <v>Bell's</v>
          </cell>
          <cell r="K1920" t="str">
            <v>Draft</v>
          </cell>
          <cell r="L1920" t="str">
            <v>Yes</v>
          </cell>
        </row>
        <row r="1921">
          <cell r="G1921" t="str">
            <v>Bell's Hearted Family</v>
          </cell>
          <cell r="H1921" t="str">
            <v>Bell's</v>
          </cell>
          <cell r="K1921" t="str">
            <v>Package</v>
          </cell>
          <cell r="L1921" t="str">
            <v>Yes</v>
          </cell>
        </row>
        <row r="1922">
          <cell r="G1922" t="str">
            <v>Bell's Hearted Family</v>
          </cell>
          <cell r="H1922" t="str">
            <v>Bell's</v>
          </cell>
          <cell r="K1922" t="str">
            <v>Package</v>
          </cell>
          <cell r="L1922" t="str">
            <v>Yes</v>
          </cell>
        </row>
        <row r="1923">
          <cell r="G1923" t="str">
            <v>Bell's Hearted Family</v>
          </cell>
          <cell r="H1923" t="str">
            <v>Bell's</v>
          </cell>
          <cell r="K1923" t="str">
            <v>Package</v>
          </cell>
          <cell r="L1923" t="str">
            <v>Yes</v>
          </cell>
        </row>
        <row r="1924">
          <cell r="G1924" t="str">
            <v>Bell's Hearted Family</v>
          </cell>
          <cell r="H1924" t="str">
            <v>Bell's</v>
          </cell>
          <cell r="K1924" t="str">
            <v>Draft</v>
          </cell>
          <cell r="L1924" t="str">
            <v>Yes</v>
          </cell>
        </row>
        <row r="1925">
          <cell r="G1925" t="str">
            <v>Bell's Hearted Family</v>
          </cell>
          <cell r="H1925" t="str">
            <v>Bell's</v>
          </cell>
          <cell r="K1925" t="str">
            <v>Draft</v>
          </cell>
          <cell r="L1925" t="str">
            <v>Yes</v>
          </cell>
        </row>
        <row r="1926">
          <cell r="G1926" t="str">
            <v>Bell's</v>
          </cell>
          <cell r="H1926" t="str">
            <v>Bell's</v>
          </cell>
          <cell r="K1926" t="str">
            <v>Package</v>
          </cell>
          <cell r="L1926" t="str">
            <v>Yes</v>
          </cell>
        </row>
        <row r="1927">
          <cell r="G1927" t="str">
            <v>Bell's</v>
          </cell>
          <cell r="H1927" t="str">
            <v>Bell's</v>
          </cell>
          <cell r="K1927" t="str">
            <v>Package</v>
          </cell>
          <cell r="L1927" t="str">
            <v>Yes</v>
          </cell>
        </row>
        <row r="1928">
          <cell r="G1928" t="str">
            <v>Bell's</v>
          </cell>
          <cell r="H1928" t="str">
            <v>Bell's</v>
          </cell>
          <cell r="K1928" t="str">
            <v>Draft</v>
          </cell>
          <cell r="L1928" t="str">
            <v>Yes</v>
          </cell>
        </row>
        <row r="1929">
          <cell r="G1929" t="str">
            <v>Bell's</v>
          </cell>
          <cell r="H1929" t="str">
            <v>Bell's</v>
          </cell>
          <cell r="K1929" t="str">
            <v>Package</v>
          </cell>
          <cell r="L1929" t="str">
            <v>Yes</v>
          </cell>
        </row>
        <row r="1930">
          <cell r="G1930" t="str">
            <v>Bell's</v>
          </cell>
          <cell r="H1930" t="str">
            <v>Bell's</v>
          </cell>
          <cell r="K1930" t="str">
            <v>Draft</v>
          </cell>
          <cell r="L1930" t="str">
            <v>Yes</v>
          </cell>
        </row>
        <row r="1931">
          <cell r="G1931" t="str">
            <v>Bell's</v>
          </cell>
          <cell r="H1931" t="str">
            <v>Bell's</v>
          </cell>
          <cell r="K1931" t="str">
            <v>Draft</v>
          </cell>
          <cell r="L1931" t="str">
            <v>Yes</v>
          </cell>
        </row>
        <row r="1932">
          <cell r="G1932" t="str">
            <v>Bell's Hearted Family</v>
          </cell>
          <cell r="H1932" t="str">
            <v>Bell's</v>
          </cell>
          <cell r="K1932" t="str">
            <v>Package</v>
          </cell>
          <cell r="L1932" t="str">
            <v>Yes</v>
          </cell>
        </row>
        <row r="1933">
          <cell r="G1933" t="str">
            <v>Bell's</v>
          </cell>
          <cell r="H1933" t="str">
            <v>Bell's</v>
          </cell>
          <cell r="K1933" t="str">
            <v>Package</v>
          </cell>
          <cell r="L1933" t="str">
            <v>Yes</v>
          </cell>
        </row>
        <row r="1934">
          <cell r="G1934" t="str">
            <v>Bell's</v>
          </cell>
          <cell r="H1934" t="str">
            <v>Bell's</v>
          </cell>
          <cell r="K1934" t="str">
            <v>Package</v>
          </cell>
          <cell r="L1934" t="str">
            <v>Yes</v>
          </cell>
        </row>
        <row r="1935">
          <cell r="G1935" t="str">
            <v>Bell's</v>
          </cell>
          <cell r="H1935" t="str">
            <v>Bell's</v>
          </cell>
          <cell r="K1935" t="str">
            <v>Draft</v>
          </cell>
          <cell r="L1935" t="str">
            <v>Yes</v>
          </cell>
        </row>
        <row r="1936">
          <cell r="G1936" t="str">
            <v>Bell's</v>
          </cell>
          <cell r="H1936" t="str">
            <v>Bell's</v>
          </cell>
          <cell r="K1936" t="str">
            <v>Draft</v>
          </cell>
          <cell r="L1936" t="str">
            <v>Yes</v>
          </cell>
        </row>
        <row r="1937">
          <cell r="G1937" t="str">
            <v>Bell's</v>
          </cell>
          <cell r="H1937" t="str">
            <v>Bell's</v>
          </cell>
          <cell r="K1937" t="str">
            <v>Package</v>
          </cell>
          <cell r="L1937" t="str">
            <v>Yes</v>
          </cell>
        </row>
        <row r="1938">
          <cell r="G1938" t="str">
            <v>Bell's</v>
          </cell>
          <cell r="H1938" t="str">
            <v>Bell's</v>
          </cell>
          <cell r="K1938" t="str">
            <v>Package</v>
          </cell>
          <cell r="L1938" t="str">
            <v>Yes</v>
          </cell>
        </row>
        <row r="1939">
          <cell r="G1939" t="str">
            <v>Bell's</v>
          </cell>
          <cell r="H1939" t="str">
            <v>Bell's</v>
          </cell>
          <cell r="K1939" t="str">
            <v>Draft</v>
          </cell>
          <cell r="L1939" t="str">
            <v>Yes</v>
          </cell>
        </row>
        <row r="1940">
          <cell r="G1940" t="str">
            <v>Bell's</v>
          </cell>
          <cell r="H1940" t="str">
            <v>Bell's</v>
          </cell>
          <cell r="K1940" t="str">
            <v>Draft</v>
          </cell>
          <cell r="L1940" t="str">
            <v>Yes</v>
          </cell>
        </row>
        <row r="1941">
          <cell r="G1941" t="str">
            <v>Bell's</v>
          </cell>
          <cell r="H1941" t="str">
            <v>Bell's</v>
          </cell>
          <cell r="K1941" t="str">
            <v>Package</v>
          </cell>
          <cell r="L1941" t="str">
            <v>Yes</v>
          </cell>
        </row>
        <row r="1942">
          <cell r="G1942" t="str">
            <v>Bell's</v>
          </cell>
          <cell r="H1942" t="str">
            <v>Bell's</v>
          </cell>
          <cell r="K1942" t="str">
            <v>Package</v>
          </cell>
          <cell r="L1942" t="str">
            <v>Yes</v>
          </cell>
        </row>
        <row r="1943">
          <cell r="G1943" t="str">
            <v>Bell's</v>
          </cell>
          <cell r="H1943" t="str">
            <v>Bell's</v>
          </cell>
          <cell r="K1943" t="str">
            <v>Draft</v>
          </cell>
          <cell r="L1943" t="str">
            <v>Yes</v>
          </cell>
        </row>
        <row r="1944">
          <cell r="G1944" t="str">
            <v>Bell's</v>
          </cell>
          <cell r="H1944" t="str">
            <v>Bell's</v>
          </cell>
          <cell r="K1944" t="str">
            <v>Draft</v>
          </cell>
          <cell r="L1944" t="str">
            <v>Yes</v>
          </cell>
        </row>
        <row r="1945">
          <cell r="G1945" t="str">
            <v>Bell's</v>
          </cell>
          <cell r="H1945" t="str">
            <v>Bell's</v>
          </cell>
          <cell r="K1945" t="str">
            <v>Package</v>
          </cell>
          <cell r="L1945" t="str">
            <v>Yes</v>
          </cell>
        </row>
        <row r="1946">
          <cell r="G1946" t="str">
            <v>Bell's</v>
          </cell>
          <cell r="H1946" t="str">
            <v>Bell's</v>
          </cell>
          <cell r="K1946" t="str">
            <v>Draft</v>
          </cell>
          <cell r="L1946" t="str">
            <v>Yes</v>
          </cell>
        </row>
        <row r="1947">
          <cell r="G1947" t="str">
            <v>Bell's</v>
          </cell>
          <cell r="H1947" t="str">
            <v>Bell's</v>
          </cell>
          <cell r="K1947" t="str">
            <v>Draft</v>
          </cell>
          <cell r="L1947" t="str">
            <v>Yes</v>
          </cell>
        </row>
        <row r="1948">
          <cell r="G1948" t="str">
            <v>Duclaw</v>
          </cell>
          <cell r="H1948" t="str">
            <v>Duclaw Brewing</v>
          </cell>
          <cell r="K1948" t="str">
            <v>Package</v>
          </cell>
          <cell r="L1948" t="str">
            <v>No</v>
          </cell>
        </row>
        <row r="1949">
          <cell r="G1949" t="str">
            <v>Duclaw</v>
          </cell>
          <cell r="H1949" t="str">
            <v>Duclaw Brewing</v>
          </cell>
          <cell r="K1949" t="str">
            <v>Package</v>
          </cell>
          <cell r="L1949" t="str">
            <v>No</v>
          </cell>
        </row>
        <row r="1950">
          <cell r="G1950" t="str">
            <v>Duclaw</v>
          </cell>
          <cell r="H1950" t="str">
            <v>Duclaw Brewing</v>
          </cell>
          <cell r="K1950" t="str">
            <v>Package</v>
          </cell>
          <cell r="L1950" t="str">
            <v>No</v>
          </cell>
        </row>
        <row r="1951">
          <cell r="G1951" t="str">
            <v>Duclaw</v>
          </cell>
          <cell r="H1951" t="str">
            <v>Duclaw Brewing</v>
          </cell>
          <cell r="K1951" t="str">
            <v>Package</v>
          </cell>
          <cell r="L1951" t="str">
            <v>No</v>
          </cell>
        </row>
        <row r="1952">
          <cell r="G1952" t="str">
            <v>Duclaw</v>
          </cell>
          <cell r="H1952" t="str">
            <v>Duclaw Brewing</v>
          </cell>
          <cell r="K1952" t="str">
            <v>Package</v>
          </cell>
          <cell r="L1952" t="str">
            <v>No</v>
          </cell>
        </row>
        <row r="1953">
          <cell r="G1953" t="str">
            <v>Duclaw</v>
          </cell>
          <cell r="H1953" t="str">
            <v>Duclaw Brewing</v>
          </cell>
          <cell r="K1953" t="str">
            <v>Package</v>
          </cell>
          <cell r="L1953" t="str">
            <v>No</v>
          </cell>
        </row>
        <row r="1954">
          <cell r="G1954" t="str">
            <v>Duclaw</v>
          </cell>
          <cell r="H1954" t="str">
            <v>Duclaw Brewing</v>
          </cell>
          <cell r="K1954" t="str">
            <v>Package</v>
          </cell>
          <cell r="L1954" t="str">
            <v>No</v>
          </cell>
        </row>
        <row r="1955">
          <cell r="G1955" t="str">
            <v>Duclaw</v>
          </cell>
          <cell r="H1955" t="str">
            <v>Duclaw Brewing</v>
          </cell>
          <cell r="K1955" t="str">
            <v>Package</v>
          </cell>
          <cell r="L1955" t="str">
            <v>No</v>
          </cell>
        </row>
        <row r="1956">
          <cell r="G1956" t="str">
            <v>Sixpoint</v>
          </cell>
          <cell r="H1956" t="str">
            <v>Sixpoint Brewing</v>
          </cell>
          <cell r="K1956" t="str">
            <v>Package</v>
          </cell>
          <cell r="L1956" t="str">
            <v>Yes</v>
          </cell>
        </row>
        <row r="1957">
          <cell r="G1957" t="str">
            <v>Sixpoint</v>
          </cell>
          <cell r="H1957" t="str">
            <v>Sixpoint Brewing</v>
          </cell>
          <cell r="K1957" t="str">
            <v>Draft</v>
          </cell>
          <cell r="L1957" t="str">
            <v>Yes</v>
          </cell>
        </row>
        <row r="1958">
          <cell r="G1958" t="str">
            <v>Sixpoint</v>
          </cell>
          <cell r="H1958" t="str">
            <v>Sixpoint Brewing</v>
          </cell>
          <cell r="K1958" t="str">
            <v>Draft</v>
          </cell>
          <cell r="L1958" t="str">
            <v>Yes</v>
          </cell>
        </row>
        <row r="1959">
          <cell r="G1959" t="str">
            <v>Sixpoint</v>
          </cell>
          <cell r="H1959" t="str">
            <v>Sixpoint Brewing</v>
          </cell>
          <cell r="K1959" t="str">
            <v>Package</v>
          </cell>
          <cell r="L1959" t="str">
            <v>Yes</v>
          </cell>
        </row>
        <row r="1960">
          <cell r="G1960" t="str">
            <v>Sixpoint</v>
          </cell>
          <cell r="H1960" t="str">
            <v>Sixpoint Brewing</v>
          </cell>
          <cell r="K1960" t="str">
            <v>Draft</v>
          </cell>
          <cell r="L1960" t="str">
            <v>Yes</v>
          </cell>
        </row>
        <row r="1961">
          <cell r="G1961" t="str">
            <v>Sixpoint</v>
          </cell>
          <cell r="H1961" t="str">
            <v>Sixpoint Brewing</v>
          </cell>
          <cell r="K1961" t="str">
            <v>Draft</v>
          </cell>
          <cell r="L1961" t="str">
            <v>Yes</v>
          </cell>
        </row>
        <row r="1962">
          <cell r="G1962" t="str">
            <v>Sixpoint</v>
          </cell>
          <cell r="H1962" t="str">
            <v>Sixpoint Brewing</v>
          </cell>
          <cell r="K1962" t="str">
            <v>Package</v>
          </cell>
          <cell r="L1962" t="str">
            <v>No</v>
          </cell>
        </row>
        <row r="1963">
          <cell r="G1963" t="str">
            <v>Sixpoint</v>
          </cell>
          <cell r="H1963" t="str">
            <v>Sixpoint Brewing</v>
          </cell>
          <cell r="K1963" t="str">
            <v>Draft</v>
          </cell>
          <cell r="L1963" t="str">
            <v>No</v>
          </cell>
        </row>
        <row r="1964">
          <cell r="G1964" t="str">
            <v>Sixpoint</v>
          </cell>
          <cell r="H1964" t="str">
            <v>Sixpoint Brewing</v>
          </cell>
          <cell r="K1964" t="str">
            <v>Draft</v>
          </cell>
          <cell r="L1964" t="str">
            <v>No</v>
          </cell>
        </row>
        <row r="1965">
          <cell r="G1965" t="str">
            <v>Sixpoint</v>
          </cell>
          <cell r="H1965" t="str">
            <v>Sixpoint Brewing</v>
          </cell>
          <cell r="K1965" t="str">
            <v>Package</v>
          </cell>
          <cell r="L1965" t="str">
            <v>Yes</v>
          </cell>
        </row>
        <row r="1966">
          <cell r="G1966" t="str">
            <v>Sixpoint</v>
          </cell>
          <cell r="H1966" t="str">
            <v>Sixpoint Brewing</v>
          </cell>
          <cell r="K1966" t="str">
            <v>Draft</v>
          </cell>
          <cell r="L1966" t="str">
            <v>Yes</v>
          </cell>
        </row>
        <row r="1967">
          <cell r="G1967" t="str">
            <v>Sixpoint</v>
          </cell>
          <cell r="H1967" t="str">
            <v>Sixpoint Brewing</v>
          </cell>
          <cell r="K1967" t="str">
            <v>Draft</v>
          </cell>
          <cell r="L1967" t="str">
            <v>Yes</v>
          </cell>
        </row>
        <row r="1968">
          <cell r="G1968" t="str">
            <v>Sixpoint</v>
          </cell>
          <cell r="H1968" t="str">
            <v>Sixpoint Brewing</v>
          </cell>
          <cell r="K1968" t="str">
            <v>Package</v>
          </cell>
          <cell r="L1968" t="str">
            <v>No</v>
          </cell>
        </row>
        <row r="1969">
          <cell r="G1969" t="str">
            <v>Sixpoint</v>
          </cell>
          <cell r="H1969" t="str">
            <v>Sixpoint Brewing</v>
          </cell>
          <cell r="K1969" t="str">
            <v>Draft</v>
          </cell>
          <cell r="L1969" t="str">
            <v>No</v>
          </cell>
        </row>
        <row r="1970">
          <cell r="G1970" t="str">
            <v>Sixpoint</v>
          </cell>
          <cell r="H1970" t="str">
            <v>Sixpoint Brewing</v>
          </cell>
          <cell r="K1970" t="str">
            <v>Draft</v>
          </cell>
          <cell r="L1970" t="str">
            <v>No</v>
          </cell>
        </row>
        <row r="1971">
          <cell r="G1971" t="str">
            <v>Sixpoint</v>
          </cell>
          <cell r="H1971" t="str">
            <v>Sixpoint Brewing</v>
          </cell>
          <cell r="K1971" t="str">
            <v>Package</v>
          </cell>
          <cell r="L1971" t="str">
            <v>Yes</v>
          </cell>
        </row>
        <row r="1972">
          <cell r="G1972" t="str">
            <v>Sixpoint</v>
          </cell>
          <cell r="H1972" t="str">
            <v>Sixpoint Brewing</v>
          </cell>
          <cell r="K1972" t="str">
            <v>Draft</v>
          </cell>
          <cell r="L1972" t="str">
            <v>Yes</v>
          </cell>
        </row>
        <row r="1973">
          <cell r="G1973" t="str">
            <v>Sixpoint</v>
          </cell>
          <cell r="H1973" t="str">
            <v>Sixpoint Brewing</v>
          </cell>
          <cell r="K1973" t="str">
            <v>Package</v>
          </cell>
          <cell r="L1973" t="str">
            <v>Yes</v>
          </cell>
        </row>
        <row r="1974">
          <cell r="G1974" t="str">
            <v>Sixpoint</v>
          </cell>
          <cell r="H1974" t="str">
            <v>Sixpoint Brewing</v>
          </cell>
          <cell r="K1974" t="str">
            <v>Package</v>
          </cell>
          <cell r="L1974" t="str">
            <v>No</v>
          </cell>
        </row>
        <row r="1975">
          <cell r="G1975" t="str">
            <v>Sixpoint</v>
          </cell>
          <cell r="H1975" t="str">
            <v>Sixpoint Brewing</v>
          </cell>
          <cell r="K1975" t="str">
            <v>Draft</v>
          </cell>
          <cell r="L1975" t="str">
            <v>No</v>
          </cell>
        </row>
        <row r="1976">
          <cell r="G1976" t="str">
            <v>Sixpoint</v>
          </cell>
          <cell r="H1976" t="str">
            <v>Sixpoint Brewing</v>
          </cell>
          <cell r="K1976" t="str">
            <v>Draft</v>
          </cell>
          <cell r="L1976" t="str">
            <v>No</v>
          </cell>
        </row>
        <row r="1977">
          <cell r="G1977" t="str">
            <v>Sixpoint</v>
          </cell>
          <cell r="H1977" t="str">
            <v>Sixpoint Brewing</v>
          </cell>
          <cell r="K1977" t="str">
            <v>Package</v>
          </cell>
          <cell r="L1977" t="str">
            <v>Yes</v>
          </cell>
        </row>
        <row r="1978">
          <cell r="G1978" t="str">
            <v>Sixpoint</v>
          </cell>
          <cell r="H1978" t="str">
            <v>Sixpoint Brewing</v>
          </cell>
          <cell r="K1978" t="str">
            <v>Package</v>
          </cell>
          <cell r="L1978" t="str">
            <v>Yes</v>
          </cell>
        </row>
        <row r="1979">
          <cell r="G1979" t="str">
            <v>Sixpoint</v>
          </cell>
          <cell r="H1979" t="str">
            <v>Sixpoint Brewing</v>
          </cell>
          <cell r="K1979" t="str">
            <v>Package</v>
          </cell>
          <cell r="L1979" t="str">
            <v>Yes</v>
          </cell>
        </row>
        <row r="1980">
          <cell r="G1980" t="str">
            <v>Sixpoint</v>
          </cell>
          <cell r="H1980" t="str">
            <v>Sixpoint Brewing</v>
          </cell>
          <cell r="K1980" t="str">
            <v>Package</v>
          </cell>
          <cell r="L1980" t="str">
            <v>No</v>
          </cell>
        </row>
        <row r="1981">
          <cell r="G1981" t="str">
            <v>Sixpoint</v>
          </cell>
          <cell r="H1981" t="str">
            <v>Sixpoint Brewing</v>
          </cell>
          <cell r="K1981" t="str">
            <v>Draft</v>
          </cell>
          <cell r="L1981" t="str">
            <v>Yes</v>
          </cell>
        </row>
        <row r="1982">
          <cell r="G1982" t="str">
            <v>Sixpoint</v>
          </cell>
          <cell r="H1982" t="str">
            <v>Sixpoint Brewing</v>
          </cell>
          <cell r="K1982" t="str">
            <v>Draft</v>
          </cell>
          <cell r="L1982" t="str">
            <v>No</v>
          </cell>
        </row>
        <row r="1983">
          <cell r="G1983" t="str">
            <v>Sixpoint</v>
          </cell>
          <cell r="H1983" t="str">
            <v>Sixpoint Brewing</v>
          </cell>
          <cell r="K1983" t="str">
            <v>Package</v>
          </cell>
          <cell r="L1983" t="str">
            <v>No</v>
          </cell>
        </row>
        <row r="1984">
          <cell r="G1984" t="str">
            <v>Sixpoint</v>
          </cell>
          <cell r="H1984" t="str">
            <v>Sixpoint Brewing</v>
          </cell>
          <cell r="K1984" t="str">
            <v>Package</v>
          </cell>
          <cell r="L1984" t="str">
            <v>No</v>
          </cell>
        </row>
        <row r="1985">
          <cell r="G1985" t="str">
            <v>Sixpoint</v>
          </cell>
          <cell r="H1985" t="str">
            <v>Sixpoint Brewing</v>
          </cell>
          <cell r="K1985" t="str">
            <v>Package</v>
          </cell>
          <cell r="L1985" t="str">
            <v>Yes</v>
          </cell>
        </row>
        <row r="1986">
          <cell r="G1986" t="str">
            <v>Sixpoint</v>
          </cell>
          <cell r="H1986" t="str">
            <v>Sixpoint Brewing</v>
          </cell>
          <cell r="K1986" t="str">
            <v>Draft</v>
          </cell>
          <cell r="L1986" t="str">
            <v>Yes</v>
          </cell>
        </row>
        <row r="1987">
          <cell r="G1987" t="str">
            <v>Sixpoint</v>
          </cell>
          <cell r="H1987" t="str">
            <v>Sixpoint Brewing</v>
          </cell>
          <cell r="K1987" t="str">
            <v>Draft</v>
          </cell>
          <cell r="L1987" t="str">
            <v>Yes</v>
          </cell>
        </row>
        <row r="1988">
          <cell r="G1988" t="str">
            <v>Sixpoint</v>
          </cell>
          <cell r="H1988" t="str">
            <v>Sixpoint Brewing</v>
          </cell>
          <cell r="K1988" t="str">
            <v>Draft</v>
          </cell>
          <cell r="L1988" t="str">
            <v>Yes</v>
          </cell>
        </row>
        <row r="1989">
          <cell r="G1989" t="str">
            <v>Sixpoint</v>
          </cell>
          <cell r="H1989" t="str">
            <v>Sixpoint Brewing</v>
          </cell>
          <cell r="K1989" t="str">
            <v>Draft</v>
          </cell>
          <cell r="L1989" t="str">
            <v>Yes</v>
          </cell>
        </row>
        <row r="1990">
          <cell r="G1990" t="str">
            <v>Sixpoint</v>
          </cell>
          <cell r="H1990" t="str">
            <v>Sixpoint Brewing</v>
          </cell>
          <cell r="K1990" t="str">
            <v>Package</v>
          </cell>
          <cell r="L1990" t="str">
            <v>Yes</v>
          </cell>
        </row>
        <row r="1991">
          <cell r="G1991" t="str">
            <v>Sixpoint</v>
          </cell>
          <cell r="H1991" t="str">
            <v>Sixpoint Brewing</v>
          </cell>
          <cell r="K1991" t="str">
            <v>Draft</v>
          </cell>
          <cell r="L1991" t="str">
            <v>Yes</v>
          </cell>
        </row>
        <row r="1992">
          <cell r="G1992" t="str">
            <v>Sixpoint</v>
          </cell>
          <cell r="H1992" t="str">
            <v>Sixpoint Brewing</v>
          </cell>
          <cell r="K1992" t="str">
            <v>Draft</v>
          </cell>
          <cell r="L1992" t="str">
            <v>Yes</v>
          </cell>
        </row>
        <row r="1993">
          <cell r="G1993" t="str">
            <v>Sixpoint</v>
          </cell>
          <cell r="H1993" t="str">
            <v>Sixpoint Brewing</v>
          </cell>
          <cell r="K1993" t="str">
            <v>Package</v>
          </cell>
          <cell r="L1993" t="str">
            <v>Yes</v>
          </cell>
        </row>
        <row r="1994">
          <cell r="G1994" t="str">
            <v>Sixpoint</v>
          </cell>
          <cell r="H1994" t="str">
            <v>Sixpoint Brewing</v>
          </cell>
          <cell r="K1994" t="str">
            <v>Draft</v>
          </cell>
          <cell r="L1994" t="str">
            <v>No</v>
          </cell>
        </row>
        <row r="1995">
          <cell r="G1995" t="str">
            <v>Sixpoint</v>
          </cell>
          <cell r="H1995" t="str">
            <v>Sixpoint Brewing</v>
          </cell>
          <cell r="K1995" t="str">
            <v>Draft</v>
          </cell>
          <cell r="L1995" t="str">
            <v>Yes</v>
          </cell>
        </row>
        <row r="1996">
          <cell r="G1996" t="str">
            <v>Sixpoint</v>
          </cell>
          <cell r="H1996" t="str">
            <v>Sixpoint Brewing</v>
          </cell>
          <cell r="K1996" t="str">
            <v>Package</v>
          </cell>
          <cell r="L1996" t="str">
            <v>Yes</v>
          </cell>
        </row>
        <row r="1997">
          <cell r="G1997" t="str">
            <v>Sixpoint</v>
          </cell>
          <cell r="H1997" t="str">
            <v>Sixpoint Brewing</v>
          </cell>
          <cell r="K1997" t="str">
            <v>Draft</v>
          </cell>
          <cell r="L1997" t="str">
            <v>Yes</v>
          </cell>
        </row>
        <row r="1998">
          <cell r="G1998" t="str">
            <v>Sixpoint</v>
          </cell>
          <cell r="H1998" t="str">
            <v>Sixpoint Brewing</v>
          </cell>
          <cell r="K1998" t="str">
            <v>Draft</v>
          </cell>
          <cell r="L1998" t="str">
            <v>Yes</v>
          </cell>
        </row>
        <row r="1999">
          <cell r="G1999" t="str">
            <v>Sixpoint</v>
          </cell>
          <cell r="H1999" t="str">
            <v>Sixpoint Brewing</v>
          </cell>
          <cell r="K1999" t="str">
            <v>Draft</v>
          </cell>
          <cell r="L1999" t="str">
            <v>Yes</v>
          </cell>
        </row>
        <row r="2000">
          <cell r="G2000" t="str">
            <v>Sixpoint</v>
          </cell>
          <cell r="H2000" t="str">
            <v>Sixpoint Brewing</v>
          </cell>
          <cell r="K2000" t="str">
            <v>Draft</v>
          </cell>
          <cell r="L2000" t="str">
            <v>Yes</v>
          </cell>
        </row>
        <row r="2001">
          <cell r="G2001" t="str">
            <v>Sixpoint</v>
          </cell>
          <cell r="H2001" t="str">
            <v>Sixpoint Brewing</v>
          </cell>
          <cell r="K2001" t="str">
            <v>Package</v>
          </cell>
          <cell r="L2001" t="str">
            <v>Yes</v>
          </cell>
        </row>
        <row r="2002">
          <cell r="G2002" t="str">
            <v>Sixpoint</v>
          </cell>
          <cell r="H2002" t="str">
            <v>Sixpoint Brewing</v>
          </cell>
          <cell r="K2002" t="str">
            <v>Package</v>
          </cell>
          <cell r="L2002" t="str">
            <v>Yes</v>
          </cell>
        </row>
        <row r="2003">
          <cell r="G2003" t="str">
            <v>Sixpoint</v>
          </cell>
          <cell r="H2003" t="str">
            <v>Sixpoint Brewing</v>
          </cell>
          <cell r="K2003" t="str">
            <v>Package</v>
          </cell>
          <cell r="L2003" t="str">
            <v>Yes</v>
          </cell>
        </row>
        <row r="2004">
          <cell r="G2004" t="str">
            <v>Sixpoint</v>
          </cell>
          <cell r="H2004" t="str">
            <v>Sixpoint Brewing</v>
          </cell>
          <cell r="K2004" t="str">
            <v>Draft</v>
          </cell>
          <cell r="L2004" t="str">
            <v>Yes</v>
          </cell>
        </row>
        <row r="2005">
          <cell r="G2005" t="str">
            <v>New Holland Brewing Co</v>
          </cell>
          <cell r="H2005" t="str">
            <v>Pabst Brewing Company</v>
          </cell>
          <cell r="K2005" t="str">
            <v>Package</v>
          </cell>
          <cell r="L2005" t="str">
            <v>Yes</v>
          </cell>
        </row>
        <row r="2006">
          <cell r="G2006" t="str">
            <v>New Holland Brewing Co</v>
          </cell>
          <cell r="H2006" t="str">
            <v>Pabst Brewing Company</v>
          </cell>
          <cell r="K2006" t="str">
            <v>Draft</v>
          </cell>
          <cell r="L2006" t="str">
            <v>Yes</v>
          </cell>
        </row>
        <row r="2007">
          <cell r="G2007" t="str">
            <v>New Holland Brewing Co</v>
          </cell>
          <cell r="H2007" t="str">
            <v>Pabst Brewing Company</v>
          </cell>
          <cell r="K2007" t="str">
            <v>Draft</v>
          </cell>
          <cell r="L2007" t="str">
            <v>Yes</v>
          </cell>
        </row>
        <row r="2008">
          <cell r="G2008" t="str">
            <v>New Holland Brewing Co</v>
          </cell>
          <cell r="H2008" t="str">
            <v>Pabst Brewing Company</v>
          </cell>
          <cell r="K2008" t="str">
            <v>Package</v>
          </cell>
          <cell r="L2008" t="str">
            <v>Yes</v>
          </cell>
        </row>
        <row r="2009">
          <cell r="G2009" t="str">
            <v>New Holland Brewing Co</v>
          </cell>
          <cell r="H2009" t="str">
            <v>Pabst Brewing Company</v>
          </cell>
          <cell r="K2009" t="str">
            <v>Package</v>
          </cell>
          <cell r="L2009" t="str">
            <v>Yes</v>
          </cell>
        </row>
        <row r="2010">
          <cell r="G2010" t="str">
            <v>New Holland Brewing Co</v>
          </cell>
          <cell r="H2010" t="str">
            <v>Pabst Brewing Company</v>
          </cell>
          <cell r="K2010" t="str">
            <v>Package</v>
          </cell>
          <cell r="L2010" t="str">
            <v>Yes</v>
          </cell>
        </row>
        <row r="2011">
          <cell r="G2011" t="str">
            <v>New Holland Brewing Co</v>
          </cell>
          <cell r="H2011" t="str">
            <v>Pabst Brewing Company</v>
          </cell>
          <cell r="K2011" t="str">
            <v>Package</v>
          </cell>
          <cell r="L2011" t="str">
            <v>Yes</v>
          </cell>
        </row>
        <row r="2012">
          <cell r="G2012" t="str">
            <v>New Holland Brewing Co</v>
          </cell>
          <cell r="H2012" t="str">
            <v>Pabst Brewing Company</v>
          </cell>
          <cell r="K2012" t="str">
            <v>Package</v>
          </cell>
          <cell r="L2012" t="str">
            <v>Yes</v>
          </cell>
        </row>
        <row r="2013">
          <cell r="G2013" t="str">
            <v>New Holland Brewing Co</v>
          </cell>
          <cell r="H2013" t="str">
            <v>Pabst Brewing Company</v>
          </cell>
          <cell r="K2013" t="str">
            <v>Package</v>
          </cell>
          <cell r="L2013" t="str">
            <v>Yes</v>
          </cell>
        </row>
        <row r="2014">
          <cell r="G2014" t="str">
            <v>New Holland Brewing Co</v>
          </cell>
          <cell r="H2014" t="str">
            <v>Pabst Brewing Company</v>
          </cell>
          <cell r="K2014" t="str">
            <v>Package</v>
          </cell>
          <cell r="L2014" t="str">
            <v>Yes</v>
          </cell>
        </row>
        <row r="2015">
          <cell r="G2015" t="str">
            <v>Genesee</v>
          </cell>
          <cell r="H2015" t="str">
            <v>FIFCO</v>
          </cell>
          <cell r="K2015" t="str">
            <v>Package</v>
          </cell>
          <cell r="L2015" t="str">
            <v>Yes</v>
          </cell>
        </row>
        <row r="2016">
          <cell r="G2016" t="str">
            <v>Genesee</v>
          </cell>
          <cell r="H2016" t="str">
            <v>FIFCO</v>
          </cell>
          <cell r="K2016" t="str">
            <v>Package</v>
          </cell>
          <cell r="L2016" t="str">
            <v>Yes</v>
          </cell>
        </row>
        <row r="2017">
          <cell r="G2017" t="str">
            <v>Genesee</v>
          </cell>
          <cell r="H2017" t="str">
            <v>FIFCO</v>
          </cell>
          <cell r="K2017" t="str">
            <v>Package</v>
          </cell>
          <cell r="L2017" t="str">
            <v>Yes</v>
          </cell>
        </row>
        <row r="2018">
          <cell r="G2018" t="str">
            <v>Genesee</v>
          </cell>
          <cell r="H2018" t="str">
            <v>FIFCO</v>
          </cell>
          <cell r="K2018" t="str">
            <v>Package</v>
          </cell>
          <cell r="L2018" t="str">
            <v>Yes</v>
          </cell>
        </row>
        <row r="2019">
          <cell r="G2019" t="str">
            <v>Genesee</v>
          </cell>
          <cell r="H2019" t="str">
            <v>FIFCO</v>
          </cell>
          <cell r="K2019" t="str">
            <v>Package</v>
          </cell>
          <cell r="L2019" t="str">
            <v>Yes</v>
          </cell>
        </row>
        <row r="2020">
          <cell r="G2020" t="str">
            <v>Genesee</v>
          </cell>
          <cell r="H2020" t="str">
            <v>FIFCO</v>
          </cell>
          <cell r="K2020" t="str">
            <v>Package</v>
          </cell>
          <cell r="L2020" t="str">
            <v>Yes</v>
          </cell>
        </row>
        <row r="2021">
          <cell r="G2021" t="str">
            <v>Genesee</v>
          </cell>
          <cell r="H2021" t="str">
            <v>FIFCO</v>
          </cell>
          <cell r="K2021" t="str">
            <v>Package</v>
          </cell>
          <cell r="L2021" t="str">
            <v>Yes</v>
          </cell>
        </row>
        <row r="2022">
          <cell r="G2022" t="str">
            <v>Genesee</v>
          </cell>
          <cell r="H2022" t="str">
            <v>FIFCO</v>
          </cell>
          <cell r="K2022" t="str">
            <v>Package</v>
          </cell>
          <cell r="L2022" t="str">
            <v>Yes</v>
          </cell>
        </row>
        <row r="2023">
          <cell r="G2023" t="str">
            <v>Genesee</v>
          </cell>
          <cell r="H2023" t="str">
            <v>FIFCO</v>
          </cell>
          <cell r="K2023" t="str">
            <v>Package</v>
          </cell>
          <cell r="L2023" t="str">
            <v>No</v>
          </cell>
        </row>
        <row r="2024">
          <cell r="G2024" t="str">
            <v>Genesee</v>
          </cell>
          <cell r="H2024" t="str">
            <v>FIFCO</v>
          </cell>
          <cell r="K2024" t="str">
            <v>Package</v>
          </cell>
          <cell r="L2024" t="str">
            <v>No</v>
          </cell>
        </row>
        <row r="2025">
          <cell r="G2025" t="str">
            <v>Genesee</v>
          </cell>
          <cell r="H2025" t="str">
            <v>FIFCO</v>
          </cell>
          <cell r="K2025" t="str">
            <v>Package</v>
          </cell>
          <cell r="L2025" t="str">
            <v>No</v>
          </cell>
        </row>
        <row r="2026">
          <cell r="G2026" t="str">
            <v>Genesee</v>
          </cell>
          <cell r="H2026" t="str">
            <v>FIFCO</v>
          </cell>
          <cell r="K2026" t="str">
            <v>Package</v>
          </cell>
          <cell r="L2026" t="str">
            <v>Yes</v>
          </cell>
        </row>
        <row r="2027">
          <cell r="G2027" t="str">
            <v>Genesee</v>
          </cell>
          <cell r="H2027" t="str">
            <v>FIFCO</v>
          </cell>
          <cell r="K2027" t="str">
            <v>Package</v>
          </cell>
          <cell r="L2027" t="str">
            <v>No</v>
          </cell>
        </row>
        <row r="2028">
          <cell r="G2028" t="str">
            <v>Genesee</v>
          </cell>
          <cell r="H2028" t="str">
            <v>FIFCO</v>
          </cell>
          <cell r="K2028" t="str">
            <v>Package</v>
          </cell>
          <cell r="L2028" t="str">
            <v>Yes</v>
          </cell>
        </row>
        <row r="2029">
          <cell r="G2029" t="str">
            <v>Genesee</v>
          </cell>
          <cell r="H2029" t="str">
            <v>FIFCO</v>
          </cell>
          <cell r="K2029" t="str">
            <v>Draft</v>
          </cell>
          <cell r="L2029" t="str">
            <v>Yes</v>
          </cell>
        </row>
        <row r="2030">
          <cell r="G2030" t="str">
            <v>Genesee</v>
          </cell>
          <cell r="H2030" t="str">
            <v>FIFCO</v>
          </cell>
          <cell r="K2030" t="str">
            <v>Package</v>
          </cell>
          <cell r="L2030" t="str">
            <v>No</v>
          </cell>
        </row>
        <row r="2031">
          <cell r="G2031" t="str">
            <v>Genesee</v>
          </cell>
          <cell r="H2031" t="str">
            <v>FIFCO</v>
          </cell>
          <cell r="K2031" t="str">
            <v>Package</v>
          </cell>
          <cell r="L2031" t="str">
            <v>Yes</v>
          </cell>
        </row>
        <row r="2032">
          <cell r="G2032" t="str">
            <v>Genesee</v>
          </cell>
          <cell r="H2032" t="str">
            <v>FIFCO</v>
          </cell>
          <cell r="K2032" t="str">
            <v>Package</v>
          </cell>
          <cell r="L2032" t="str">
            <v>No</v>
          </cell>
        </row>
        <row r="2033">
          <cell r="G2033" t="str">
            <v>Genesee</v>
          </cell>
          <cell r="H2033" t="str">
            <v>FIFCO</v>
          </cell>
          <cell r="K2033" t="str">
            <v>Package</v>
          </cell>
          <cell r="L2033" t="str">
            <v>Yes</v>
          </cell>
        </row>
        <row r="2034">
          <cell r="G2034" t="str">
            <v>Genesee</v>
          </cell>
          <cell r="H2034" t="str">
            <v>FIFCO</v>
          </cell>
          <cell r="K2034" t="str">
            <v>Package</v>
          </cell>
          <cell r="L2034" t="str">
            <v>Yes</v>
          </cell>
        </row>
        <row r="2035">
          <cell r="G2035" t="str">
            <v>Genesee</v>
          </cell>
          <cell r="H2035" t="str">
            <v>FIFCO</v>
          </cell>
          <cell r="K2035" t="str">
            <v>Package</v>
          </cell>
          <cell r="L2035" t="str">
            <v>No</v>
          </cell>
        </row>
        <row r="2036">
          <cell r="G2036" t="str">
            <v>Genesee</v>
          </cell>
          <cell r="H2036" t="str">
            <v>FIFCO</v>
          </cell>
          <cell r="K2036" t="str">
            <v>Package</v>
          </cell>
          <cell r="L2036" t="str">
            <v>Yes</v>
          </cell>
        </row>
        <row r="2037">
          <cell r="G2037" t="str">
            <v>Genesee</v>
          </cell>
          <cell r="H2037" t="str">
            <v>FIFCO</v>
          </cell>
          <cell r="K2037" t="str">
            <v>Package</v>
          </cell>
          <cell r="L2037" t="str">
            <v>Yes</v>
          </cell>
        </row>
        <row r="2038">
          <cell r="G2038" t="str">
            <v>Genesee</v>
          </cell>
          <cell r="H2038" t="str">
            <v>FIFCO</v>
          </cell>
          <cell r="K2038" t="str">
            <v>Package</v>
          </cell>
          <cell r="L2038" t="str">
            <v>Yes</v>
          </cell>
        </row>
        <row r="2039">
          <cell r="G2039" t="str">
            <v>Genesee</v>
          </cell>
          <cell r="H2039" t="str">
            <v>FIFCO</v>
          </cell>
          <cell r="K2039" t="str">
            <v>Package</v>
          </cell>
          <cell r="L2039" t="str">
            <v>Yes</v>
          </cell>
        </row>
        <row r="2040">
          <cell r="G2040" t="str">
            <v>Genesee</v>
          </cell>
          <cell r="H2040" t="str">
            <v>FIFCO</v>
          </cell>
          <cell r="K2040" t="str">
            <v>Package</v>
          </cell>
          <cell r="L2040" t="str">
            <v>Yes</v>
          </cell>
        </row>
        <row r="2041">
          <cell r="G2041" t="str">
            <v>Imperial</v>
          </cell>
          <cell r="H2041" t="str">
            <v>FIFCO</v>
          </cell>
          <cell r="K2041" t="str">
            <v>Package</v>
          </cell>
          <cell r="L2041" t="str">
            <v>Yes</v>
          </cell>
        </row>
        <row r="2042">
          <cell r="G2042" t="str">
            <v>Imperial</v>
          </cell>
          <cell r="H2042" t="str">
            <v>FIFCO</v>
          </cell>
          <cell r="K2042" t="str">
            <v>Package</v>
          </cell>
          <cell r="L2042" t="str">
            <v>Yes</v>
          </cell>
        </row>
        <row r="2043">
          <cell r="G2043" t="str">
            <v>Aguila Import</v>
          </cell>
          <cell r="H2043" t="str">
            <v>Food &amp; Bev Enterprise LLC</v>
          </cell>
          <cell r="K2043" t="str">
            <v>Package</v>
          </cell>
          <cell r="L2043" t="str">
            <v>Yes</v>
          </cell>
        </row>
        <row r="2044">
          <cell r="G2044" t="str">
            <v>Aguila Import</v>
          </cell>
          <cell r="H2044" t="str">
            <v>Food &amp; Bev Enterprise LLC</v>
          </cell>
          <cell r="K2044" t="str">
            <v>Package</v>
          </cell>
          <cell r="L2044" t="str">
            <v>Yes</v>
          </cell>
        </row>
        <row r="2045">
          <cell r="G2045" t="str">
            <v>Poker Import</v>
          </cell>
          <cell r="H2045" t="str">
            <v>Food &amp; Bev Enterprise LLC</v>
          </cell>
          <cell r="K2045" t="str">
            <v>Package</v>
          </cell>
          <cell r="L2045" t="str">
            <v>Yes</v>
          </cell>
        </row>
        <row r="2046">
          <cell r="G2046" t="str">
            <v>Costenita</v>
          </cell>
          <cell r="H2046" t="str">
            <v>Food &amp; Bev Enterprise LLC</v>
          </cell>
          <cell r="K2046" t="str">
            <v>Package</v>
          </cell>
          <cell r="L2046" t="str">
            <v>No</v>
          </cell>
        </row>
        <row r="2047">
          <cell r="G2047" t="str">
            <v>Food &amp; Bev</v>
          </cell>
          <cell r="H2047" t="str">
            <v>Food &amp; Bev Enterprise LLC</v>
          </cell>
          <cell r="K2047" t="str">
            <v>Package</v>
          </cell>
          <cell r="L2047" t="str">
            <v>Yes</v>
          </cell>
        </row>
        <row r="2048">
          <cell r="G2048" t="str">
            <v>Food &amp; Bev</v>
          </cell>
          <cell r="H2048" t="str">
            <v>Food &amp; Bev Enterprise LLC</v>
          </cell>
          <cell r="K2048" t="str">
            <v>Package</v>
          </cell>
          <cell r="L2048" t="str">
            <v>Yes</v>
          </cell>
        </row>
        <row r="2049">
          <cell r="G2049" t="str">
            <v>Food &amp; Bev</v>
          </cell>
          <cell r="H2049" t="str">
            <v>Food &amp; Bev Enterprise LLC</v>
          </cell>
          <cell r="K2049" t="str">
            <v>Package</v>
          </cell>
          <cell r="L2049" t="str">
            <v>Yes</v>
          </cell>
        </row>
        <row r="2050">
          <cell r="G2050" t="str">
            <v>Poker Import</v>
          </cell>
          <cell r="H2050" t="str">
            <v>Food &amp; Bev Enterprise LLC</v>
          </cell>
          <cell r="K2050" t="str">
            <v>Package</v>
          </cell>
          <cell r="L2050" t="str">
            <v>Yes</v>
          </cell>
        </row>
        <row r="2051">
          <cell r="G2051" t="str">
            <v>Aguila Import</v>
          </cell>
          <cell r="H2051" t="str">
            <v>Food &amp; Bev Enterprise LLC</v>
          </cell>
          <cell r="K2051" t="str">
            <v>Package</v>
          </cell>
          <cell r="L2051" t="str">
            <v>Yes</v>
          </cell>
        </row>
        <row r="2052">
          <cell r="G2052" t="str">
            <v>Aguila Import</v>
          </cell>
          <cell r="H2052" t="str">
            <v>Food &amp; Bev Enterprise LLC</v>
          </cell>
          <cell r="K2052" t="str">
            <v>Package</v>
          </cell>
          <cell r="L2052" t="str">
            <v>Yes</v>
          </cell>
        </row>
        <row r="2053">
          <cell r="G2053" t="str">
            <v>Food &amp; Bev</v>
          </cell>
          <cell r="H2053" t="str">
            <v>Food &amp; Bev Enterprise LLC</v>
          </cell>
          <cell r="K2053" t="str">
            <v>Package</v>
          </cell>
          <cell r="L2053" t="str">
            <v>Yes</v>
          </cell>
        </row>
        <row r="2054">
          <cell r="G2054" t="str">
            <v>Food &amp; Bev</v>
          </cell>
          <cell r="H2054" t="str">
            <v>Food &amp; Bev Enterprise LLC</v>
          </cell>
          <cell r="K2054" t="str">
            <v>Package</v>
          </cell>
          <cell r="L2054" t="str">
            <v>Yes</v>
          </cell>
        </row>
        <row r="2055">
          <cell r="G2055" t="str">
            <v>Food &amp; Bev</v>
          </cell>
          <cell r="H2055" t="str">
            <v>Food &amp; Bev Enterprise LLC</v>
          </cell>
          <cell r="K2055" t="str">
            <v>Package</v>
          </cell>
          <cell r="L2055" t="str">
            <v>Yes</v>
          </cell>
        </row>
        <row r="2056">
          <cell r="G2056" t="str">
            <v>Aguila Import</v>
          </cell>
          <cell r="H2056" t="str">
            <v>Food &amp; Bev Enterprise LLC</v>
          </cell>
          <cell r="K2056" t="str">
            <v>Package</v>
          </cell>
          <cell r="L2056" t="str">
            <v>Yes</v>
          </cell>
        </row>
        <row r="2057">
          <cell r="G2057" t="str">
            <v>Aguila Import</v>
          </cell>
          <cell r="H2057" t="str">
            <v>Food &amp; Bev Enterprise LLC</v>
          </cell>
          <cell r="K2057" t="str">
            <v>Package</v>
          </cell>
          <cell r="L2057" t="str">
            <v>Yes</v>
          </cell>
        </row>
        <row r="2058">
          <cell r="G2058" t="str">
            <v>Poker Import</v>
          </cell>
          <cell r="H2058" t="str">
            <v>Food &amp; Bev Enterprise LLC</v>
          </cell>
          <cell r="K2058" t="str">
            <v>Package</v>
          </cell>
          <cell r="L2058" t="str">
            <v>Yes</v>
          </cell>
        </row>
        <row r="2059">
          <cell r="G2059" t="str">
            <v>Food &amp; Bev</v>
          </cell>
          <cell r="H2059" t="str">
            <v>Food &amp; Bev Enterprise LLC</v>
          </cell>
          <cell r="K2059" t="str">
            <v>Package</v>
          </cell>
          <cell r="L2059" t="str">
            <v>Yes</v>
          </cell>
        </row>
        <row r="2060">
          <cell r="G2060" t="str">
            <v>Food &amp; Bev</v>
          </cell>
          <cell r="H2060" t="str">
            <v>Food &amp; Bev Enterprise LLC</v>
          </cell>
          <cell r="K2060" t="str">
            <v>Package</v>
          </cell>
          <cell r="L2060" t="str">
            <v>Yes</v>
          </cell>
        </row>
        <row r="2061">
          <cell r="G2061" t="str">
            <v>Food &amp; Bev</v>
          </cell>
          <cell r="H2061" t="str">
            <v>Food &amp; Bev Enterprise LLC</v>
          </cell>
          <cell r="K2061" t="str">
            <v>Package</v>
          </cell>
          <cell r="L2061" t="str">
            <v>Yes</v>
          </cell>
        </row>
        <row r="2062">
          <cell r="G2062" t="str">
            <v>Costenita</v>
          </cell>
          <cell r="H2062" t="str">
            <v>Food &amp; Bev Enterprise LLC</v>
          </cell>
          <cell r="K2062" t="str">
            <v>Package</v>
          </cell>
          <cell r="L2062" t="str">
            <v>Yes</v>
          </cell>
        </row>
        <row r="2063">
          <cell r="G2063" t="str">
            <v>Flying Dog Brewing Co</v>
          </cell>
          <cell r="H2063" t="str">
            <v>FX Matt</v>
          </cell>
          <cell r="K2063" t="str">
            <v>Package</v>
          </cell>
          <cell r="L2063" t="str">
            <v>Yes</v>
          </cell>
        </row>
        <row r="2064">
          <cell r="G2064" t="str">
            <v>Flying Dog Brewing Co</v>
          </cell>
          <cell r="H2064" t="str">
            <v>FX Matt</v>
          </cell>
          <cell r="K2064" t="str">
            <v>Package</v>
          </cell>
          <cell r="L2064" t="str">
            <v>No</v>
          </cell>
        </row>
        <row r="2065">
          <cell r="G2065" t="str">
            <v>Flying Dog Brewing Co</v>
          </cell>
          <cell r="H2065" t="str">
            <v>FX Matt</v>
          </cell>
          <cell r="K2065" t="str">
            <v>Package</v>
          </cell>
          <cell r="L2065" t="str">
            <v>Yes</v>
          </cell>
        </row>
        <row r="2066">
          <cell r="G2066" t="str">
            <v>Flying Dog Brewing Co</v>
          </cell>
          <cell r="H2066" t="str">
            <v>FX Matt</v>
          </cell>
          <cell r="K2066" t="str">
            <v>Package</v>
          </cell>
          <cell r="L2066" t="str">
            <v>No</v>
          </cell>
        </row>
        <row r="2067">
          <cell r="G2067" t="str">
            <v>Flying Dog Brewing Co</v>
          </cell>
          <cell r="H2067" t="str">
            <v>FX Matt</v>
          </cell>
          <cell r="K2067" t="str">
            <v>Package</v>
          </cell>
          <cell r="L2067" t="str">
            <v>Yes</v>
          </cell>
        </row>
        <row r="2068">
          <cell r="G2068" t="str">
            <v>Flying Dog Brewing Co</v>
          </cell>
          <cell r="H2068" t="str">
            <v>FX Matt</v>
          </cell>
          <cell r="K2068" t="str">
            <v>Draft</v>
          </cell>
          <cell r="L2068" t="str">
            <v>Yes</v>
          </cell>
        </row>
        <row r="2069">
          <cell r="G2069" t="str">
            <v>Flying Dog Brewing Co</v>
          </cell>
          <cell r="H2069" t="str">
            <v>FX Matt</v>
          </cell>
          <cell r="K2069" t="str">
            <v>Package</v>
          </cell>
          <cell r="L2069" t="str">
            <v>Yes</v>
          </cell>
        </row>
        <row r="2070">
          <cell r="G2070" t="str">
            <v>Flying Dog Brewing Co</v>
          </cell>
          <cell r="H2070" t="str">
            <v>FX Matt</v>
          </cell>
          <cell r="K2070" t="str">
            <v>Package</v>
          </cell>
          <cell r="L2070" t="str">
            <v>Yes</v>
          </cell>
        </row>
        <row r="2071">
          <cell r="G2071" t="str">
            <v>Flying Dog Brewing Co</v>
          </cell>
          <cell r="H2071" t="str">
            <v>FX Matt</v>
          </cell>
          <cell r="K2071" t="str">
            <v>Package</v>
          </cell>
          <cell r="L2071" t="str">
            <v>No</v>
          </cell>
        </row>
        <row r="2072">
          <cell r="G2072" t="str">
            <v>Flying Dog Brewing Co</v>
          </cell>
          <cell r="H2072" t="str">
            <v>FX Matt</v>
          </cell>
          <cell r="K2072" t="str">
            <v>Package</v>
          </cell>
          <cell r="L2072" t="str">
            <v>No</v>
          </cell>
        </row>
        <row r="2073">
          <cell r="G2073" t="str">
            <v>Flying Dog Brewing Co</v>
          </cell>
          <cell r="H2073" t="str">
            <v>FX Matt</v>
          </cell>
          <cell r="K2073" t="str">
            <v>Package</v>
          </cell>
          <cell r="L2073" t="str">
            <v>No</v>
          </cell>
        </row>
        <row r="2074">
          <cell r="G2074" t="str">
            <v>Flying Dog Brewing Co</v>
          </cell>
          <cell r="H2074" t="str">
            <v>FX Matt</v>
          </cell>
          <cell r="K2074" t="str">
            <v>Package</v>
          </cell>
          <cell r="L2074" t="str">
            <v>No</v>
          </cell>
        </row>
        <row r="2075">
          <cell r="G2075" t="str">
            <v>Flying Dog Brewing Co</v>
          </cell>
          <cell r="H2075" t="str">
            <v>FX Matt</v>
          </cell>
          <cell r="K2075" t="str">
            <v>Package</v>
          </cell>
          <cell r="L2075" t="str">
            <v>No</v>
          </cell>
        </row>
        <row r="2076">
          <cell r="G2076" t="str">
            <v>Flying Dog Brewing Co</v>
          </cell>
          <cell r="H2076" t="str">
            <v>FX Matt</v>
          </cell>
          <cell r="K2076" t="str">
            <v>Package</v>
          </cell>
          <cell r="L2076" t="str">
            <v>No</v>
          </cell>
        </row>
        <row r="2077">
          <cell r="G2077" t="str">
            <v>Flying Dog Brewing Co</v>
          </cell>
          <cell r="H2077" t="str">
            <v>FX Matt</v>
          </cell>
          <cell r="K2077" t="str">
            <v>Draft</v>
          </cell>
          <cell r="L2077" t="str">
            <v>No</v>
          </cell>
        </row>
        <row r="2078">
          <cell r="G2078" t="str">
            <v>Flying Dog Brewing Co</v>
          </cell>
          <cell r="H2078" t="str">
            <v>FX Matt</v>
          </cell>
          <cell r="K2078" t="str">
            <v>Package</v>
          </cell>
          <cell r="L2078" t="str">
            <v>Yes</v>
          </cell>
        </row>
        <row r="2079">
          <cell r="G2079" t="str">
            <v>Flying Dog Brewing Co</v>
          </cell>
          <cell r="H2079" t="str">
            <v>FX Matt</v>
          </cell>
          <cell r="K2079" t="str">
            <v>Package</v>
          </cell>
          <cell r="L2079" t="str">
            <v>No</v>
          </cell>
        </row>
        <row r="2080">
          <cell r="G2080" t="str">
            <v>Flying Dog Brewing Co</v>
          </cell>
          <cell r="H2080" t="str">
            <v>FX Matt</v>
          </cell>
          <cell r="K2080" t="str">
            <v>Package</v>
          </cell>
          <cell r="L2080" t="str">
            <v>No</v>
          </cell>
        </row>
        <row r="2081">
          <cell r="G2081" t="str">
            <v>Flying Dog Brewing Co</v>
          </cell>
          <cell r="H2081" t="str">
            <v>FX Matt</v>
          </cell>
          <cell r="K2081" t="str">
            <v>Package</v>
          </cell>
          <cell r="L2081" t="str">
            <v>No</v>
          </cell>
        </row>
        <row r="2082">
          <cell r="G2082" t="str">
            <v>Flying Dog Brewing Co</v>
          </cell>
          <cell r="H2082" t="str">
            <v>FX Matt</v>
          </cell>
          <cell r="K2082" t="str">
            <v>Package</v>
          </cell>
          <cell r="L2082" t="str">
            <v>No</v>
          </cell>
        </row>
        <row r="2083">
          <cell r="G2083" t="str">
            <v>Flying Dog Brewing Co</v>
          </cell>
          <cell r="H2083" t="str">
            <v>FX Matt</v>
          </cell>
          <cell r="K2083" t="str">
            <v>Package</v>
          </cell>
          <cell r="L2083" t="str">
            <v>No</v>
          </cell>
        </row>
        <row r="2084">
          <cell r="G2084" t="str">
            <v>Flying Dog Brewing Co</v>
          </cell>
          <cell r="H2084" t="str">
            <v>FX Matt</v>
          </cell>
          <cell r="K2084" t="str">
            <v>Draft</v>
          </cell>
          <cell r="L2084" t="str">
            <v>No</v>
          </cell>
        </row>
        <row r="2085">
          <cell r="G2085" t="str">
            <v>Flying Dog Brewing Co</v>
          </cell>
          <cell r="H2085" t="str">
            <v>FX Matt</v>
          </cell>
          <cell r="K2085" t="str">
            <v>Draft</v>
          </cell>
          <cell r="L2085" t="str">
            <v>No</v>
          </cell>
        </row>
        <row r="2086">
          <cell r="G2086" t="str">
            <v>Flying Dog Brewing Co</v>
          </cell>
          <cell r="H2086" t="str">
            <v>FX Matt</v>
          </cell>
          <cell r="K2086" t="str">
            <v>Draft</v>
          </cell>
          <cell r="L2086" t="str">
            <v>No</v>
          </cell>
        </row>
        <row r="2087">
          <cell r="G2087" t="str">
            <v>Flying Dog Brewing Co</v>
          </cell>
          <cell r="H2087" t="str">
            <v>FX Matt</v>
          </cell>
          <cell r="K2087" t="str">
            <v>Draft</v>
          </cell>
          <cell r="L2087" t="str">
            <v>No</v>
          </cell>
        </row>
        <row r="2088">
          <cell r="G2088" t="str">
            <v>Flying Dog Brewing Co</v>
          </cell>
          <cell r="H2088" t="str">
            <v>FX Matt</v>
          </cell>
          <cell r="K2088" t="str">
            <v>Draft</v>
          </cell>
          <cell r="L2088" t="str">
            <v>No</v>
          </cell>
        </row>
        <row r="2089">
          <cell r="G2089" t="str">
            <v>Flying Dog Brewing Co</v>
          </cell>
          <cell r="H2089" t="str">
            <v>FX Matt</v>
          </cell>
          <cell r="K2089" t="str">
            <v>Draft</v>
          </cell>
          <cell r="L2089" t="str">
            <v>No</v>
          </cell>
        </row>
        <row r="2090">
          <cell r="G2090" t="str">
            <v>Flying Dog Brewing Co</v>
          </cell>
          <cell r="H2090" t="str">
            <v>FX Matt</v>
          </cell>
          <cell r="K2090" t="str">
            <v>Draft</v>
          </cell>
          <cell r="L2090" t="str">
            <v>No</v>
          </cell>
        </row>
        <row r="2091">
          <cell r="G2091" t="str">
            <v>Flying Dog Brewing Co</v>
          </cell>
          <cell r="H2091" t="str">
            <v>FX Matt</v>
          </cell>
          <cell r="K2091" t="str">
            <v>Draft</v>
          </cell>
          <cell r="L2091" t="str">
            <v>No</v>
          </cell>
        </row>
        <row r="2092">
          <cell r="G2092" t="str">
            <v>Flying Dog Brewing Co</v>
          </cell>
          <cell r="H2092" t="str">
            <v>FX Matt</v>
          </cell>
          <cell r="K2092" t="str">
            <v>Package</v>
          </cell>
          <cell r="L2092" t="str">
            <v>No</v>
          </cell>
        </row>
        <row r="2093">
          <cell r="G2093" t="str">
            <v>Flying Dog Brewing Co</v>
          </cell>
          <cell r="H2093" t="str">
            <v>FX Matt</v>
          </cell>
          <cell r="K2093" t="str">
            <v>Draft</v>
          </cell>
          <cell r="L2093" t="str">
            <v>No</v>
          </cell>
        </row>
        <row r="2094">
          <cell r="G2094" t="str">
            <v>Flying Dog Brewing Co</v>
          </cell>
          <cell r="H2094" t="str">
            <v>FX Matt</v>
          </cell>
          <cell r="K2094" t="str">
            <v>Draft</v>
          </cell>
          <cell r="L2094" t="str">
            <v>No</v>
          </cell>
        </row>
        <row r="2095">
          <cell r="G2095" t="str">
            <v>Flying Dog Brewing Co</v>
          </cell>
          <cell r="H2095" t="str">
            <v>FX Matt</v>
          </cell>
          <cell r="K2095" t="str">
            <v>Package</v>
          </cell>
          <cell r="L2095" t="str">
            <v>No</v>
          </cell>
        </row>
        <row r="2096">
          <cell r="G2096" t="str">
            <v>Flying Dog Brewing Co</v>
          </cell>
          <cell r="H2096" t="str">
            <v>FX Matt</v>
          </cell>
          <cell r="K2096" t="str">
            <v>Draft</v>
          </cell>
          <cell r="L2096" t="str">
            <v>No</v>
          </cell>
        </row>
        <row r="2097">
          <cell r="G2097" t="str">
            <v>Flying Dog Brewing Co</v>
          </cell>
          <cell r="H2097" t="str">
            <v>FX Matt</v>
          </cell>
          <cell r="K2097" t="str">
            <v>Package</v>
          </cell>
          <cell r="L2097" t="str">
            <v>No</v>
          </cell>
        </row>
        <row r="2098">
          <cell r="G2098" t="str">
            <v>Flying Dog Brewing Co</v>
          </cell>
          <cell r="H2098" t="str">
            <v>FX Matt</v>
          </cell>
          <cell r="K2098" t="str">
            <v>Package</v>
          </cell>
          <cell r="L2098" t="str">
            <v>No</v>
          </cell>
        </row>
        <row r="2099">
          <cell r="G2099" t="str">
            <v>Flying Dog Brewing Co</v>
          </cell>
          <cell r="H2099" t="str">
            <v>FX Matt</v>
          </cell>
          <cell r="K2099" t="str">
            <v>Package</v>
          </cell>
          <cell r="L2099" t="str">
            <v>Yes</v>
          </cell>
        </row>
        <row r="2100">
          <cell r="G2100" t="str">
            <v>Flying Dog Brewing Co</v>
          </cell>
          <cell r="H2100" t="str">
            <v>FX Matt</v>
          </cell>
          <cell r="K2100" t="str">
            <v>Package</v>
          </cell>
          <cell r="L2100" t="str">
            <v>Yes</v>
          </cell>
        </row>
        <row r="2101">
          <cell r="G2101" t="str">
            <v>Flying Dog Brewing Co</v>
          </cell>
          <cell r="H2101" t="str">
            <v>FX Matt</v>
          </cell>
          <cell r="K2101" t="str">
            <v>Draft</v>
          </cell>
          <cell r="L2101" t="str">
            <v>No</v>
          </cell>
        </row>
        <row r="2102">
          <cell r="G2102" t="str">
            <v>Flying Dog Brewing Co</v>
          </cell>
          <cell r="H2102" t="str">
            <v>FX Matt</v>
          </cell>
          <cell r="K2102" t="str">
            <v>Package</v>
          </cell>
          <cell r="L2102" t="str">
            <v>Yes</v>
          </cell>
        </row>
        <row r="2103">
          <cell r="G2103" t="str">
            <v>Flying Dog Brewing Co</v>
          </cell>
          <cell r="H2103" t="str">
            <v>FX Matt</v>
          </cell>
          <cell r="K2103" t="str">
            <v>Package</v>
          </cell>
          <cell r="L2103" t="str">
            <v>No</v>
          </cell>
        </row>
        <row r="2104">
          <cell r="G2104" t="str">
            <v>Flying Dog Brewing Co</v>
          </cell>
          <cell r="H2104" t="str">
            <v>FX Matt</v>
          </cell>
          <cell r="K2104" t="str">
            <v>Package</v>
          </cell>
          <cell r="L2104" t="str">
            <v>Yes</v>
          </cell>
        </row>
        <row r="2105">
          <cell r="G2105" t="str">
            <v>Flying Dog Brewing Co</v>
          </cell>
          <cell r="H2105" t="str">
            <v>FX Matt</v>
          </cell>
          <cell r="K2105" t="str">
            <v>Package</v>
          </cell>
          <cell r="L2105" t="str">
            <v>Yes</v>
          </cell>
        </row>
        <row r="2106">
          <cell r="G2106" t="str">
            <v>Flying Dog Brewing Co</v>
          </cell>
          <cell r="H2106" t="str">
            <v>FX Matt</v>
          </cell>
          <cell r="K2106" t="str">
            <v>Draft</v>
          </cell>
          <cell r="L2106" t="str">
            <v>Yes</v>
          </cell>
        </row>
        <row r="2107">
          <cell r="G2107" t="str">
            <v>Flying Dog Brewing Co</v>
          </cell>
          <cell r="H2107" t="str">
            <v>FX Matt</v>
          </cell>
          <cell r="K2107" t="str">
            <v>Package</v>
          </cell>
          <cell r="L2107" t="str">
            <v>Yes</v>
          </cell>
        </row>
        <row r="2108">
          <cell r="G2108" t="str">
            <v>Flying Dog Brewing Co</v>
          </cell>
          <cell r="H2108" t="str">
            <v>FX Matt</v>
          </cell>
          <cell r="K2108" t="str">
            <v>Package</v>
          </cell>
          <cell r="L2108" t="str">
            <v>Yes</v>
          </cell>
        </row>
        <row r="2109">
          <cell r="G2109" t="str">
            <v>Flying Dog Brewing Co</v>
          </cell>
          <cell r="H2109" t="str">
            <v>FX Matt</v>
          </cell>
          <cell r="K2109" t="str">
            <v>Package</v>
          </cell>
          <cell r="L2109" t="str">
            <v>Yes</v>
          </cell>
        </row>
        <row r="2110">
          <cell r="G2110" t="str">
            <v>Flying Dog Brewing Co</v>
          </cell>
          <cell r="H2110" t="str">
            <v>FX Matt</v>
          </cell>
          <cell r="K2110" t="str">
            <v>Package</v>
          </cell>
          <cell r="L2110" t="str">
            <v>Yes</v>
          </cell>
        </row>
        <row r="2111">
          <cell r="G2111" t="str">
            <v>Flying Dog Brewing Co</v>
          </cell>
          <cell r="H2111" t="str">
            <v>FX Matt</v>
          </cell>
          <cell r="K2111" t="str">
            <v>Package</v>
          </cell>
          <cell r="L2111" t="str">
            <v>Yes</v>
          </cell>
        </row>
        <row r="2112">
          <cell r="G2112" t="str">
            <v>Flying Dog Brewing Co</v>
          </cell>
          <cell r="H2112" t="str">
            <v>FX Matt</v>
          </cell>
          <cell r="K2112" t="str">
            <v>Package</v>
          </cell>
          <cell r="L2112" t="str">
            <v>Yes</v>
          </cell>
        </row>
        <row r="2113">
          <cell r="G2113" t="str">
            <v>Flying Dog Brewing Co</v>
          </cell>
          <cell r="H2113" t="str">
            <v>FX Matt</v>
          </cell>
          <cell r="K2113" t="str">
            <v>Package</v>
          </cell>
          <cell r="L2113" t="str">
            <v>Yes</v>
          </cell>
        </row>
        <row r="2114">
          <cell r="G2114" t="str">
            <v>Victory</v>
          </cell>
          <cell r="H2114" t="str">
            <v>Victory Brewing Company</v>
          </cell>
          <cell r="K2114" t="str">
            <v>Package</v>
          </cell>
          <cell r="L2114" t="str">
            <v>Yes</v>
          </cell>
        </row>
        <row r="2115">
          <cell r="G2115" t="str">
            <v>Victory</v>
          </cell>
          <cell r="H2115" t="str">
            <v>Victory Brewing Company</v>
          </cell>
          <cell r="K2115" t="str">
            <v>Draft</v>
          </cell>
          <cell r="L2115" t="str">
            <v>Yes</v>
          </cell>
        </row>
        <row r="2116">
          <cell r="G2116" t="str">
            <v>Monkey Family</v>
          </cell>
          <cell r="H2116" t="str">
            <v>Victory Brewing Company</v>
          </cell>
          <cell r="K2116" t="str">
            <v>Package</v>
          </cell>
          <cell r="L2116" t="str">
            <v>Yes</v>
          </cell>
        </row>
        <row r="2117">
          <cell r="G2117" t="str">
            <v>Victory</v>
          </cell>
          <cell r="H2117" t="str">
            <v>Victory Brewing Company</v>
          </cell>
          <cell r="K2117" t="str">
            <v>Draft</v>
          </cell>
          <cell r="L2117" t="str">
            <v>No</v>
          </cell>
        </row>
        <row r="2118">
          <cell r="G2118" t="str">
            <v>Victory</v>
          </cell>
          <cell r="H2118" t="str">
            <v>Victory Brewing Company</v>
          </cell>
          <cell r="K2118" t="str">
            <v>Package</v>
          </cell>
          <cell r="L2118" t="str">
            <v>No</v>
          </cell>
        </row>
        <row r="2119">
          <cell r="G2119" t="str">
            <v>Victory</v>
          </cell>
          <cell r="H2119" t="str">
            <v>Victory Brewing Company</v>
          </cell>
          <cell r="K2119" t="str">
            <v>Package</v>
          </cell>
          <cell r="L2119" t="str">
            <v>No</v>
          </cell>
        </row>
        <row r="2120">
          <cell r="G2120" t="str">
            <v>Victory</v>
          </cell>
          <cell r="H2120" t="str">
            <v>Victory Brewing Company</v>
          </cell>
          <cell r="K2120" t="str">
            <v>Package</v>
          </cell>
          <cell r="L2120" t="str">
            <v>No</v>
          </cell>
        </row>
        <row r="2121">
          <cell r="G2121" t="str">
            <v>Victory</v>
          </cell>
          <cell r="H2121" t="str">
            <v>Victory Brewing Company</v>
          </cell>
          <cell r="K2121" t="str">
            <v>Package</v>
          </cell>
          <cell r="L2121" t="str">
            <v>No</v>
          </cell>
        </row>
        <row r="2122">
          <cell r="G2122" t="str">
            <v>Monkey Family</v>
          </cell>
          <cell r="H2122" t="str">
            <v>Victory Brewing Company</v>
          </cell>
          <cell r="K2122" t="str">
            <v>Package</v>
          </cell>
          <cell r="L2122" t="str">
            <v>No</v>
          </cell>
        </row>
        <row r="2123">
          <cell r="G2123" t="str">
            <v>Monkey Family</v>
          </cell>
          <cell r="H2123" t="str">
            <v>Victory Brewing Company</v>
          </cell>
          <cell r="K2123" t="str">
            <v>Draft</v>
          </cell>
          <cell r="L2123" t="str">
            <v>No</v>
          </cell>
        </row>
        <row r="2124">
          <cell r="G2124" t="str">
            <v>Victory</v>
          </cell>
          <cell r="H2124" t="str">
            <v>Victory Brewing Company</v>
          </cell>
          <cell r="K2124" t="str">
            <v>Package</v>
          </cell>
          <cell r="L2124" t="str">
            <v>No</v>
          </cell>
        </row>
        <row r="2125">
          <cell r="G2125" t="str">
            <v>Victory</v>
          </cell>
          <cell r="H2125" t="str">
            <v>Victory Brewing Company</v>
          </cell>
          <cell r="K2125" t="str">
            <v>Package</v>
          </cell>
          <cell r="L2125" t="str">
            <v>No</v>
          </cell>
        </row>
        <row r="2126">
          <cell r="G2126" t="str">
            <v>Victory</v>
          </cell>
          <cell r="H2126" t="str">
            <v>Victory Brewing Company</v>
          </cell>
          <cell r="K2126" t="str">
            <v>Draft</v>
          </cell>
          <cell r="L2126" t="str">
            <v>No</v>
          </cell>
        </row>
        <row r="2127">
          <cell r="G2127" t="str">
            <v>Victory</v>
          </cell>
          <cell r="H2127" t="str">
            <v>Victory Brewing Company</v>
          </cell>
          <cell r="K2127" t="str">
            <v>Package</v>
          </cell>
          <cell r="L2127" t="str">
            <v>No</v>
          </cell>
        </row>
        <row r="2128">
          <cell r="G2128" t="str">
            <v>Victory</v>
          </cell>
          <cell r="H2128" t="str">
            <v>Victory Brewing Company</v>
          </cell>
          <cell r="K2128" t="str">
            <v>Draft</v>
          </cell>
          <cell r="L2128" t="str">
            <v>No</v>
          </cell>
        </row>
        <row r="2129">
          <cell r="G2129" t="str">
            <v>Victory</v>
          </cell>
          <cell r="H2129" t="str">
            <v>Victory Brewing Company</v>
          </cell>
          <cell r="K2129" t="str">
            <v>Draft</v>
          </cell>
          <cell r="L2129" t="str">
            <v>No</v>
          </cell>
        </row>
        <row r="2130">
          <cell r="G2130" t="str">
            <v>Victory</v>
          </cell>
          <cell r="H2130" t="str">
            <v>Victory Brewing Company</v>
          </cell>
          <cell r="K2130" t="str">
            <v>Package</v>
          </cell>
          <cell r="L2130" t="str">
            <v>No</v>
          </cell>
        </row>
        <row r="2131">
          <cell r="G2131" t="str">
            <v>Victory</v>
          </cell>
          <cell r="H2131" t="str">
            <v>Victory Brewing Company</v>
          </cell>
          <cell r="K2131" t="str">
            <v>Draft</v>
          </cell>
          <cell r="L2131" t="str">
            <v>No</v>
          </cell>
        </row>
        <row r="2132">
          <cell r="G2132" t="str">
            <v>Victory</v>
          </cell>
          <cell r="H2132" t="str">
            <v>Victory Brewing Company</v>
          </cell>
          <cell r="K2132" t="str">
            <v>Draft</v>
          </cell>
          <cell r="L2132" t="str">
            <v>No</v>
          </cell>
        </row>
        <row r="2133">
          <cell r="G2133" t="str">
            <v>Victory</v>
          </cell>
          <cell r="H2133" t="str">
            <v>Victory Brewing Company</v>
          </cell>
          <cell r="K2133" t="str">
            <v>Package</v>
          </cell>
          <cell r="L2133" t="str">
            <v>No</v>
          </cell>
        </row>
        <row r="2134">
          <cell r="G2134" t="str">
            <v>Victory</v>
          </cell>
          <cell r="H2134" t="str">
            <v>Victory Brewing Company</v>
          </cell>
          <cell r="K2134" t="str">
            <v>Draft</v>
          </cell>
          <cell r="L2134" t="str">
            <v>No</v>
          </cell>
        </row>
        <row r="2135">
          <cell r="G2135" t="str">
            <v>Victory</v>
          </cell>
          <cell r="H2135" t="str">
            <v>Victory Brewing Company</v>
          </cell>
          <cell r="K2135" t="str">
            <v>Draft</v>
          </cell>
          <cell r="L2135" t="str">
            <v>No</v>
          </cell>
        </row>
        <row r="2136">
          <cell r="G2136" t="str">
            <v>Victory</v>
          </cell>
          <cell r="H2136" t="str">
            <v>Victory Brewing Company</v>
          </cell>
          <cell r="K2136" t="str">
            <v>Package</v>
          </cell>
          <cell r="L2136" t="str">
            <v>No</v>
          </cell>
        </row>
        <row r="2137">
          <cell r="G2137" t="str">
            <v>Victory</v>
          </cell>
          <cell r="H2137" t="str">
            <v>Victory Brewing Company</v>
          </cell>
          <cell r="K2137" t="str">
            <v>Draft</v>
          </cell>
          <cell r="L2137" t="str">
            <v>No</v>
          </cell>
        </row>
        <row r="2138">
          <cell r="G2138" t="str">
            <v>Monkey Family</v>
          </cell>
          <cell r="H2138" t="str">
            <v>Victory Brewing Company</v>
          </cell>
          <cell r="K2138" t="str">
            <v>Draft</v>
          </cell>
          <cell r="L2138" t="str">
            <v>No</v>
          </cell>
        </row>
        <row r="2139">
          <cell r="G2139" t="str">
            <v>Victory</v>
          </cell>
          <cell r="H2139" t="str">
            <v>Victory Brewing Company</v>
          </cell>
          <cell r="K2139" t="str">
            <v>Package</v>
          </cell>
          <cell r="L2139" t="str">
            <v>No</v>
          </cell>
        </row>
        <row r="2140">
          <cell r="G2140" t="str">
            <v>Victory</v>
          </cell>
          <cell r="H2140" t="str">
            <v>Victory Brewing Company</v>
          </cell>
          <cell r="K2140" t="str">
            <v>Draft</v>
          </cell>
          <cell r="L2140" t="str">
            <v>Yes</v>
          </cell>
        </row>
        <row r="2141">
          <cell r="G2141" t="str">
            <v>Victory</v>
          </cell>
          <cell r="H2141" t="str">
            <v>Victory Brewing Company</v>
          </cell>
          <cell r="K2141" t="str">
            <v>Draft</v>
          </cell>
          <cell r="L2141" t="str">
            <v>Yes</v>
          </cell>
        </row>
        <row r="2142">
          <cell r="G2142" t="str">
            <v>Victory</v>
          </cell>
          <cell r="H2142" t="str">
            <v>Victory Brewing Company</v>
          </cell>
          <cell r="K2142" t="str">
            <v>Package</v>
          </cell>
          <cell r="L2142" t="str">
            <v>No</v>
          </cell>
        </row>
        <row r="2143">
          <cell r="G2143" t="str">
            <v>Victory</v>
          </cell>
          <cell r="H2143" t="str">
            <v>Victory Brewing Company</v>
          </cell>
          <cell r="K2143" t="str">
            <v>Draft</v>
          </cell>
          <cell r="L2143" t="str">
            <v>No</v>
          </cell>
        </row>
        <row r="2144">
          <cell r="G2144" t="str">
            <v>Victory</v>
          </cell>
          <cell r="H2144" t="str">
            <v>Victory Brewing Company</v>
          </cell>
          <cell r="K2144" t="str">
            <v>Draft</v>
          </cell>
          <cell r="L2144" t="str">
            <v>No</v>
          </cell>
        </row>
        <row r="2145">
          <cell r="G2145" t="str">
            <v>Victory</v>
          </cell>
          <cell r="H2145" t="str">
            <v>Victory Brewing Company</v>
          </cell>
          <cell r="K2145" t="str">
            <v>Package</v>
          </cell>
          <cell r="L2145" t="str">
            <v>No</v>
          </cell>
        </row>
        <row r="2146">
          <cell r="G2146" t="str">
            <v>Monkey Family</v>
          </cell>
          <cell r="H2146" t="str">
            <v>Victory Brewing Company</v>
          </cell>
          <cell r="K2146" t="str">
            <v>Package</v>
          </cell>
          <cell r="L2146" t="str">
            <v>No</v>
          </cell>
        </row>
        <row r="2147">
          <cell r="G2147" t="str">
            <v>Monkey Family</v>
          </cell>
          <cell r="H2147" t="str">
            <v>Victory Brewing Company</v>
          </cell>
          <cell r="K2147" t="str">
            <v>Draft</v>
          </cell>
          <cell r="L2147" t="str">
            <v>Yes</v>
          </cell>
        </row>
        <row r="2148">
          <cell r="G2148" t="str">
            <v>Monkey Family</v>
          </cell>
          <cell r="H2148" t="str">
            <v>Victory Brewing Company</v>
          </cell>
          <cell r="K2148" t="str">
            <v>Draft</v>
          </cell>
          <cell r="L2148" t="str">
            <v>Yes</v>
          </cell>
        </row>
        <row r="2149">
          <cell r="G2149" t="str">
            <v>Victory</v>
          </cell>
          <cell r="H2149" t="str">
            <v>Victory Brewing Company</v>
          </cell>
          <cell r="K2149" t="str">
            <v>Package</v>
          </cell>
          <cell r="L2149" t="str">
            <v>Yes</v>
          </cell>
        </row>
        <row r="2150">
          <cell r="G2150" t="str">
            <v>Victory</v>
          </cell>
          <cell r="H2150" t="str">
            <v>Victory Brewing Company</v>
          </cell>
          <cell r="K2150" t="str">
            <v>Package</v>
          </cell>
          <cell r="L2150" t="str">
            <v>No</v>
          </cell>
        </row>
        <row r="2151">
          <cell r="G2151" t="str">
            <v>Victory</v>
          </cell>
          <cell r="H2151" t="str">
            <v>Victory Brewing Company</v>
          </cell>
          <cell r="K2151" t="str">
            <v>Draft</v>
          </cell>
          <cell r="L2151" t="str">
            <v>No</v>
          </cell>
        </row>
        <row r="2152">
          <cell r="G2152" t="str">
            <v>Victory</v>
          </cell>
          <cell r="H2152" t="str">
            <v>Victory Brewing Company</v>
          </cell>
          <cell r="K2152" t="str">
            <v>Draft</v>
          </cell>
          <cell r="L2152" t="str">
            <v>No</v>
          </cell>
        </row>
        <row r="2153">
          <cell r="G2153" t="str">
            <v>Monkey Family</v>
          </cell>
          <cell r="H2153" t="str">
            <v>Victory Brewing Company</v>
          </cell>
          <cell r="K2153" t="str">
            <v>Package</v>
          </cell>
          <cell r="L2153" t="str">
            <v>Yes</v>
          </cell>
        </row>
        <row r="2154">
          <cell r="G2154" t="str">
            <v>Victory</v>
          </cell>
          <cell r="H2154" t="str">
            <v>Victory Brewing Company</v>
          </cell>
          <cell r="K2154" t="str">
            <v>Draft</v>
          </cell>
          <cell r="L2154" t="str">
            <v>No</v>
          </cell>
        </row>
        <row r="2155">
          <cell r="G2155" t="str">
            <v>Victory</v>
          </cell>
          <cell r="H2155" t="str">
            <v>Victory Brewing Company</v>
          </cell>
          <cell r="K2155" t="str">
            <v>Package</v>
          </cell>
          <cell r="L2155" t="str">
            <v>No</v>
          </cell>
        </row>
        <row r="2156">
          <cell r="G2156" t="str">
            <v>Victory</v>
          </cell>
          <cell r="H2156" t="str">
            <v>Victory Brewing Company</v>
          </cell>
          <cell r="K2156" t="str">
            <v>Draft</v>
          </cell>
          <cell r="L2156" t="str">
            <v>No</v>
          </cell>
        </row>
        <row r="2157">
          <cell r="G2157" t="str">
            <v>Victory</v>
          </cell>
          <cell r="H2157" t="str">
            <v>Victory Brewing Company</v>
          </cell>
          <cell r="K2157" t="str">
            <v>Package</v>
          </cell>
          <cell r="L2157" t="str">
            <v>No</v>
          </cell>
        </row>
        <row r="2158">
          <cell r="G2158" t="str">
            <v>Victory</v>
          </cell>
          <cell r="H2158" t="str">
            <v>Victory Brewing Company</v>
          </cell>
          <cell r="K2158" t="str">
            <v>Package</v>
          </cell>
          <cell r="L2158" t="str">
            <v>No</v>
          </cell>
        </row>
        <row r="2159">
          <cell r="G2159" t="str">
            <v>Victory</v>
          </cell>
          <cell r="H2159" t="str">
            <v>Victory Brewing Company</v>
          </cell>
          <cell r="K2159" t="str">
            <v>Draft</v>
          </cell>
          <cell r="L2159" t="str">
            <v>No</v>
          </cell>
        </row>
        <row r="2160">
          <cell r="G2160" t="str">
            <v>Victory</v>
          </cell>
          <cell r="H2160" t="str">
            <v>Victory Brewing Company</v>
          </cell>
          <cell r="K2160" t="str">
            <v>Draft</v>
          </cell>
          <cell r="L2160" t="str">
            <v>No</v>
          </cell>
        </row>
        <row r="2161">
          <cell r="G2161" t="str">
            <v>Victory</v>
          </cell>
          <cell r="H2161" t="str">
            <v>Victory Brewing Company</v>
          </cell>
          <cell r="K2161" t="str">
            <v>Package</v>
          </cell>
          <cell r="L2161" t="str">
            <v>No</v>
          </cell>
        </row>
        <row r="2162">
          <cell r="G2162" t="str">
            <v>Victory</v>
          </cell>
          <cell r="H2162" t="str">
            <v>Victory Brewing Company</v>
          </cell>
          <cell r="K2162" t="str">
            <v>Package</v>
          </cell>
          <cell r="L2162" t="str">
            <v>No</v>
          </cell>
        </row>
        <row r="2163">
          <cell r="G2163" t="str">
            <v>Victory</v>
          </cell>
          <cell r="H2163" t="str">
            <v>Victory Brewing Company</v>
          </cell>
          <cell r="K2163" t="str">
            <v>Package</v>
          </cell>
          <cell r="L2163" t="str">
            <v>No</v>
          </cell>
        </row>
        <row r="2164">
          <cell r="G2164" t="str">
            <v>Victory</v>
          </cell>
          <cell r="H2164" t="str">
            <v>Victory Brewing Company</v>
          </cell>
          <cell r="K2164" t="str">
            <v>Draft</v>
          </cell>
          <cell r="L2164" t="str">
            <v>No</v>
          </cell>
        </row>
        <row r="2165">
          <cell r="G2165" t="str">
            <v>Victory</v>
          </cell>
          <cell r="H2165" t="str">
            <v>Victory Brewing Company</v>
          </cell>
          <cell r="K2165" t="str">
            <v>Draft</v>
          </cell>
          <cell r="L2165" t="str">
            <v>No</v>
          </cell>
        </row>
        <row r="2166">
          <cell r="G2166" t="str">
            <v>Victory</v>
          </cell>
          <cell r="H2166" t="str">
            <v>Victory Brewing Company</v>
          </cell>
          <cell r="K2166" t="str">
            <v>Package</v>
          </cell>
          <cell r="L2166" t="str">
            <v>No</v>
          </cell>
        </row>
        <row r="2167">
          <cell r="G2167" t="str">
            <v>Monkey Family</v>
          </cell>
          <cell r="H2167" t="str">
            <v>Victory Brewing Company</v>
          </cell>
          <cell r="K2167" t="str">
            <v>Package</v>
          </cell>
          <cell r="L2167" t="str">
            <v>Yes</v>
          </cell>
        </row>
        <row r="2168">
          <cell r="G2168" t="str">
            <v>Monkey Family</v>
          </cell>
          <cell r="H2168" t="str">
            <v>Victory Brewing Company</v>
          </cell>
          <cell r="K2168" t="str">
            <v>Draft</v>
          </cell>
          <cell r="L2168" t="str">
            <v>No</v>
          </cell>
        </row>
        <row r="2169">
          <cell r="G2169" t="str">
            <v>Monkey Family</v>
          </cell>
          <cell r="H2169" t="str">
            <v>Victory Brewing Company</v>
          </cell>
          <cell r="K2169" t="str">
            <v>Package</v>
          </cell>
          <cell r="L2169" t="str">
            <v>Yes</v>
          </cell>
        </row>
        <row r="2170">
          <cell r="G2170" t="str">
            <v>Monkey Family</v>
          </cell>
          <cell r="H2170" t="str">
            <v>Victory Brewing Company</v>
          </cell>
          <cell r="K2170" t="str">
            <v>Draft</v>
          </cell>
          <cell r="L2170" t="str">
            <v>Yes</v>
          </cell>
        </row>
        <row r="2171">
          <cell r="G2171" t="str">
            <v>Victory</v>
          </cell>
          <cell r="H2171" t="str">
            <v>Victory Brewing Company</v>
          </cell>
          <cell r="K2171" t="str">
            <v>Package</v>
          </cell>
          <cell r="L2171" t="str">
            <v>No</v>
          </cell>
        </row>
        <row r="2172">
          <cell r="G2172" t="str">
            <v>Monkey Family</v>
          </cell>
          <cell r="H2172" t="str">
            <v>Victory Brewing Company</v>
          </cell>
          <cell r="K2172" t="str">
            <v>Package</v>
          </cell>
          <cell r="L2172" t="str">
            <v>No</v>
          </cell>
        </row>
        <row r="2173">
          <cell r="G2173" t="str">
            <v>Victory</v>
          </cell>
          <cell r="H2173" t="str">
            <v>Victory Brewing Company</v>
          </cell>
          <cell r="K2173" t="str">
            <v>Package</v>
          </cell>
          <cell r="L2173" t="str">
            <v>No</v>
          </cell>
        </row>
        <row r="2174">
          <cell r="G2174" t="str">
            <v>Victory</v>
          </cell>
          <cell r="H2174" t="str">
            <v>Victory Brewing Company</v>
          </cell>
          <cell r="K2174" t="str">
            <v>Package</v>
          </cell>
          <cell r="L2174" t="str">
            <v>No</v>
          </cell>
        </row>
        <row r="2175">
          <cell r="G2175" t="str">
            <v>Victory</v>
          </cell>
          <cell r="H2175" t="str">
            <v>Victory Brewing Company</v>
          </cell>
          <cell r="K2175" t="str">
            <v>Package</v>
          </cell>
          <cell r="L2175" t="str">
            <v>No</v>
          </cell>
        </row>
        <row r="2176">
          <cell r="G2176" t="str">
            <v>Victory</v>
          </cell>
          <cell r="H2176" t="str">
            <v>Victory Brewing Company</v>
          </cell>
          <cell r="K2176" t="str">
            <v>Draft</v>
          </cell>
          <cell r="L2176" t="str">
            <v>No</v>
          </cell>
        </row>
        <row r="2177">
          <cell r="G2177" t="str">
            <v>Victory</v>
          </cell>
          <cell r="H2177" t="str">
            <v>Victory Brewing Company</v>
          </cell>
          <cell r="K2177" t="str">
            <v>Draft</v>
          </cell>
          <cell r="L2177" t="str">
            <v>No</v>
          </cell>
        </row>
        <row r="2178">
          <cell r="G2178" t="str">
            <v>Victory</v>
          </cell>
          <cell r="H2178" t="str">
            <v>Victory Brewing Company</v>
          </cell>
          <cell r="K2178" t="str">
            <v>Package</v>
          </cell>
          <cell r="L2178" t="str">
            <v>No</v>
          </cell>
        </row>
        <row r="2179">
          <cell r="G2179" t="str">
            <v>Victory</v>
          </cell>
          <cell r="H2179" t="str">
            <v>Victory Brewing Company</v>
          </cell>
          <cell r="K2179" t="str">
            <v>Draft</v>
          </cell>
          <cell r="L2179" t="str">
            <v>No</v>
          </cell>
        </row>
        <row r="2180">
          <cell r="G2180" t="str">
            <v>Victory</v>
          </cell>
          <cell r="H2180" t="str">
            <v>Victory Brewing Company</v>
          </cell>
          <cell r="K2180" t="str">
            <v>Draft</v>
          </cell>
          <cell r="L2180" t="str">
            <v>No</v>
          </cell>
        </row>
        <row r="2181">
          <cell r="G2181" t="str">
            <v>Victory</v>
          </cell>
          <cell r="H2181" t="str">
            <v>Victory Brewing Company</v>
          </cell>
          <cell r="K2181" t="str">
            <v>Package</v>
          </cell>
          <cell r="L2181" t="str">
            <v>No</v>
          </cell>
        </row>
        <row r="2182">
          <cell r="G2182" t="str">
            <v>Southern Tier</v>
          </cell>
          <cell r="H2182" t="str">
            <v>Southern Tier Brewing Company</v>
          </cell>
          <cell r="K2182" t="str">
            <v>Package</v>
          </cell>
          <cell r="L2182" t="str">
            <v>No</v>
          </cell>
        </row>
        <row r="2183">
          <cell r="G2183" t="str">
            <v>Southern Tier</v>
          </cell>
          <cell r="H2183" t="str">
            <v>Southern Tier Brewing Company</v>
          </cell>
          <cell r="K2183" t="str">
            <v>Draft</v>
          </cell>
          <cell r="L2183" t="str">
            <v>No</v>
          </cell>
        </row>
        <row r="2184">
          <cell r="G2184" t="str">
            <v>Southern Tier</v>
          </cell>
          <cell r="H2184" t="str">
            <v>Southern Tier Brewing Company</v>
          </cell>
          <cell r="K2184" t="str">
            <v>Draft</v>
          </cell>
          <cell r="L2184" t="str">
            <v>No</v>
          </cell>
        </row>
        <row r="2185">
          <cell r="G2185" t="str">
            <v>Southern Tier</v>
          </cell>
          <cell r="H2185" t="str">
            <v>Southern Tier Brewing Company</v>
          </cell>
          <cell r="K2185" t="str">
            <v>Package</v>
          </cell>
          <cell r="L2185" t="str">
            <v>No</v>
          </cell>
        </row>
        <row r="2186">
          <cell r="G2186" t="str">
            <v>Southern Tier</v>
          </cell>
          <cell r="H2186" t="str">
            <v>Southern Tier Brewing Company</v>
          </cell>
          <cell r="K2186" t="str">
            <v>Draft</v>
          </cell>
          <cell r="L2186" t="str">
            <v>No</v>
          </cell>
        </row>
        <row r="2187">
          <cell r="G2187" t="str">
            <v>Southern Tier</v>
          </cell>
          <cell r="H2187" t="str">
            <v>Southern Tier Brewing Company</v>
          </cell>
          <cell r="K2187" t="str">
            <v>Draft</v>
          </cell>
          <cell r="L2187" t="str">
            <v>No</v>
          </cell>
        </row>
        <row r="2188">
          <cell r="G2188" t="str">
            <v>Southern Tier</v>
          </cell>
          <cell r="H2188" t="str">
            <v>Southern Tier Brewing Company</v>
          </cell>
          <cell r="K2188" t="str">
            <v>Package</v>
          </cell>
          <cell r="L2188" t="str">
            <v>No</v>
          </cell>
        </row>
        <row r="2189">
          <cell r="G2189" t="str">
            <v>Southern Tier</v>
          </cell>
          <cell r="H2189" t="str">
            <v>Southern Tier Brewing Company</v>
          </cell>
          <cell r="K2189" t="str">
            <v>Draft</v>
          </cell>
          <cell r="L2189" t="str">
            <v>No</v>
          </cell>
        </row>
        <row r="2190">
          <cell r="G2190" t="str">
            <v>Southern Tier</v>
          </cell>
          <cell r="H2190" t="str">
            <v>Southern Tier Brewing Company</v>
          </cell>
          <cell r="K2190" t="str">
            <v>Draft</v>
          </cell>
          <cell r="L2190" t="str">
            <v>No</v>
          </cell>
        </row>
        <row r="2191">
          <cell r="G2191" t="str">
            <v>Southern Tier</v>
          </cell>
          <cell r="H2191" t="str">
            <v>Southern Tier Brewing Company</v>
          </cell>
          <cell r="K2191" t="str">
            <v>Package</v>
          </cell>
          <cell r="L2191" t="str">
            <v>No</v>
          </cell>
        </row>
        <row r="2192">
          <cell r="G2192" t="str">
            <v>Southern Tier</v>
          </cell>
          <cell r="H2192" t="str">
            <v>Southern Tier Brewing Company</v>
          </cell>
          <cell r="K2192" t="str">
            <v>Draft</v>
          </cell>
          <cell r="L2192" t="str">
            <v>No</v>
          </cell>
        </row>
        <row r="2193">
          <cell r="G2193" t="str">
            <v>Southern Tier</v>
          </cell>
          <cell r="H2193" t="str">
            <v>Southern Tier Brewing Company</v>
          </cell>
          <cell r="K2193" t="str">
            <v>Package</v>
          </cell>
          <cell r="L2193" t="str">
            <v>No</v>
          </cell>
        </row>
        <row r="2194">
          <cell r="G2194" t="str">
            <v>Southern Tier</v>
          </cell>
          <cell r="H2194" t="str">
            <v>Southern Tier Brewing Company</v>
          </cell>
          <cell r="K2194" t="str">
            <v>Draft</v>
          </cell>
          <cell r="L2194" t="str">
            <v>No</v>
          </cell>
        </row>
        <row r="2195">
          <cell r="G2195" t="str">
            <v>Southern Tier</v>
          </cell>
          <cell r="H2195" t="str">
            <v>Southern Tier Brewing Company</v>
          </cell>
          <cell r="K2195" t="str">
            <v>Draft</v>
          </cell>
          <cell r="L2195" t="str">
            <v>No</v>
          </cell>
        </row>
        <row r="2196">
          <cell r="G2196" t="str">
            <v>Southern Tier</v>
          </cell>
          <cell r="H2196" t="str">
            <v>Southern Tier Brewing Company</v>
          </cell>
          <cell r="K2196" t="str">
            <v>Package</v>
          </cell>
          <cell r="L2196" t="str">
            <v>No</v>
          </cell>
        </row>
        <row r="2197">
          <cell r="G2197" t="str">
            <v>Southern Tier</v>
          </cell>
          <cell r="H2197" t="str">
            <v>Southern Tier Brewing Company</v>
          </cell>
          <cell r="K2197" t="str">
            <v>Draft</v>
          </cell>
          <cell r="L2197" t="str">
            <v>No</v>
          </cell>
        </row>
        <row r="2198">
          <cell r="G2198" t="str">
            <v>Southern Tier</v>
          </cell>
          <cell r="H2198" t="str">
            <v>Southern Tier Brewing Company</v>
          </cell>
          <cell r="K2198" t="str">
            <v>Package</v>
          </cell>
          <cell r="L2198" t="str">
            <v>No</v>
          </cell>
        </row>
        <row r="2199">
          <cell r="G2199" t="str">
            <v>Southern Tier</v>
          </cell>
          <cell r="H2199" t="str">
            <v>Southern Tier Brewing Company</v>
          </cell>
          <cell r="K2199" t="str">
            <v>Package</v>
          </cell>
          <cell r="L2199" t="str">
            <v>No</v>
          </cell>
        </row>
        <row r="2200">
          <cell r="G2200" t="str">
            <v>Southern Tier</v>
          </cell>
          <cell r="H2200" t="str">
            <v>Southern Tier Brewing Company</v>
          </cell>
          <cell r="K2200" t="str">
            <v>Package</v>
          </cell>
          <cell r="L2200" t="str">
            <v>Yes</v>
          </cell>
        </row>
        <row r="2201">
          <cell r="G2201" t="str">
            <v>Southern Tier</v>
          </cell>
          <cell r="H2201" t="str">
            <v>Southern Tier Brewing Company</v>
          </cell>
          <cell r="K2201" t="str">
            <v>Draft</v>
          </cell>
          <cell r="L2201" t="str">
            <v>No</v>
          </cell>
        </row>
        <row r="2202">
          <cell r="G2202" t="str">
            <v>Southern Tier</v>
          </cell>
          <cell r="H2202" t="str">
            <v>Southern Tier Brewing Company</v>
          </cell>
          <cell r="K2202" t="str">
            <v>Draft</v>
          </cell>
          <cell r="L2202" t="str">
            <v>No</v>
          </cell>
        </row>
        <row r="2203">
          <cell r="G2203" t="str">
            <v>Southern Tier</v>
          </cell>
          <cell r="H2203" t="str">
            <v>Southern Tier Brewing Company</v>
          </cell>
          <cell r="K2203" t="str">
            <v>Package</v>
          </cell>
          <cell r="L2203" t="str">
            <v>No</v>
          </cell>
        </row>
        <row r="2204">
          <cell r="G2204" t="str">
            <v>Southern Tier</v>
          </cell>
          <cell r="H2204" t="str">
            <v>Southern Tier Brewing Company</v>
          </cell>
          <cell r="K2204" t="str">
            <v>Package</v>
          </cell>
          <cell r="L2204" t="str">
            <v>No</v>
          </cell>
        </row>
        <row r="2205">
          <cell r="G2205" t="str">
            <v>Southern Tier</v>
          </cell>
          <cell r="H2205" t="str">
            <v>Southern Tier Brewing Company</v>
          </cell>
          <cell r="K2205" t="str">
            <v>Package</v>
          </cell>
          <cell r="L2205" t="str">
            <v>No</v>
          </cell>
        </row>
        <row r="2206">
          <cell r="G2206" t="str">
            <v>Southern Tier</v>
          </cell>
          <cell r="H2206" t="str">
            <v>Southern Tier Brewing Company</v>
          </cell>
          <cell r="K2206" t="str">
            <v>Draft</v>
          </cell>
          <cell r="L2206" t="str">
            <v>No</v>
          </cell>
        </row>
        <row r="2207">
          <cell r="G2207" t="str">
            <v>Southern Tier</v>
          </cell>
          <cell r="H2207" t="str">
            <v>Southern Tier Brewing Company</v>
          </cell>
          <cell r="K2207" t="str">
            <v>Package</v>
          </cell>
          <cell r="L2207" t="str">
            <v>No</v>
          </cell>
        </row>
        <row r="2208">
          <cell r="G2208" t="str">
            <v>Southern Tier</v>
          </cell>
          <cell r="H2208" t="str">
            <v>Southern Tier Brewing Company</v>
          </cell>
          <cell r="K2208" t="str">
            <v>Draft</v>
          </cell>
          <cell r="L2208" t="str">
            <v>No</v>
          </cell>
        </row>
        <row r="2209">
          <cell r="G2209" t="str">
            <v>Victory</v>
          </cell>
          <cell r="H2209" t="str">
            <v>Victory Brewing Company</v>
          </cell>
          <cell r="K2209" t="str">
            <v>Package</v>
          </cell>
          <cell r="L2209" t="str">
            <v>No</v>
          </cell>
        </row>
        <row r="2210">
          <cell r="G2210" t="str">
            <v>Southern Tier</v>
          </cell>
          <cell r="H2210" t="str">
            <v>Southern Tier Brewing Company</v>
          </cell>
          <cell r="K2210" t="str">
            <v>Package</v>
          </cell>
          <cell r="L2210" t="str">
            <v>No</v>
          </cell>
        </row>
        <row r="2211">
          <cell r="G2211" t="str">
            <v>Southern Tier</v>
          </cell>
          <cell r="H2211" t="str">
            <v>Southern Tier Brewing Company</v>
          </cell>
          <cell r="K2211" t="str">
            <v>Draft</v>
          </cell>
          <cell r="L2211" t="str">
            <v>No</v>
          </cell>
        </row>
        <row r="2212">
          <cell r="G2212" t="str">
            <v>Southern Tier</v>
          </cell>
          <cell r="H2212" t="str">
            <v>Southern Tier Brewing Company</v>
          </cell>
          <cell r="K2212" t="str">
            <v>Draft</v>
          </cell>
          <cell r="L2212" t="str">
            <v>No</v>
          </cell>
        </row>
        <row r="2213">
          <cell r="G2213" t="str">
            <v>Southern Tier</v>
          </cell>
          <cell r="H2213" t="str">
            <v>Southern Tier Brewing Company</v>
          </cell>
          <cell r="K2213" t="str">
            <v>Package</v>
          </cell>
          <cell r="L2213" t="str">
            <v>No</v>
          </cell>
        </row>
        <row r="2214">
          <cell r="G2214" t="str">
            <v>Southern Tier</v>
          </cell>
          <cell r="H2214" t="str">
            <v>Southern Tier Brewing Company</v>
          </cell>
          <cell r="K2214" t="str">
            <v>Draft</v>
          </cell>
          <cell r="L2214" t="str">
            <v>No</v>
          </cell>
        </row>
        <row r="2215">
          <cell r="G2215" t="str">
            <v>Monkey Family</v>
          </cell>
          <cell r="H2215" t="str">
            <v>Victory Brewing Company</v>
          </cell>
          <cell r="K2215" t="str">
            <v>Package</v>
          </cell>
          <cell r="L2215" t="str">
            <v>Yes</v>
          </cell>
        </row>
        <row r="2216">
          <cell r="G2216" t="str">
            <v>Victory</v>
          </cell>
          <cell r="H2216" t="str">
            <v>Victory Brewing Company</v>
          </cell>
          <cell r="K2216" t="str">
            <v>Draft</v>
          </cell>
          <cell r="L2216" t="str">
            <v>No</v>
          </cell>
        </row>
        <row r="2217">
          <cell r="G2217" t="str">
            <v>Southern Tier</v>
          </cell>
          <cell r="H2217" t="str">
            <v>Southern Tier Brewing Company</v>
          </cell>
          <cell r="K2217" t="str">
            <v>Package</v>
          </cell>
          <cell r="L2217" t="str">
            <v>No</v>
          </cell>
        </row>
        <row r="2218">
          <cell r="G2218" t="str">
            <v>Southern Tier</v>
          </cell>
          <cell r="H2218" t="str">
            <v>Southern Tier Brewing Company</v>
          </cell>
          <cell r="K2218" t="str">
            <v>Package</v>
          </cell>
          <cell r="L2218" t="str">
            <v>Yes</v>
          </cell>
        </row>
        <row r="2219">
          <cell r="G2219" t="str">
            <v>Victory</v>
          </cell>
          <cell r="H2219" t="str">
            <v>Victory Brewing Company</v>
          </cell>
          <cell r="K2219" t="str">
            <v>Package</v>
          </cell>
          <cell r="L2219" t="str">
            <v>No</v>
          </cell>
        </row>
        <row r="2220">
          <cell r="G2220" t="str">
            <v>Southern Tier</v>
          </cell>
          <cell r="H2220" t="str">
            <v>Southern Tier Brewing Company</v>
          </cell>
          <cell r="K2220" t="str">
            <v>Package</v>
          </cell>
          <cell r="L2220" t="str">
            <v>Yes</v>
          </cell>
        </row>
        <row r="2221">
          <cell r="G2221" t="str">
            <v>Victory</v>
          </cell>
          <cell r="H2221" t="str">
            <v>Victory Brewing Company</v>
          </cell>
          <cell r="K2221" t="str">
            <v>Package</v>
          </cell>
          <cell r="L2221" t="str">
            <v>Yes</v>
          </cell>
        </row>
        <row r="2222">
          <cell r="G2222" t="str">
            <v>Southern Tier</v>
          </cell>
          <cell r="H2222" t="str">
            <v>Southern Tier Brewing Company</v>
          </cell>
          <cell r="K2222" t="str">
            <v>Package</v>
          </cell>
          <cell r="L2222" t="str">
            <v>Yes</v>
          </cell>
        </row>
        <row r="2223">
          <cell r="G2223" t="str">
            <v>Southern Tier</v>
          </cell>
          <cell r="H2223" t="str">
            <v>Southern Tier Brewing Company</v>
          </cell>
          <cell r="K2223" t="str">
            <v>Draft</v>
          </cell>
          <cell r="L2223" t="str">
            <v>No</v>
          </cell>
        </row>
        <row r="2224">
          <cell r="G2224" t="str">
            <v>Southern Tier</v>
          </cell>
          <cell r="H2224" t="str">
            <v>Southern Tier Brewing Company</v>
          </cell>
          <cell r="K2224" t="str">
            <v>Package</v>
          </cell>
          <cell r="L2224" t="str">
            <v>No</v>
          </cell>
        </row>
        <row r="2225">
          <cell r="G2225" t="str">
            <v>Southern Tier</v>
          </cell>
          <cell r="H2225" t="str">
            <v>Southern Tier Brewing Company</v>
          </cell>
          <cell r="K2225" t="str">
            <v>Package</v>
          </cell>
          <cell r="L2225" t="str">
            <v>No</v>
          </cell>
        </row>
        <row r="2226">
          <cell r="G2226" t="str">
            <v>Southern Tier</v>
          </cell>
          <cell r="H2226" t="str">
            <v>Southern Tier Brewing Company</v>
          </cell>
          <cell r="K2226" t="str">
            <v>Draft</v>
          </cell>
          <cell r="L2226" t="str">
            <v>Yes</v>
          </cell>
        </row>
        <row r="2227">
          <cell r="G2227" t="str">
            <v>Southern Tier</v>
          </cell>
          <cell r="H2227" t="str">
            <v>Southern Tier Brewing Company</v>
          </cell>
          <cell r="K2227" t="str">
            <v>Package</v>
          </cell>
          <cell r="L2227" t="str">
            <v>Yes</v>
          </cell>
        </row>
        <row r="2228">
          <cell r="G2228" t="str">
            <v>Southern Tier</v>
          </cell>
          <cell r="H2228" t="str">
            <v>Southern Tier Brewing Company</v>
          </cell>
          <cell r="K2228" t="str">
            <v>Draft</v>
          </cell>
          <cell r="L2228" t="str">
            <v>Yes</v>
          </cell>
        </row>
        <row r="2229">
          <cell r="G2229" t="str">
            <v>Southern Tier</v>
          </cell>
          <cell r="H2229" t="str">
            <v>Southern Tier Brewing Company</v>
          </cell>
          <cell r="K2229" t="str">
            <v>Package</v>
          </cell>
          <cell r="L2229" t="str">
            <v>No</v>
          </cell>
        </row>
        <row r="2230">
          <cell r="G2230" t="str">
            <v>Victory</v>
          </cell>
          <cell r="H2230" t="str">
            <v>Victory Brewing Company</v>
          </cell>
          <cell r="K2230" t="str">
            <v>Package</v>
          </cell>
          <cell r="L2230" t="str">
            <v>No</v>
          </cell>
        </row>
        <row r="2231">
          <cell r="G2231" t="str">
            <v>Victory</v>
          </cell>
          <cell r="H2231" t="str">
            <v>Victory Brewing Company</v>
          </cell>
          <cell r="K2231" t="str">
            <v>Draft</v>
          </cell>
          <cell r="L2231" t="str">
            <v>No</v>
          </cell>
        </row>
        <row r="2232">
          <cell r="G2232" t="str">
            <v>Southern Tier</v>
          </cell>
          <cell r="H2232" t="str">
            <v>Southern Tier Brewing Company</v>
          </cell>
          <cell r="K2232" t="str">
            <v>Draft</v>
          </cell>
          <cell r="L2232" t="str">
            <v>No</v>
          </cell>
        </row>
        <row r="2233">
          <cell r="G2233" t="str">
            <v>Southern Tier</v>
          </cell>
          <cell r="H2233" t="str">
            <v>Southern Tier Brewing Company</v>
          </cell>
          <cell r="K2233" t="str">
            <v>Package</v>
          </cell>
          <cell r="L2233" t="str">
            <v>No</v>
          </cell>
        </row>
        <row r="2234">
          <cell r="G2234" t="str">
            <v>Southern Tier</v>
          </cell>
          <cell r="H2234" t="str">
            <v>Southern Tier Brewing Company</v>
          </cell>
          <cell r="K2234" t="str">
            <v>Draft</v>
          </cell>
          <cell r="L2234" t="str">
            <v>No</v>
          </cell>
        </row>
        <row r="2235">
          <cell r="G2235" t="str">
            <v>Southern Tier</v>
          </cell>
          <cell r="H2235" t="str">
            <v>Southern Tier Brewing Company</v>
          </cell>
          <cell r="K2235" t="str">
            <v>Package</v>
          </cell>
          <cell r="L2235" t="str">
            <v>Yes</v>
          </cell>
        </row>
        <row r="2236">
          <cell r="G2236" t="str">
            <v>Southern Tier</v>
          </cell>
          <cell r="H2236" t="str">
            <v>Southern Tier Brewing Company</v>
          </cell>
          <cell r="K2236" t="str">
            <v>Draft</v>
          </cell>
          <cell r="L2236" t="str">
            <v>Yes</v>
          </cell>
        </row>
        <row r="2237">
          <cell r="G2237" t="str">
            <v>Southern Tier</v>
          </cell>
          <cell r="H2237" t="str">
            <v>Southern Tier Brewing Company</v>
          </cell>
          <cell r="K2237" t="str">
            <v>Package</v>
          </cell>
          <cell r="L2237" t="str">
            <v>No</v>
          </cell>
        </row>
        <row r="2238">
          <cell r="G2238" t="str">
            <v>Southern Tier</v>
          </cell>
          <cell r="H2238" t="str">
            <v>Southern Tier Brewing Company</v>
          </cell>
          <cell r="K2238" t="str">
            <v>Package</v>
          </cell>
          <cell r="L2238" t="str">
            <v>Yes</v>
          </cell>
        </row>
        <row r="2239">
          <cell r="G2239" t="str">
            <v>Southern Tier</v>
          </cell>
          <cell r="H2239" t="str">
            <v>Southern Tier Brewing Company</v>
          </cell>
          <cell r="K2239" t="str">
            <v>Draft</v>
          </cell>
          <cell r="L2239" t="str">
            <v>Yes</v>
          </cell>
        </row>
        <row r="2240">
          <cell r="G2240" t="str">
            <v>Southern Tier</v>
          </cell>
          <cell r="H2240" t="str">
            <v>Southern Tier Brewing Company</v>
          </cell>
          <cell r="K2240" t="str">
            <v>Package</v>
          </cell>
          <cell r="L2240" t="str">
            <v>Yes</v>
          </cell>
        </row>
        <row r="2241">
          <cell r="G2241" t="str">
            <v>Southern Tier</v>
          </cell>
          <cell r="H2241" t="str">
            <v>Southern Tier Brewing Company</v>
          </cell>
          <cell r="K2241" t="str">
            <v>Draft</v>
          </cell>
          <cell r="L2241" t="str">
            <v>No</v>
          </cell>
        </row>
        <row r="2242">
          <cell r="G2242" t="str">
            <v>Southern Tier</v>
          </cell>
          <cell r="H2242" t="str">
            <v>Southern Tier Brewing Company</v>
          </cell>
          <cell r="K2242" t="str">
            <v>Package</v>
          </cell>
          <cell r="L2242" t="str">
            <v>Yes</v>
          </cell>
        </row>
        <row r="2243">
          <cell r="G2243" t="str">
            <v>Southern Tier</v>
          </cell>
          <cell r="H2243" t="str">
            <v>Southern Tier Brewing Company</v>
          </cell>
          <cell r="K2243" t="str">
            <v>Draft</v>
          </cell>
          <cell r="L2243" t="str">
            <v>No</v>
          </cell>
        </row>
        <row r="2244">
          <cell r="G2244" t="str">
            <v>Southern Tier</v>
          </cell>
          <cell r="H2244" t="str">
            <v>Southern Tier Brewing Company</v>
          </cell>
          <cell r="K2244" t="str">
            <v>Package</v>
          </cell>
          <cell r="L2244" t="str">
            <v>No</v>
          </cell>
        </row>
        <row r="2245">
          <cell r="G2245" t="str">
            <v>Southern Tier</v>
          </cell>
          <cell r="H2245" t="str">
            <v>Southern Tier Brewing Company</v>
          </cell>
          <cell r="K2245" t="str">
            <v>Package</v>
          </cell>
          <cell r="L2245" t="str">
            <v>No</v>
          </cell>
        </row>
        <row r="2246">
          <cell r="G2246" t="str">
            <v>Southern Tier</v>
          </cell>
          <cell r="H2246" t="str">
            <v>Southern Tier Brewing Company</v>
          </cell>
          <cell r="K2246" t="str">
            <v>Package</v>
          </cell>
          <cell r="L2246" t="str">
            <v>Yes</v>
          </cell>
        </row>
        <row r="2247">
          <cell r="G2247" t="str">
            <v>Southern Tier</v>
          </cell>
          <cell r="H2247" t="str">
            <v>Southern Tier Brewing Company</v>
          </cell>
          <cell r="K2247" t="str">
            <v>Draft</v>
          </cell>
          <cell r="L2247" t="str">
            <v>Yes</v>
          </cell>
        </row>
        <row r="2248">
          <cell r="G2248" t="str">
            <v>Southern Tier</v>
          </cell>
          <cell r="H2248" t="str">
            <v>Southern Tier Brewing Company</v>
          </cell>
          <cell r="K2248" t="str">
            <v>Draft</v>
          </cell>
          <cell r="L2248" t="str">
            <v>Yes</v>
          </cell>
        </row>
        <row r="2249">
          <cell r="G2249" t="str">
            <v>Southern Tier</v>
          </cell>
          <cell r="H2249" t="str">
            <v>Southern Tier Brewing Company</v>
          </cell>
          <cell r="K2249" t="str">
            <v>Package</v>
          </cell>
          <cell r="L2249" t="str">
            <v>No</v>
          </cell>
        </row>
        <row r="2250">
          <cell r="G2250" t="str">
            <v>Southern Tier</v>
          </cell>
          <cell r="H2250" t="str">
            <v>Southern Tier Brewing Company</v>
          </cell>
          <cell r="K2250" t="str">
            <v>Package</v>
          </cell>
          <cell r="L2250" t="str">
            <v>No</v>
          </cell>
        </row>
        <row r="2251">
          <cell r="G2251" t="str">
            <v>Southern Tier</v>
          </cell>
          <cell r="H2251" t="str">
            <v>Southern Tier Brewing Company</v>
          </cell>
          <cell r="K2251" t="str">
            <v>Draft</v>
          </cell>
          <cell r="L2251" t="str">
            <v>No</v>
          </cell>
        </row>
        <row r="2252">
          <cell r="G2252" t="str">
            <v>Southern Tier</v>
          </cell>
          <cell r="H2252" t="str">
            <v>Southern Tier Brewing Company</v>
          </cell>
          <cell r="K2252" t="str">
            <v>Package</v>
          </cell>
          <cell r="L2252" t="str">
            <v>Yes</v>
          </cell>
        </row>
        <row r="2253">
          <cell r="G2253" t="str">
            <v>Southern Tier</v>
          </cell>
          <cell r="H2253" t="str">
            <v>Southern Tier Brewing Company</v>
          </cell>
          <cell r="K2253" t="str">
            <v>Draft</v>
          </cell>
          <cell r="L2253" t="str">
            <v>No</v>
          </cell>
        </row>
        <row r="2254">
          <cell r="G2254" t="str">
            <v>Southern Tier</v>
          </cell>
          <cell r="H2254" t="str">
            <v>Southern Tier Brewing Company</v>
          </cell>
          <cell r="K2254" t="str">
            <v>Draft</v>
          </cell>
          <cell r="L2254" t="str">
            <v>Yes</v>
          </cell>
        </row>
        <row r="2255">
          <cell r="G2255" t="str">
            <v>Southern Tier</v>
          </cell>
          <cell r="H2255" t="str">
            <v>Southern Tier Brewing Company</v>
          </cell>
          <cell r="K2255" t="str">
            <v>Package</v>
          </cell>
          <cell r="L2255" t="str">
            <v>Yes</v>
          </cell>
        </row>
        <row r="2256">
          <cell r="G2256" t="str">
            <v>Southern Tier</v>
          </cell>
          <cell r="H2256" t="str">
            <v>Southern Tier Brewing Company</v>
          </cell>
          <cell r="K2256" t="str">
            <v>Draft</v>
          </cell>
          <cell r="L2256" t="str">
            <v>Yes</v>
          </cell>
        </row>
        <row r="2257">
          <cell r="G2257" t="str">
            <v>Southern Tier</v>
          </cell>
          <cell r="H2257" t="str">
            <v>Southern Tier Brewing Company</v>
          </cell>
          <cell r="K2257" t="str">
            <v>Draft</v>
          </cell>
          <cell r="L2257" t="str">
            <v>Yes</v>
          </cell>
        </row>
        <row r="2258">
          <cell r="G2258" t="str">
            <v>Southern Tier</v>
          </cell>
          <cell r="H2258" t="str">
            <v>Southern Tier Brewing Company</v>
          </cell>
          <cell r="K2258" t="str">
            <v>Package</v>
          </cell>
          <cell r="L2258" t="str">
            <v>Yes</v>
          </cell>
        </row>
        <row r="2259">
          <cell r="G2259" t="str">
            <v>Southern Tier</v>
          </cell>
          <cell r="H2259" t="str">
            <v>Southern Tier Brewing Company</v>
          </cell>
          <cell r="K2259" t="str">
            <v>Package</v>
          </cell>
          <cell r="L2259" t="str">
            <v>Yes</v>
          </cell>
        </row>
        <row r="2260">
          <cell r="G2260" t="str">
            <v>Southern Tier</v>
          </cell>
          <cell r="H2260" t="str">
            <v>Southern Tier Brewing Company</v>
          </cell>
          <cell r="K2260" t="str">
            <v>Package</v>
          </cell>
          <cell r="L2260" t="str">
            <v>Yes</v>
          </cell>
        </row>
        <row r="2261">
          <cell r="G2261" t="str">
            <v>Southern Tier</v>
          </cell>
          <cell r="H2261" t="str">
            <v>Southern Tier Brewing Company</v>
          </cell>
          <cell r="K2261" t="str">
            <v>Package</v>
          </cell>
          <cell r="L2261" t="str">
            <v>Yes</v>
          </cell>
        </row>
        <row r="2262">
          <cell r="G2262" t="str">
            <v>Southern Tier</v>
          </cell>
          <cell r="H2262" t="str">
            <v>Southern Tier Brewing Company</v>
          </cell>
          <cell r="K2262" t="str">
            <v>Package</v>
          </cell>
          <cell r="L2262" t="str">
            <v>Yes</v>
          </cell>
        </row>
        <row r="2263">
          <cell r="G2263" t="str">
            <v>Southern Tier</v>
          </cell>
          <cell r="H2263" t="str">
            <v>Southern Tier Brewing Company</v>
          </cell>
          <cell r="K2263" t="str">
            <v>Draft</v>
          </cell>
          <cell r="L2263" t="str">
            <v>Yes</v>
          </cell>
        </row>
        <row r="2264">
          <cell r="G2264" t="str">
            <v>Southern Tier</v>
          </cell>
          <cell r="H2264" t="str">
            <v>Southern Tier Brewing Company</v>
          </cell>
          <cell r="K2264" t="str">
            <v>Package</v>
          </cell>
          <cell r="L2264" t="str">
            <v>Yes</v>
          </cell>
        </row>
        <row r="2265">
          <cell r="G2265" t="str">
            <v>Palaweno</v>
          </cell>
          <cell r="H2265" t="str">
            <v>Palaweno</v>
          </cell>
          <cell r="K2265" t="str">
            <v>Package</v>
          </cell>
          <cell r="L2265" t="str">
            <v>Yes</v>
          </cell>
        </row>
        <row r="2266">
          <cell r="G2266" t="str">
            <v>Palaweno</v>
          </cell>
          <cell r="H2266" t="str">
            <v>Palaweno</v>
          </cell>
          <cell r="K2266" t="str">
            <v>Draft</v>
          </cell>
          <cell r="L2266" t="str">
            <v>Yes</v>
          </cell>
        </row>
        <row r="2267">
          <cell r="G2267" t="str">
            <v>Palaweno</v>
          </cell>
          <cell r="H2267" t="str">
            <v>Palaweno</v>
          </cell>
          <cell r="K2267" t="str">
            <v>Draft</v>
          </cell>
          <cell r="L2267" t="str">
            <v>Yes</v>
          </cell>
        </row>
        <row r="2268">
          <cell r="G2268" t="str">
            <v>Palaweno</v>
          </cell>
          <cell r="H2268" t="str">
            <v>Palaweno</v>
          </cell>
          <cell r="K2268" t="str">
            <v>Package</v>
          </cell>
          <cell r="L2268" t="str">
            <v>Yes</v>
          </cell>
        </row>
        <row r="2269">
          <cell r="G2269" t="str">
            <v>Palaweno</v>
          </cell>
          <cell r="H2269" t="str">
            <v>Palaweno</v>
          </cell>
          <cell r="K2269" t="str">
            <v>Draft</v>
          </cell>
          <cell r="L2269" t="str">
            <v>Yes</v>
          </cell>
        </row>
        <row r="2270">
          <cell r="G2270" t="str">
            <v>Palaweno</v>
          </cell>
          <cell r="H2270" t="str">
            <v>Palaweno</v>
          </cell>
          <cell r="K2270" t="str">
            <v>Draft</v>
          </cell>
          <cell r="L2270" t="str">
            <v>Yes</v>
          </cell>
        </row>
        <row r="2271">
          <cell r="G2271" t="str">
            <v>Palaweno</v>
          </cell>
          <cell r="H2271" t="str">
            <v>Palaweno</v>
          </cell>
          <cell r="K2271" t="str">
            <v>Package</v>
          </cell>
          <cell r="L2271" t="str">
            <v>Yes</v>
          </cell>
        </row>
        <row r="2272">
          <cell r="G2272" t="str">
            <v>Palaweno</v>
          </cell>
          <cell r="H2272" t="str">
            <v>Palaweno</v>
          </cell>
          <cell r="K2272" t="str">
            <v>Package</v>
          </cell>
          <cell r="L2272" t="str">
            <v>Yes</v>
          </cell>
        </row>
        <row r="2273">
          <cell r="G2273" t="str">
            <v>Palaweno</v>
          </cell>
          <cell r="H2273" t="str">
            <v>Palaweno</v>
          </cell>
          <cell r="K2273" t="str">
            <v>Package</v>
          </cell>
          <cell r="L2273" t="str">
            <v>Yes</v>
          </cell>
        </row>
        <row r="2274">
          <cell r="G2274" t="str">
            <v>Sierra Nevada</v>
          </cell>
          <cell r="H2274" t="str">
            <v>Sierra Nevada Brewing Company</v>
          </cell>
          <cell r="K2274" t="str">
            <v>Package</v>
          </cell>
          <cell r="L2274" t="str">
            <v>Yes</v>
          </cell>
        </row>
        <row r="2275">
          <cell r="G2275" t="str">
            <v>Sierra Nevada</v>
          </cell>
          <cell r="H2275" t="str">
            <v>Sierra Nevada Brewing Company</v>
          </cell>
          <cell r="K2275" t="str">
            <v>Package</v>
          </cell>
          <cell r="L2275" t="str">
            <v>Yes</v>
          </cell>
        </row>
        <row r="2276">
          <cell r="G2276" t="str">
            <v>Sierra Nevada</v>
          </cell>
          <cell r="H2276" t="str">
            <v>Sierra Nevada Brewing Company</v>
          </cell>
          <cell r="K2276" t="str">
            <v>Draft</v>
          </cell>
          <cell r="L2276" t="str">
            <v>Yes</v>
          </cell>
        </row>
        <row r="2277">
          <cell r="G2277" t="str">
            <v>Sierra Nevada</v>
          </cell>
          <cell r="H2277" t="str">
            <v>Sierra Nevada Brewing Company</v>
          </cell>
          <cell r="K2277" t="str">
            <v>Draft</v>
          </cell>
          <cell r="L2277" t="str">
            <v>Yes</v>
          </cell>
        </row>
        <row r="2278">
          <cell r="G2278" t="str">
            <v>Victory</v>
          </cell>
          <cell r="H2278" t="str">
            <v>Victory Brewing Company</v>
          </cell>
          <cell r="K2278" t="str">
            <v>Package</v>
          </cell>
          <cell r="L2278" t="str">
            <v>No</v>
          </cell>
        </row>
        <row r="2279">
          <cell r="G2279" t="str">
            <v>Victory</v>
          </cell>
          <cell r="H2279" t="str">
            <v>Victory Brewing Company</v>
          </cell>
          <cell r="K2279" t="str">
            <v>Package</v>
          </cell>
          <cell r="L2279" t="str">
            <v>No</v>
          </cell>
        </row>
        <row r="2280">
          <cell r="G2280" t="str">
            <v>Victory</v>
          </cell>
          <cell r="H2280" t="str">
            <v>Victory Brewing Company</v>
          </cell>
          <cell r="K2280" t="str">
            <v>Draft</v>
          </cell>
          <cell r="L2280" t="str">
            <v>No</v>
          </cell>
        </row>
        <row r="2281">
          <cell r="G2281" t="str">
            <v>Victory</v>
          </cell>
          <cell r="H2281" t="str">
            <v>Victory Brewing Company</v>
          </cell>
          <cell r="K2281" t="str">
            <v>Package</v>
          </cell>
          <cell r="L2281" t="str">
            <v>Yes</v>
          </cell>
        </row>
        <row r="2282">
          <cell r="G2282" t="str">
            <v>Victory</v>
          </cell>
          <cell r="H2282" t="str">
            <v>Victory Brewing Company</v>
          </cell>
          <cell r="K2282" t="str">
            <v>Draft</v>
          </cell>
          <cell r="L2282" t="str">
            <v>No</v>
          </cell>
        </row>
        <row r="2283">
          <cell r="G2283" t="str">
            <v>Victory</v>
          </cell>
          <cell r="H2283" t="str">
            <v>Victory Brewing Company</v>
          </cell>
          <cell r="K2283" t="str">
            <v>Draft</v>
          </cell>
          <cell r="L2283" t="str">
            <v>Yes</v>
          </cell>
        </row>
        <row r="2284">
          <cell r="G2284" t="str">
            <v>Monkey Family</v>
          </cell>
          <cell r="H2284" t="str">
            <v>Victory Brewing Company</v>
          </cell>
          <cell r="K2284" t="str">
            <v>Package</v>
          </cell>
          <cell r="L2284" t="str">
            <v>Yes</v>
          </cell>
        </row>
        <row r="2285">
          <cell r="G2285" t="str">
            <v>Victory</v>
          </cell>
          <cell r="H2285" t="str">
            <v>Victory Brewing Company</v>
          </cell>
          <cell r="K2285" t="str">
            <v>Package</v>
          </cell>
          <cell r="L2285" t="str">
            <v>No</v>
          </cell>
        </row>
        <row r="2286">
          <cell r="G2286" t="str">
            <v>Monkey Family</v>
          </cell>
          <cell r="H2286" t="str">
            <v>Victory Brewing Company</v>
          </cell>
          <cell r="K2286" t="str">
            <v>Package</v>
          </cell>
          <cell r="L2286" t="str">
            <v>Yes</v>
          </cell>
        </row>
        <row r="2287">
          <cell r="G2287" t="str">
            <v>Victory</v>
          </cell>
          <cell r="H2287" t="str">
            <v>Victory Brewing Company</v>
          </cell>
          <cell r="K2287" t="str">
            <v>Package</v>
          </cell>
          <cell r="L2287" t="str">
            <v>Yes</v>
          </cell>
        </row>
        <row r="2288">
          <cell r="G2288" t="str">
            <v>Victory</v>
          </cell>
          <cell r="H2288" t="str">
            <v>Victory Brewing Company</v>
          </cell>
          <cell r="K2288" t="str">
            <v>Package</v>
          </cell>
          <cell r="L2288" t="str">
            <v>No</v>
          </cell>
        </row>
        <row r="2289">
          <cell r="G2289" t="str">
            <v>Victory</v>
          </cell>
          <cell r="H2289" t="str">
            <v>Victory Brewing Company</v>
          </cell>
          <cell r="K2289" t="str">
            <v>Package</v>
          </cell>
          <cell r="L2289" t="str">
            <v>No</v>
          </cell>
        </row>
        <row r="2290">
          <cell r="G2290" t="str">
            <v>Victory</v>
          </cell>
          <cell r="H2290" t="str">
            <v>Victory Brewing Company</v>
          </cell>
          <cell r="K2290" t="str">
            <v>Draft</v>
          </cell>
          <cell r="L2290" t="str">
            <v>No</v>
          </cell>
        </row>
        <row r="2291">
          <cell r="G2291" t="str">
            <v>Victory</v>
          </cell>
          <cell r="H2291" t="str">
            <v>Victory Brewing Company</v>
          </cell>
          <cell r="K2291" t="str">
            <v>Draft</v>
          </cell>
          <cell r="L2291" t="str">
            <v>No</v>
          </cell>
        </row>
        <row r="2292">
          <cell r="G2292" t="str">
            <v>Victory</v>
          </cell>
          <cell r="H2292" t="str">
            <v>Victory Brewing Company</v>
          </cell>
          <cell r="K2292" t="str">
            <v>Package</v>
          </cell>
          <cell r="L2292" t="str">
            <v>No</v>
          </cell>
        </row>
        <row r="2293">
          <cell r="G2293" t="str">
            <v>Victory</v>
          </cell>
          <cell r="H2293" t="str">
            <v>Victory Brewing Company</v>
          </cell>
          <cell r="K2293" t="str">
            <v>Package</v>
          </cell>
          <cell r="L2293" t="str">
            <v>Yes</v>
          </cell>
        </row>
        <row r="2294">
          <cell r="G2294" t="str">
            <v>Victory</v>
          </cell>
          <cell r="H2294" t="str">
            <v>Victory Brewing Company</v>
          </cell>
          <cell r="K2294" t="str">
            <v>Package</v>
          </cell>
          <cell r="L2294" t="str">
            <v>No</v>
          </cell>
        </row>
        <row r="2295">
          <cell r="G2295" t="str">
            <v>Victory</v>
          </cell>
          <cell r="H2295" t="str">
            <v>Victory Brewing Company</v>
          </cell>
          <cell r="K2295" t="str">
            <v>Draft</v>
          </cell>
          <cell r="L2295" t="str">
            <v>No</v>
          </cell>
        </row>
        <row r="2296">
          <cell r="G2296" t="str">
            <v>Victory</v>
          </cell>
          <cell r="H2296" t="str">
            <v>Victory Brewing Company</v>
          </cell>
          <cell r="K2296" t="str">
            <v>Draft</v>
          </cell>
          <cell r="L2296" t="str">
            <v>No</v>
          </cell>
        </row>
        <row r="2297">
          <cell r="G2297" t="str">
            <v>Victory</v>
          </cell>
          <cell r="H2297" t="str">
            <v>Victory Brewing Company</v>
          </cell>
          <cell r="K2297" t="str">
            <v>Package</v>
          </cell>
          <cell r="L2297" t="str">
            <v>Yes</v>
          </cell>
        </row>
        <row r="2298">
          <cell r="G2298" t="str">
            <v>Monkey Family</v>
          </cell>
          <cell r="H2298" t="str">
            <v>Victory Brewing Company</v>
          </cell>
          <cell r="K2298" t="str">
            <v>Package</v>
          </cell>
          <cell r="L2298" t="str">
            <v>Yes</v>
          </cell>
        </row>
        <row r="2299">
          <cell r="G2299" t="str">
            <v>Victory</v>
          </cell>
          <cell r="H2299" t="str">
            <v>Victory Brewing Company</v>
          </cell>
          <cell r="K2299" t="str">
            <v>Package</v>
          </cell>
          <cell r="L2299" t="str">
            <v>Yes</v>
          </cell>
        </row>
        <row r="2300">
          <cell r="G2300" t="str">
            <v>Victory</v>
          </cell>
          <cell r="H2300" t="str">
            <v>Victory Brewing Company</v>
          </cell>
          <cell r="K2300" t="str">
            <v>Draft</v>
          </cell>
          <cell r="L2300" t="str">
            <v>Yes</v>
          </cell>
        </row>
        <row r="2301">
          <cell r="G2301" t="str">
            <v>Victory</v>
          </cell>
          <cell r="H2301" t="str">
            <v>Victory Brewing Company</v>
          </cell>
          <cell r="K2301" t="str">
            <v>Draft</v>
          </cell>
          <cell r="L2301" t="str">
            <v>Yes</v>
          </cell>
        </row>
        <row r="2302">
          <cell r="G2302" t="str">
            <v>Victory</v>
          </cell>
          <cell r="H2302" t="str">
            <v>Victory Brewing Company</v>
          </cell>
          <cell r="K2302" t="str">
            <v>Package</v>
          </cell>
          <cell r="L2302" t="str">
            <v>Yes</v>
          </cell>
        </row>
        <row r="2303">
          <cell r="G2303" t="str">
            <v>Victory</v>
          </cell>
          <cell r="H2303" t="str">
            <v>Victory Brewing Company</v>
          </cell>
          <cell r="K2303" t="str">
            <v>Draft</v>
          </cell>
          <cell r="L2303" t="str">
            <v>No</v>
          </cell>
        </row>
        <row r="2304">
          <cell r="G2304" t="str">
            <v>Victory</v>
          </cell>
          <cell r="H2304" t="str">
            <v>Victory Brewing Company</v>
          </cell>
          <cell r="K2304" t="str">
            <v>Package</v>
          </cell>
          <cell r="L2304" t="str">
            <v>Yes</v>
          </cell>
        </row>
        <row r="2305">
          <cell r="G2305" t="str">
            <v>Victory</v>
          </cell>
          <cell r="H2305" t="str">
            <v>Victory Brewing Company</v>
          </cell>
          <cell r="K2305" t="str">
            <v>Package</v>
          </cell>
          <cell r="L2305" t="str">
            <v>Yes</v>
          </cell>
        </row>
        <row r="2306">
          <cell r="G2306" t="str">
            <v>Victory</v>
          </cell>
          <cell r="H2306" t="str">
            <v>Victory Brewing Company</v>
          </cell>
          <cell r="K2306" t="str">
            <v>Draft</v>
          </cell>
          <cell r="L2306" t="str">
            <v>Yes</v>
          </cell>
        </row>
        <row r="2307">
          <cell r="G2307" t="str">
            <v>Victory</v>
          </cell>
          <cell r="H2307" t="str">
            <v>Victory Brewing Company</v>
          </cell>
          <cell r="K2307" t="str">
            <v>Draft</v>
          </cell>
          <cell r="L2307" t="str">
            <v>Yes</v>
          </cell>
        </row>
        <row r="2308">
          <cell r="G2308" t="str">
            <v>Victory</v>
          </cell>
          <cell r="H2308" t="str">
            <v>Victory Brewing Company</v>
          </cell>
          <cell r="K2308" t="str">
            <v>Package</v>
          </cell>
          <cell r="L2308" t="str">
            <v>Yes</v>
          </cell>
        </row>
        <row r="2309">
          <cell r="G2309" t="str">
            <v>Victory</v>
          </cell>
          <cell r="H2309" t="str">
            <v>Victory Brewing Company</v>
          </cell>
          <cell r="K2309" t="str">
            <v>Package</v>
          </cell>
          <cell r="L2309" t="str">
            <v>Yes</v>
          </cell>
        </row>
        <row r="2310">
          <cell r="G2310" t="str">
            <v>Victory</v>
          </cell>
          <cell r="H2310" t="str">
            <v>Victory Brewing Company</v>
          </cell>
          <cell r="K2310" t="str">
            <v>Package</v>
          </cell>
          <cell r="L2310" t="str">
            <v>Yes</v>
          </cell>
        </row>
        <row r="2311">
          <cell r="G2311" t="str">
            <v>Victory</v>
          </cell>
          <cell r="H2311" t="str">
            <v>Victory Brewing Company</v>
          </cell>
          <cell r="K2311" t="str">
            <v>Draft</v>
          </cell>
          <cell r="L2311" t="str">
            <v>Yes</v>
          </cell>
        </row>
        <row r="2312">
          <cell r="G2312" t="str">
            <v>Victory</v>
          </cell>
          <cell r="H2312" t="str">
            <v>Victory Brewing Company</v>
          </cell>
          <cell r="K2312" t="str">
            <v>Package</v>
          </cell>
          <cell r="L2312" t="str">
            <v>Yes</v>
          </cell>
        </row>
        <row r="2313">
          <cell r="G2313" t="str">
            <v>Victory</v>
          </cell>
          <cell r="H2313" t="str">
            <v>Victory Brewing Company</v>
          </cell>
          <cell r="K2313" t="str">
            <v>Draft</v>
          </cell>
          <cell r="L2313" t="str">
            <v>Yes</v>
          </cell>
        </row>
        <row r="2314">
          <cell r="G2314" t="str">
            <v>Victory</v>
          </cell>
          <cell r="H2314" t="str">
            <v>Victory Brewing Company</v>
          </cell>
          <cell r="K2314" t="str">
            <v>Draft</v>
          </cell>
          <cell r="L2314" t="str">
            <v>Yes</v>
          </cell>
        </row>
        <row r="2315">
          <cell r="G2315" t="str">
            <v>Victory</v>
          </cell>
          <cell r="H2315" t="str">
            <v>Victory Brewing Company</v>
          </cell>
          <cell r="K2315" t="str">
            <v>Package</v>
          </cell>
          <cell r="L2315" t="str">
            <v>Yes</v>
          </cell>
        </row>
        <row r="2316">
          <cell r="G2316" t="str">
            <v>Ithaca</v>
          </cell>
          <cell r="H2316" t="str">
            <v>Ithaca</v>
          </cell>
          <cell r="K2316" t="str">
            <v>Package</v>
          </cell>
          <cell r="L2316" t="str">
            <v>No</v>
          </cell>
        </row>
        <row r="2317">
          <cell r="G2317" t="str">
            <v>Ithaca</v>
          </cell>
          <cell r="H2317" t="str">
            <v>Ithaca</v>
          </cell>
          <cell r="K2317" t="str">
            <v>Draft</v>
          </cell>
          <cell r="L2317" t="str">
            <v>No</v>
          </cell>
        </row>
        <row r="2318">
          <cell r="G2318" t="str">
            <v>Ithaca</v>
          </cell>
          <cell r="H2318" t="str">
            <v>Ithaca</v>
          </cell>
          <cell r="K2318" t="str">
            <v>Package</v>
          </cell>
          <cell r="L2318" t="str">
            <v>No</v>
          </cell>
        </row>
        <row r="2319">
          <cell r="G2319" t="str">
            <v>Ithaca</v>
          </cell>
          <cell r="H2319" t="str">
            <v>Ithaca</v>
          </cell>
          <cell r="K2319" t="str">
            <v>Draft</v>
          </cell>
          <cell r="L2319" t="str">
            <v>No</v>
          </cell>
        </row>
        <row r="2320">
          <cell r="G2320" t="str">
            <v>Ithaca</v>
          </cell>
          <cell r="H2320" t="str">
            <v>Ithaca</v>
          </cell>
          <cell r="K2320" t="str">
            <v>Package</v>
          </cell>
          <cell r="L2320" t="str">
            <v>No</v>
          </cell>
        </row>
        <row r="2321">
          <cell r="G2321" t="str">
            <v>Ithaca</v>
          </cell>
          <cell r="H2321" t="str">
            <v>Ithaca</v>
          </cell>
          <cell r="K2321" t="str">
            <v>Package</v>
          </cell>
          <cell r="L2321" t="str">
            <v>No</v>
          </cell>
        </row>
        <row r="2322">
          <cell r="G2322" t="str">
            <v>Ithaca</v>
          </cell>
          <cell r="H2322" t="str">
            <v>Ithaca</v>
          </cell>
          <cell r="K2322" t="str">
            <v>Draft</v>
          </cell>
          <cell r="L2322" t="str">
            <v>No</v>
          </cell>
        </row>
        <row r="2323">
          <cell r="G2323" t="str">
            <v>Ithaca</v>
          </cell>
          <cell r="H2323" t="str">
            <v>Ithaca</v>
          </cell>
          <cell r="K2323" t="str">
            <v>Package</v>
          </cell>
          <cell r="L2323" t="str">
            <v>No</v>
          </cell>
        </row>
        <row r="2324">
          <cell r="G2324" t="str">
            <v>Ithaca</v>
          </cell>
          <cell r="H2324" t="str">
            <v>Ithaca</v>
          </cell>
          <cell r="K2324" t="str">
            <v>Package</v>
          </cell>
          <cell r="L2324" t="str">
            <v>No</v>
          </cell>
        </row>
        <row r="2325">
          <cell r="G2325" t="str">
            <v>Ithaca</v>
          </cell>
          <cell r="H2325" t="str">
            <v>Ithaca</v>
          </cell>
          <cell r="K2325" t="str">
            <v>Draft</v>
          </cell>
          <cell r="L2325" t="str">
            <v>No</v>
          </cell>
        </row>
        <row r="2326">
          <cell r="G2326" t="str">
            <v>Ithaca</v>
          </cell>
          <cell r="H2326" t="str">
            <v>Ithaca</v>
          </cell>
          <cell r="K2326" t="str">
            <v>Draft</v>
          </cell>
          <cell r="L2326" t="str">
            <v>No</v>
          </cell>
        </row>
        <row r="2327">
          <cell r="G2327" t="str">
            <v>Ithaca</v>
          </cell>
          <cell r="H2327" t="str">
            <v>Ithaca</v>
          </cell>
          <cell r="K2327" t="str">
            <v>Draft</v>
          </cell>
          <cell r="L2327" t="str">
            <v>No</v>
          </cell>
        </row>
        <row r="2328">
          <cell r="G2328" t="str">
            <v>Ithaca</v>
          </cell>
          <cell r="H2328" t="str">
            <v>Ithaca</v>
          </cell>
          <cell r="K2328" t="str">
            <v>Package</v>
          </cell>
          <cell r="L2328" t="str">
            <v>No</v>
          </cell>
        </row>
        <row r="2329">
          <cell r="G2329" t="str">
            <v>Ithaca</v>
          </cell>
          <cell r="H2329" t="str">
            <v>Ithaca</v>
          </cell>
          <cell r="K2329" t="str">
            <v>Package</v>
          </cell>
          <cell r="L2329" t="str">
            <v>No</v>
          </cell>
        </row>
        <row r="2330">
          <cell r="G2330" t="str">
            <v>Ithaca</v>
          </cell>
          <cell r="H2330" t="str">
            <v>Ithaca</v>
          </cell>
          <cell r="K2330" t="str">
            <v>Package</v>
          </cell>
          <cell r="L2330" t="str">
            <v>No</v>
          </cell>
        </row>
        <row r="2331">
          <cell r="G2331" t="str">
            <v>Ithaca</v>
          </cell>
          <cell r="H2331" t="str">
            <v>Ithaca</v>
          </cell>
          <cell r="K2331" t="str">
            <v>Package</v>
          </cell>
          <cell r="L2331" t="str">
            <v>No</v>
          </cell>
        </row>
        <row r="2332">
          <cell r="G2332" t="str">
            <v>Ithaca</v>
          </cell>
          <cell r="H2332" t="str">
            <v>Ithaca</v>
          </cell>
          <cell r="K2332" t="str">
            <v>Package</v>
          </cell>
          <cell r="L2332" t="str">
            <v>Yes</v>
          </cell>
        </row>
        <row r="2333">
          <cell r="G2333" t="str">
            <v>Ithaca</v>
          </cell>
          <cell r="H2333" t="str">
            <v>Ithaca</v>
          </cell>
          <cell r="K2333" t="str">
            <v>Package</v>
          </cell>
          <cell r="L2333" t="str">
            <v>No</v>
          </cell>
        </row>
        <row r="2334">
          <cell r="G2334" t="str">
            <v>Ithaca</v>
          </cell>
          <cell r="H2334" t="str">
            <v>Ithaca</v>
          </cell>
          <cell r="K2334" t="str">
            <v>Package</v>
          </cell>
          <cell r="L2334" t="str">
            <v>No</v>
          </cell>
        </row>
        <row r="2335">
          <cell r="G2335" t="str">
            <v>Ithaca</v>
          </cell>
          <cell r="H2335" t="str">
            <v>Ithaca</v>
          </cell>
          <cell r="K2335" t="str">
            <v>Draft</v>
          </cell>
          <cell r="L2335" t="str">
            <v>No</v>
          </cell>
        </row>
        <row r="2336">
          <cell r="G2336" t="str">
            <v>Ithaca</v>
          </cell>
          <cell r="H2336" t="str">
            <v>Ithaca</v>
          </cell>
          <cell r="K2336" t="str">
            <v>Package</v>
          </cell>
          <cell r="L2336" t="str">
            <v>No</v>
          </cell>
        </row>
        <row r="2337">
          <cell r="G2337" t="str">
            <v>Ithaca</v>
          </cell>
          <cell r="H2337" t="str">
            <v>Ithaca</v>
          </cell>
          <cell r="K2337" t="str">
            <v>Package</v>
          </cell>
          <cell r="L2337" t="str">
            <v>No</v>
          </cell>
        </row>
        <row r="2338">
          <cell r="G2338" t="str">
            <v>Ithaca</v>
          </cell>
          <cell r="H2338" t="str">
            <v>Ithaca</v>
          </cell>
          <cell r="K2338" t="str">
            <v>Package</v>
          </cell>
          <cell r="L2338" t="str">
            <v>No</v>
          </cell>
        </row>
        <row r="2339">
          <cell r="G2339" t="str">
            <v>Ithaca</v>
          </cell>
          <cell r="H2339" t="str">
            <v>Ithaca</v>
          </cell>
          <cell r="K2339" t="str">
            <v>Package</v>
          </cell>
          <cell r="L2339" t="str">
            <v>No</v>
          </cell>
        </row>
        <row r="2340">
          <cell r="G2340" t="str">
            <v>Ithaca</v>
          </cell>
          <cell r="H2340" t="str">
            <v>Ithaca</v>
          </cell>
          <cell r="K2340" t="str">
            <v>Package</v>
          </cell>
          <cell r="L2340" t="str">
            <v>Yes</v>
          </cell>
        </row>
        <row r="2341">
          <cell r="G2341" t="str">
            <v>Ithaca</v>
          </cell>
          <cell r="H2341" t="str">
            <v>Ithaca</v>
          </cell>
          <cell r="K2341" t="str">
            <v>Draft</v>
          </cell>
          <cell r="L2341" t="str">
            <v>Yes</v>
          </cell>
        </row>
        <row r="2342">
          <cell r="G2342" t="str">
            <v>Ithaca</v>
          </cell>
          <cell r="H2342" t="str">
            <v>Ithaca</v>
          </cell>
          <cell r="K2342" t="str">
            <v>Package</v>
          </cell>
          <cell r="L2342" t="str">
            <v>No</v>
          </cell>
        </row>
        <row r="2343">
          <cell r="G2343" t="str">
            <v>Ithaca</v>
          </cell>
          <cell r="H2343" t="str">
            <v>Ithaca</v>
          </cell>
          <cell r="K2343" t="str">
            <v>Draft</v>
          </cell>
          <cell r="L2343" t="str">
            <v>No</v>
          </cell>
        </row>
        <row r="2344">
          <cell r="G2344" t="str">
            <v>Ithaca</v>
          </cell>
          <cell r="H2344" t="str">
            <v>Ithaca</v>
          </cell>
          <cell r="K2344" t="str">
            <v>Package</v>
          </cell>
          <cell r="L2344" t="str">
            <v>No</v>
          </cell>
        </row>
        <row r="2345">
          <cell r="G2345" t="str">
            <v>Ithaca</v>
          </cell>
          <cell r="H2345" t="str">
            <v>Ithaca</v>
          </cell>
          <cell r="K2345" t="str">
            <v>Package</v>
          </cell>
          <cell r="L2345" t="str">
            <v>No</v>
          </cell>
        </row>
        <row r="2346">
          <cell r="G2346" t="str">
            <v>Ithaca</v>
          </cell>
          <cell r="H2346" t="str">
            <v>Ithaca</v>
          </cell>
          <cell r="K2346" t="str">
            <v>Package</v>
          </cell>
          <cell r="L2346" t="str">
            <v>No</v>
          </cell>
        </row>
        <row r="2347">
          <cell r="G2347" t="str">
            <v>Ithaca</v>
          </cell>
          <cell r="H2347" t="str">
            <v>Ithaca</v>
          </cell>
          <cell r="K2347" t="str">
            <v>Package</v>
          </cell>
          <cell r="L2347" t="str">
            <v>No</v>
          </cell>
        </row>
        <row r="2348">
          <cell r="G2348" t="str">
            <v>Ithaca</v>
          </cell>
          <cell r="H2348" t="str">
            <v>Ithaca</v>
          </cell>
          <cell r="K2348" t="str">
            <v>Draft</v>
          </cell>
          <cell r="L2348" t="str">
            <v>No</v>
          </cell>
        </row>
        <row r="2349">
          <cell r="G2349" t="str">
            <v>Ithaca</v>
          </cell>
          <cell r="H2349" t="str">
            <v>Ithaca</v>
          </cell>
          <cell r="K2349" t="str">
            <v>Package</v>
          </cell>
          <cell r="L2349" t="str">
            <v>No</v>
          </cell>
        </row>
        <row r="2350">
          <cell r="G2350" t="str">
            <v>Ithaca</v>
          </cell>
          <cell r="H2350" t="str">
            <v>Ithaca</v>
          </cell>
          <cell r="K2350" t="str">
            <v>Package</v>
          </cell>
          <cell r="L2350" t="str">
            <v>No</v>
          </cell>
        </row>
        <row r="2351">
          <cell r="G2351" t="str">
            <v>Ithaca</v>
          </cell>
          <cell r="H2351" t="str">
            <v>Ithaca</v>
          </cell>
          <cell r="K2351" t="str">
            <v>Package</v>
          </cell>
          <cell r="L2351" t="str">
            <v>No</v>
          </cell>
        </row>
        <row r="2352">
          <cell r="G2352" t="str">
            <v>Ithaca</v>
          </cell>
          <cell r="H2352" t="str">
            <v>Ithaca</v>
          </cell>
          <cell r="K2352" t="str">
            <v>Package</v>
          </cell>
          <cell r="L2352" t="str">
            <v>No</v>
          </cell>
        </row>
        <row r="2353">
          <cell r="G2353" t="str">
            <v>Ithaca</v>
          </cell>
          <cell r="H2353" t="str">
            <v>Ithaca</v>
          </cell>
          <cell r="K2353" t="str">
            <v>Draft</v>
          </cell>
          <cell r="L2353" t="str">
            <v>No</v>
          </cell>
        </row>
        <row r="2354">
          <cell r="G2354" t="str">
            <v>Ithaca</v>
          </cell>
          <cell r="H2354" t="str">
            <v>Ithaca</v>
          </cell>
          <cell r="K2354" t="str">
            <v>Draft</v>
          </cell>
          <cell r="L2354" t="str">
            <v>No</v>
          </cell>
        </row>
        <row r="2355">
          <cell r="G2355" t="str">
            <v>Ithaca</v>
          </cell>
          <cell r="H2355" t="str">
            <v>Ithaca</v>
          </cell>
          <cell r="K2355" t="str">
            <v>Package</v>
          </cell>
          <cell r="L2355" t="str">
            <v>No</v>
          </cell>
        </row>
        <row r="2356">
          <cell r="G2356" t="str">
            <v>Ithaca</v>
          </cell>
          <cell r="H2356" t="str">
            <v>Ithaca</v>
          </cell>
          <cell r="K2356" t="str">
            <v>Draft</v>
          </cell>
          <cell r="L2356" t="str">
            <v>No</v>
          </cell>
        </row>
        <row r="2357">
          <cell r="G2357" t="str">
            <v>Ithaca</v>
          </cell>
          <cell r="H2357" t="str">
            <v>Ithaca</v>
          </cell>
          <cell r="K2357" t="str">
            <v>Package</v>
          </cell>
          <cell r="L2357" t="str">
            <v>No</v>
          </cell>
        </row>
        <row r="2358">
          <cell r="G2358" t="str">
            <v>Ithaca</v>
          </cell>
          <cell r="H2358" t="str">
            <v>Ithaca</v>
          </cell>
          <cell r="K2358" t="str">
            <v>Package</v>
          </cell>
          <cell r="L2358" t="str">
            <v>No</v>
          </cell>
        </row>
        <row r="2359">
          <cell r="G2359" t="str">
            <v>Ithaca</v>
          </cell>
          <cell r="H2359" t="str">
            <v>Ithaca</v>
          </cell>
          <cell r="K2359" t="str">
            <v>Draft</v>
          </cell>
          <cell r="L2359" t="str">
            <v>No</v>
          </cell>
        </row>
        <row r="2360">
          <cell r="G2360" t="str">
            <v>Ithaca</v>
          </cell>
          <cell r="H2360" t="str">
            <v>Ithaca</v>
          </cell>
          <cell r="K2360" t="str">
            <v>Package</v>
          </cell>
          <cell r="L2360" t="str">
            <v>No</v>
          </cell>
        </row>
        <row r="2361">
          <cell r="G2361" t="str">
            <v>Dogfish Head Beer</v>
          </cell>
          <cell r="H2361" t="str">
            <v>Boston Beer Company</v>
          </cell>
          <cell r="K2361" t="str">
            <v>Package</v>
          </cell>
          <cell r="L2361" t="str">
            <v>Yes</v>
          </cell>
        </row>
        <row r="2362">
          <cell r="G2362" t="str">
            <v>Dogfish Head Beer</v>
          </cell>
          <cell r="H2362" t="str">
            <v>Boston Beer Company</v>
          </cell>
          <cell r="K2362" t="str">
            <v>Package</v>
          </cell>
          <cell r="L2362" t="str">
            <v>Yes</v>
          </cell>
        </row>
        <row r="2363">
          <cell r="G2363" t="str">
            <v>Dogfish Head Beer</v>
          </cell>
          <cell r="H2363" t="str">
            <v>Boston Beer Company</v>
          </cell>
          <cell r="K2363" t="str">
            <v>Draft</v>
          </cell>
          <cell r="L2363" t="str">
            <v>Yes</v>
          </cell>
        </row>
        <row r="2364">
          <cell r="G2364" t="str">
            <v>Dogfish Head Beer</v>
          </cell>
          <cell r="H2364" t="str">
            <v>Boston Beer Company</v>
          </cell>
          <cell r="K2364" t="str">
            <v>Draft</v>
          </cell>
          <cell r="L2364" t="str">
            <v>Yes</v>
          </cell>
        </row>
        <row r="2365">
          <cell r="G2365" t="str">
            <v>Dogfish Head Beer</v>
          </cell>
          <cell r="H2365" t="str">
            <v>Boston Beer Company</v>
          </cell>
          <cell r="K2365" t="str">
            <v>Package</v>
          </cell>
          <cell r="L2365" t="str">
            <v>Yes</v>
          </cell>
        </row>
        <row r="2366">
          <cell r="G2366" t="str">
            <v>Dogfish Head Beer</v>
          </cell>
          <cell r="H2366" t="str">
            <v>Boston Beer Company</v>
          </cell>
          <cell r="K2366" t="str">
            <v>Package</v>
          </cell>
          <cell r="L2366" t="str">
            <v>Yes</v>
          </cell>
        </row>
        <row r="2367">
          <cell r="G2367" t="str">
            <v>Dogfish Head Beer</v>
          </cell>
          <cell r="H2367" t="str">
            <v>Boston Beer Company</v>
          </cell>
          <cell r="K2367" t="str">
            <v>Draft</v>
          </cell>
          <cell r="L2367" t="str">
            <v>Yes</v>
          </cell>
        </row>
        <row r="2368">
          <cell r="G2368" t="str">
            <v>Dogfish Head Beer</v>
          </cell>
          <cell r="H2368" t="str">
            <v>Boston Beer Company</v>
          </cell>
          <cell r="K2368" t="str">
            <v>Draft</v>
          </cell>
          <cell r="L2368" t="str">
            <v>Yes</v>
          </cell>
        </row>
        <row r="2369">
          <cell r="G2369" t="str">
            <v>Dogfish Head Beer</v>
          </cell>
          <cell r="H2369" t="str">
            <v>Boston Beer Company</v>
          </cell>
          <cell r="K2369" t="str">
            <v>Package</v>
          </cell>
          <cell r="L2369" t="str">
            <v>Yes</v>
          </cell>
        </row>
        <row r="2370">
          <cell r="G2370" t="str">
            <v>Dogfish Head Beer</v>
          </cell>
          <cell r="H2370" t="str">
            <v>Boston Beer Company</v>
          </cell>
          <cell r="K2370" t="str">
            <v>Package</v>
          </cell>
          <cell r="L2370" t="str">
            <v>Yes</v>
          </cell>
        </row>
        <row r="2371">
          <cell r="G2371" t="str">
            <v>Dogfish Head Beer</v>
          </cell>
          <cell r="H2371" t="str">
            <v>Boston Beer Company</v>
          </cell>
          <cell r="K2371" t="str">
            <v>Package</v>
          </cell>
          <cell r="L2371" t="str">
            <v>Yes</v>
          </cell>
        </row>
        <row r="2372">
          <cell r="G2372" t="str">
            <v>Dogfish Head Beer</v>
          </cell>
          <cell r="H2372" t="str">
            <v>Boston Beer Company</v>
          </cell>
          <cell r="K2372" t="str">
            <v>Package</v>
          </cell>
          <cell r="L2372" t="str">
            <v>No</v>
          </cell>
        </row>
        <row r="2373">
          <cell r="G2373" t="str">
            <v>Dogfish Head Beer</v>
          </cell>
          <cell r="H2373" t="str">
            <v>Boston Beer Company</v>
          </cell>
          <cell r="K2373" t="str">
            <v>Package</v>
          </cell>
          <cell r="L2373" t="str">
            <v>Yes</v>
          </cell>
        </row>
        <row r="2374">
          <cell r="G2374" t="str">
            <v>Dogfish Head Beer</v>
          </cell>
          <cell r="H2374" t="str">
            <v>Boston Beer Company</v>
          </cell>
          <cell r="K2374" t="str">
            <v>Draft</v>
          </cell>
          <cell r="L2374" t="str">
            <v>Yes</v>
          </cell>
        </row>
        <row r="2375">
          <cell r="G2375" t="str">
            <v>Dogfish Head Beer</v>
          </cell>
          <cell r="H2375" t="str">
            <v>Boston Beer Company</v>
          </cell>
          <cell r="K2375" t="str">
            <v>Package</v>
          </cell>
          <cell r="L2375" t="str">
            <v>Yes</v>
          </cell>
        </row>
        <row r="2376">
          <cell r="G2376" t="str">
            <v>Dogfish Head Beer</v>
          </cell>
          <cell r="H2376" t="str">
            <v>Boston Beer Company</v>
          </cell>
          <cell r="K2376" t="str">
            <v>Package</v>
          </cell>
          <cell r="L2376" t="str">
            <v>Yes</v>
          </cell>
        </row>
        <row r="2377">
          <cell r="G2377" t="str">
            <v>Dogfish Head Beer</v>
          </cell>
          <cell r="H2377" t="str">
            <v>Boston Beer Company</v>
          </cell>
          <cell r="K2377" t="str">
            <v>Draft</v>
          </cell>
          <cell r="L2377" t="str">
            <v>Yes</v>
          </cell>
        </row>
        <row r="2378">
          <cell r="G2378" t="str">
            <v>Dogfish Head Beer</v>
          </cell>
          <cell r="H2378" t="str">
            <v>Boston Beer Company</v>
          </cell>
          <cell r="K2378" t="str">
            <v>Draft</v>
          </cell>
          <cell r="L2378" t="str">
            <v>Yes</v>
          </cell>
        </row>
        <row r="2379">
          <cell r="G2379" t="str">
            <v>Dogfish Head Beer</v>
          </cell>
          <cell r="H2379" t="str">
            <v>Boston Beer Company</v>
          </cell>
          <cell r="K2379" t="str">
            <v>Package</v>
          </cell>
          <cell r="L2379" t="str">
            <v>Yes</v>
          </cell>
        </row>
        <row r="2380">
          <cell r="G2380" t="str">
            <v>Dogfish Head Beer</v>
          </cell>
          <cell r="H2380" t="str">
            <v>Boston Beer Company</v>
          </cell>
          <cell r="K2380" t="str">
            <v>Package</v>
          </cell>
          <cell r="L2380" t="str">
            <v>Yes</v>
          </cell>
        </row>
        <row r="2381">
          <cell r="G2381" t="str">
            <v>Dogfish Head Beer</v>
          </cell>
          <cell r="H2381" t="str">
            <v>Boston Beer Company</v>
          </cell>
          <cell r="K2381" t="str">
            <v>Draft</v>
          </cell>
          <cell r="L2381" t="str">
            <v>Yes</v>
          </cell>
        </row>
        <row r="2382">
          <cell r="G2382" t="str">
            <v>Dogfish Head Beer</v>
          </cell>
          <cell r="H2382" t="str">
            <v>Boston Beer Company</v>
          </cell>
          <cell r="K2382" t="str">
            <v>Draft</v>
          </cell>
          <cell r="L2382" t="str">
            <v>Yes</v>
          </cell>
        </row>
        <row r="2383">
          <cell r="G2383" t="str">
            <v>Dogfish Head Beer</v>
          </cell>
          <cell r="H2383" t="str">
            <v>Boston Beer Company</v>
          </cell>
          <cell r="K2383" t="str">
            <v>Package</v>
          </cell>
          <cell r="L2383" t="str">
            <v>Yes</v>
          </cell>
        </row>
        <row r="2384">
          <cell r="G2384" t="str">
            <v>Dogfish Head Beer</v>
          </cell>
          <cell r="H2384" t="str">
            <v>Boston Beer Company</v>
          </cell>
          <cell r="K2384" t="str">
            <v>Package</v>
          </cell>
          <cell r="L2384" t="str">
            <v>Yes</v>
          </cell>
        </row>
        <row r="2385">
          <cell r="G2385" t="str">
            <v>Dogfish Head Beer</v>
          </cell>
          <cell r="H2385" t="str">
            <v>Boston Beer Company</v>
          </cell>
          <cell r="K2385" t="str">
            <v>Package</v>
          </cell>
          <cell r="L2385" t="str">
            <v>Yes</v>
          </cell>
        </row>
        <row r="2386">
          <cell r="G2386" t="str">
            <v>Dogfish Head Beer</v>
          </cell>
          <cell r="H2386" t="str">
            <v>Boston Beer Company</v>
          </cell>
          <cell r="K2386" t="str">
            <v>Package</v>
          </cell>
          <cell r="L2386" t="str">
            <v>Yes</v>
          </cell>
        </row>
        <row r="2387">
          <cell r="G2387" t="str">
            <v>Dogfish Head Beer</v>
          </cell>
          <cell r="H2387" t="str">
            <v>Boston Beer Company</v>
          </cell>
          <cell r="K2387" t="str">
            <v>Package</v>
          </cell>
          <cell r="L2387" t="str">
            <v>Yes</v>
          </cell>
        </row>
        <row r="2388">
          <cell r="G2388" t="str">
            <v>Dogfish Head Beer</v>
          </cell>
          <cell r="H2388" t="str">
            <v>Boston Beer Company</v>
          </cell>
          <cell r="K2388" t="str">
            <v>Package</v>
          </cell>
          <cell r="L2388" t="str">
            <v>Yes</v>
          </cell>
        </row>
        <row r="2389">
          <cell r="G2389" t="str">
            <v>Dogfish Head Beer</v>
          </cell>
          <cell r="H2389" t="str">
            <v>Boston Beer Company</v>
          </cell>
          <cell r="K2389" t="str">
            <v>Draft</v>
          </cell>
          <cell r="L2389" t="str">
            <v>No</v>
          </cell>
        </row>
        <row r="2390">
          <cell r="G2390" t="str">
            <v>Dogfish Head Beer</v>
          </cell>
          <cell r="H2390" t="str">
            <v>Boston Beer Company</v>
          </cell>
          <cell r="K2390" t="str">
            <v>Package</v>
          </cell>
          <cell r="L2390" t="str">
            <v>Yes</v>
          </cell>
        </row>
        <row r="2391">
          <cell r="G2391" t="str">
            <v>Dogfish Head Beer</v>
          </cell>
          <cell r="H2391" t="str">
            <v>Boston Beer Company</v>
          </cell>
          <cell r="K2391" t="str">
            <v>Package</v>
          </cell>
          <cell r="L2391" t="str">
            <v>Yes</v>
          </cell>
        </row>
        <row r="2392">
          <cell r="G2392" t="str">
            <v>Dogfish Head Beer</v>
          </cell>
          <cell r="H2392" t="str">
            <v>Boston Beer Company</v>
          </cell>
          <cell r="K2392" t="str">
            <v>Package</v>
          </cell>
          <cell r="L2392" t="str">
            <v>No</v>
          </cell>
        </row>
        <row r="2393">
          <cell r="G2393" t="str">
            <v>Dogfish Head Beer</v>
          </cell>
          <cell r="H2393" t="str">
            <v>Boston Beer Company</v>
          </cell>
          <cell r="K2393" t="str">
            <v>Draft</v>
          </cell>
          <cell r="L2393" t="str">
            <v>Yes</v>
          </cell>
        </row>
        <row r="2394">
          <cell r="G2394" t="str">
            <v>Dogfish Head Beer</v>
          </cell>
          <cell r="H2394" t="str">
            <v>Boston Beer Company</v>
          </cell>
          <cell r="K2394" t="str">
            <v>Package</v>
          </cell>
          <cell r="L2394" t="str">
            <v>Yes</v>
          </cell>
        </row>
        <row r="2395">
          <cell r="G2395" t="str">
            <v>Dogfish Head Beer</v>
          </cell>
          <cell r="H2395" t="str">
            <v>Boston Beer Company</v>
          </cell>
          <cell r="K2395" t="str">
            <v>Package</v>
          </cell>
          <cell r="L2395" t="str">
            <v>No</v>
          </cell>
        </row>
        <row r="2396">
          <cell r="G2396" t="str">
            <v>Dogfish Head Beer</v>
          </cell>
          <cell r="H2396" t="str">
            <v>Boston Beer Company</v>
          </cell>
          <cell r="K2396" t="str">
            <v>Package</v>
          </cell>
          <cell r="L2396" t="str">
            <v>Yes</v>
          </cell>
        </row>
        <row r="2397">
          <cell r="G2397" t="str">
            <v>Dogfish Head Beer</v>
          </cell>
          <cell r="H2397" t="str">
            <v>Boston Beer Company</v>
          </cell>
          <cell r="K2397" t="str">
            <v>Package</v>
          </cell>
          <cell r="L2397" t="str">
            <v>Yes</v>
          </cell>
        </row>
        <row r="2398">
          <cell r="G2398" t="str">
            <v>Dogfish Head Beer</v>
          </cell>
          <cell r="H2398" t="str">
            <v>Boston Beer Company</v>
          </cell>
          <cell r="K2398" t="str">
            <v>Draft</v>
          </cell>
          <cell r="L2398" t="str">
            <v>Yes</v>
          </cell>
        </row>
        <row r="2399">
          <cell r="G2399" t="str">
            <v>Dogfish Head Beer</v>
          </cell>
          <cell r="H2399" t="str">
            <v>Boston Beer Company</v>
          </cell>
          <cell r="K2399" t="str">
            <v>Draft</v>
          </cell>
          <cell r="L2399" t="str">
            <v>Yes</v>
          </cell>
        </row>
        <row r="2400">
          <cell r="G2400" t="str">
            <v>Dogfish Head Beer</v>
          </cell>
          <cell r="H2400" t="str">
            <v>Boston Beer Company</v>
          </cell>
          <cell r="K2400" t="str">
            <v>Draft</v>
          </cell>
          <cell r="L2400" t="str">
            <v>Yes</v>
          </cell>
        </row>
        <row r="2401">
          <cell r="G2401" t="str">
            <v>Dogfish Head Beer</v>
          </cell>
          <cell r="H2401" t="str">
            <v>Boston Beer Company</v>
          </cell>
          <cell r="K2401" t="str">
            <v>Draft</v>
          </cell>
          <cell r="L2401" t="str">
            <v>No</v>
          </cell>
        </row>
        <row r="2402">
          <cell r="G2402" t="str">
            <v>Dogfish Head Beer</v>
          </cell>
          <cell r="H2402" t="str">
            <v>Boston Beer Company</v>
          </cell>
          <cell r="K2402" t="str">
            <v>Draft</v>
          </cell>
          <cell r="L2402" t="str">
            <v>No</v>
          </cell>
        </row>
        <row r="2403">
          <cell r="G2403" t="str">
            <v>Dogfish Head Beer</v>
          </cell>
          <cell r="H2403" t="str">
            <v>Boston Beer Company</v>
          </cell>
          <cell r="K2403" t="str">
            <v>Package</v>
          </cell>
          <cell r="L2403" t="str">
            <v>No</v>
          </cell>
        </row>
        <row r="2404">
          <cell r="G2404" t="str">
            <v>Dogfish Head Beer</v>
          </cell>
          <cell r="H2404" t="str">
            <v>Boston Beer Company</v>
          </cell>
          <cell r="K2404" t="str">
            <v>Package</v>
          </cell>
          <cell r="L2404" t="str">
            <v>Yes</v>
          </cell>
        </row>
        <row r="2405">
          <cell r="G2405" t="str">
            <v>Dogfish Head Beer</v>
          </cell>
          <cell r="H2405" t="str">
            <v>Boston Beer Company</v>
          </cell>
          <cell r="K2405" t="str">
            <v>Draft</v>
          </cell>
          <cell r="L2405" t="str">
            <v>Yes</v>
          </cell>
        </row>
        <row r="2406">
          <cell r="G2406" t="str">
            <v>Dogfish Head Beer</v>
          </cell>
          <cell r="H2406" t="str">
            <v>Boston Beer Company</v>
          </cell>
          <cell r="K2406" t="str">
            <v>Package</v>
          </cell>
          <cell r="L2406" t="str">
            <v>Yes</v>
          </cell>
        </row>
        <row r="2407">
          <cell r="G2407" t="str">
            <v>Dogfish Head Beer</v>
          </cell>
          <cell r="H2407" t="str">
            <v>Boston Beer Company</v>
          </cell>
          <cell r="K2407" t="str">
            <v>Package</v>
          </cell>
          <cell r="L2407" t="str">
            <v>Yes</v>
          </cell>
        </row>
        <row r="2408">
          <cell r="G2408" t="str">
            <v>Dogfish Head Beer</v>
          </cell>
          <cell r="H2408" t="str">
            <v>Boston Beer Company</v>
          </cell>
          <cell r="K2408" t="str">
            <v>Package</v>
          </cell>
          <cell r="L2408" t="str">
            <v>Yes</v>
          </cell>
        </row>
        <row r="2409">
          <cell r="G2409" t="str">
            <v>Dogfish Head Beer</v>
          </cell>
          <cell r="H2409" t="str">
            <v>Boston Beer Company</v>
          </cell>
          <cell r="K2409" t="str">
            <v>Package</v>
          </cell>
          <cell r="L2409" t="str">
            <v>Yes</v>
          </cell>
        </row>
        <row r="2410">
          <cell r="G2410" t="str">
            <v>Dogfish Head Beer</v>
          </cell>
          <cell r="H2410" t="str">
            <v>Boston Beer Company</v>
          </cell>
          <cell r="K2410" t="str">
            <v>Package</v>
          </cell>
          <cell r="L2410" t="str">
            <v>Yes</v>
          </cell>
        </row>
        <row r="2411">
          <cell r="G2411" t="str">
            <v>Dogfish Head Beer</v>
          </cell>
          <cell r="H2411" t="str">
            <v>Boston Beer Company</v>
          </cell>
          <cell r="K2411" t="str">
            <v>Draft</v>
          </cell>
          <cell r="L2411" t="str">
            <v>Yes</v>
          </cell>
        </row>
        <row r="2412">
          <cell r="G2412" t="str">
            <v>Dogfish Head Beer</v>
          </cell>
          <cell r="H2412" t="str">
            <v>Boston Beer Company</v>
          </cell>
          <cell r="K2412" t="str">
            <v>Draft</v>
          </cell>
          <cell r="L2412" t="str">
            <v>Yes</v>
          </cell>
        </row>
        <row r="2413">
          <cell r="G2413" t="str">
            <v>Dogfish Head Beer</v>
          </cell>
          <cell r="H2413" t="str">
            <v>Boston Beer Company</v>
          </cell>
          <cell r="K2413" t="str">
            <v>Package</v>
          </cell>
          <cell r="L2413" t="str">
            <v>Yes</v>
          </cell>
        </row>
        <row r="2414">
          <cell r="G2414" t="str">
            <v>Dogfish Head Beer</v>
          </cell>
          <cell r="H2414" t="str">
            <v>Boston Beer Company</v>
          </cell>
          <cell r="K2414" t="str">
            <v>Package</v>
          </cell>
          <cell r="L2414" t="str">
            <v>No</v>
          </cell>
        </row>
        <row r="2415">
          <cell r="G2415" t="str">
            <v>Dogfish Head Beer</v>
          </cell>
          <cell r="H2415" t="str">
            <v>Boston Beer Company</v>
          </cell>
          <cell r="K2415" t="str">
            <v>Package</v>
          </cell>
          <cell r="L2415" t="str">
            <v>No</v>
          </cell>
        </row>
        <row r="2416">
          <cell r="G2416" t="str">
            <v>Dogfish Head Beer</v>
          </cell>
          <cell r="H2416" t="str">
            <v>Boston Beer Company</v>
          </cell>
          <cell r="K2416" t="str">
            <v>Package</v>
          </cell>
          <cell r="L2416" t="str">
            <v>No</v>
          </cell>
        </row>
        <row r="2417">
          <cell r="G2417" t="str">
            <v>Dogfish Head Beer</v>
          </cell>
          <cell r="H2417" t="str">
            <v>Boston Beer Company</v>
          </cell>
          <cell r="K2417" t="str">
            <v>Draft</v>
          </cell>
          <cell r="L2417" t="str">
            <v>No</v>
          </cell>
        </row>
        <row r="2418">
          <cell r="G2418" t="str">
            <v>Dogfish Head Beer</v>
          </cell>
          <cell r="H2418" t="str">
            <v>Boston Beer Company</v>
          </cell>
          <cell r="K2418" t="str">
            <v>Draft</v>
          </cell>
          <cell r="L2418" t="str">
            <v>No</v>
          </cell>
        </row>
        <row r="2419">
          <cell r="G2419" t="str">
            <v>Dogfish Head Beer</v>
          </cell>
          <cell r="H2419" t="str">
            <v>Boston Beer Company</v>
          </cell>
          <cell r="K2419" t="str">
            <v>Package</v>
          </cell>
          <cell r="L2419" t="str">
            <v>No</v>
          </cell>
        </row>
        <row r="2420">
          <cell r="G2420" t="str">
            <v>Dogfish Head Beer</v>
          </cell>
          <cell r="H2420" t="str">
            <v>Boston Beer Company</v>
          </cell>
          <cell r="K2420" t="str">
            <v>Package</v>
          </cell>
          <cell r="L2420" t="str">
            <v>No</v>
          </cell>
        </row>
        <row r="2421">
          <cell r="G2421" t="str">
            <v>Dogfish Head Beer</v>
          </cell>
          <cell r="H2421" t="str">
            <v>Boston Beer Company</v>
          </cell>
          <cell r="K2421" t="str">
            <v>Package</v>
          </cell>
          <cell r="L2421" t="str">
            <v>No</v>
          </cell>
        </row>
        <row r="2422">
          <cell r="G2422" t="str">
            <v>Dogfish Head Beer</v>
          </cell>
          <cell r="H2422" t="str">
            <v>Boston Beer Company</v>
          </cell>
          <cell r="K2422" t="str">
            <v>Package</v>
          </cell>
          <cell r="L2422" t="str">
            <v>No</v>
          </cell>
        </row>
        <row r="2423">
          <cell r="G2423" t="str">
            <v>Dogfish Head Beer</v>
          </cell>
          <cell r="H2423" t="str">
            <v>Boston Beer Company</v>
          </cell>
          <cell r="K2423" t="str">
            <v>Package</v>
          </cell>
          <cell r="L2423" t="str">
            <v>No</v>
          </cell>
        </row>
        <row r="2424">
          <cell r="G2424" t="str">
            <v>Dogfish Head Beer</v>
          </cell>
          <cell r="H2424" t="str">
            <v>Boston Beer Company</v>
          </cell>
          <cell r="K2424" t="str">
            <v>Package</v>
          </cell>
          <cell r="L2424" t="str">
            <v>No</v>
          </cell>
        </row>
        <row r="2425">
          <cell r="G2425" t="str">
            <v>Dogfish Head Beer</v>
          </cell>
          <cell r="H2425" t="str">
            <v>Boston Beer Company</v>
          </cell>
          <cell r="K2425" t="str">
            <v>Package</v>
          </cell>
          <cell r="L2425" t="str">
            <v>No</v>
          </cell>
        </row>
        <row r="2426">
          <cell r="G2426" t="str">
            <v>Dogfish Head Beer</v>
          </cell>
          <cell r="H2426" t="str">
            <v>Boston Beer Company</v>
          </cell>
          <cell r="K2426" t="str">
            <v>Draft</v>
          </cell>
          <cell r="L2426" t="str">
            <v>No</v>
          </cell>
        </row>
        <row r="2427">
          <cell r="G2427" t="str">
            <v>Dogfish Head Beer</v>
          </cell>
          <cell r="H2427" t="str">
            <v>Boston Beer Company</v>
          </cell>
          <cell r="K2427" t="str">
            <v>Draft</v>
          </cell>
          <cell r="L2427" t="str">
            <v>No</v>
          </cell>
        </row>
        <row r="2428">
          <cell r="G2428" t="str">
            <v>Dogfish Head Beer</v>
          </cell>
          <cell r="H2428" t="str">
            <v>Boston Beer Company</v>
          </cell>
          <cell r="K2428" t="str">
            <v>Package</v>
          </cell>
          <cell r="L2428" t="str">
            <v>No</v>
          </cell>
        </row>
        <row r="2429">
          <cell r="G2429" t="str">
            <v>Dogfish Head Beer</v>
          </cell>
          <cell r="H2429" t="str">
            <v>Boston Beer Company</v>
          </cell>
          <cell r="K2429" t="str">
            <v>Draft</v>
          </cell>
          <cell r="L2429" t="str">
            <v>No</v>
          </cell>
        </row>
        <row r="2430">
          <cell r="G2430" t="str">
            <v>Dogfish Head Beer</v>
          </cell>
          <cell r="H2430" t="str">
            <v>Boston Beer Company</v>
          </cell>
          <cell r="K2430" t="str">
            <v>Package</v>
          </cell>
          <cell r="L2430" t="str">
            <v>No</v>
          </cell>
        </row>
        <row r="2431">
          <cell r="G2431" t="str">
            <v>Dogfish Head Beer</v>
          </cell>
          <cell r="H2431" t="str">
            <v>Boston Beer Company</v>
          </cell>
          <cell r="K2431" t="str">
            <v>Draft</v>
          </cell>
          <cell r="L2431" t="str">
            <v>No</v>
          </cell>
        </row>
        <row r="2432">
          <cell r="G2432" t="str">
            <v>Dogfish Head Beer</v>
          </cell>
          <cell r="H2432" t="str">
            <v>Boston Beer Company</v>
          </cell>
          <cell r="K2432" t="str">
            <v>Package</v>
          </cell>
          <cell r="L2432" t="str">
            <v>Yes</v>
          </cell>
        </row>
        <row r="2433">
          <cell r="G2433" t="str">
            <v>Dogfish Head Beer</v>
          </cell>
          <cell r="H2433" t="str">
            <v>Boston Beer Company</v>
          </cell>
          <cell r="K2433" t="str">
            <v>Package</v>
          </cell>
          <cell r="L2433" t="str">
            <v>Yes</v>
          </cell>
        </row>
        <row r="2434">
          <cell r="G2434" t="str">
            <v>Dogfish Head Beer</v>
          </cell>
          <cell r="H2434" t="str">
            <v>Boston Beer Company</v>
          </cell>
          <cell r="K2434" t="str">
            <v>Package</v>
          </cell>
          <cell r="L2434" t="str">
            <v>Yes</v>
          </cell>
        </row>
        <row r="2435">
          <cell r="G2435" t="str">
            <v>Dogfish Head Beer</v>
          </cell>
          <cell r="H2435" t="str">
            <v>Boston Beer Company</v>
          </cell>
          <cell r="K2435" t="str">
            <v>Draft</v>
          </cell>
          <cell r="L2435" t="str">
            <v>Yes</v>
          </cell>
        </row>
        <row r="2436">
          <cell r="G2436" t="str">
            <v>Dogfish Head Beer</v>
          </cell>
          <cell r="H2436" t="str">
            <v>Boston Beer Company</v>
          </cell>
          <cell r="K2436" t="str">
            <v>Package</v>
          </cell>
          <cell r="L2436" t="str">
            <v>Yes</v>
          </cell>
        </row>
        <row r="2437">
          <cell r="G2437" t="str">
            <v>Dogfish Head Beer</v>
          </cell>
          <cell r="H2437" t="str">
            <v>Boston Beer Company</v>
          </cell>
          <cell r="K2437" t="str">
            <v>Draft</v>
          </cell>
          <cell r="L2437" t="str">
            <v>Yes</v>
          </cell>
        </row>
        <row r="2438">
          <cell r="G2438" t="str">
            <v>Dogfish Head Beer</v>
          </cell>
          <cell r="H2438" t="str">
            <v>Boston Beer Company</v>
          </cell>
          <cell r="K2438" t="str">
            <v>Package</v>
          </cell>
          <cell r="L2438" t="str">
            <v>Yes</v>
          </cell>
        </row>
        <row r="2439">
          <cell r="G2439" t="str">
            <v>Dogfish Head Beer</v>
          </cell>
          <cell r="H2439" t="str">
            <v>Boston Beer Company</v>
          </cell>
          <cell r="K2439" t="str">
            <v>Draft</v>
          </cell>
          <cell r="L2439" t="str">
            <v>Yes</v>
          </cell>
        </row>
        <row r="2440">
          <cell r="G2440" t="str">
            <v>Dogfish Head Beer</v>
          </cell>
          <cell r="H2440" t="str">
            <v>Boston Beer Company</v>
          </cell>
          <cell r="K2440" t="str">
            <v>Package</v>
          </cell>
          <cell r="L2440" t="str">
            <v>Yes</v>
          </cell>
        </row>
        <row r="2441">
          <cell r="G2441" t="str">
            <v>Dogfish Head Beer</v>
          </cell>
          <cell r="H2441" t="str">
            <v>Boston Beer Company</v>
          </cell>
          <cell r="K2441" t="str">
            <v>Package</v>
          </cell>
          <cell r="L2441" t="str">
            <v>Yes</v>
          </cell>
        </row>
        <row r="2442">
          <cell r="G2442" t="str">
            <v>Dogfish Head Beer</v>
          </cell>
          <cell r="H2442" t="str">
            <v>Boston Beer Company</v>
          </cell>
          <cell r="K2442" t="str">
            <v>Package</v>
          </cell>
          <cell r="L2442" t="str">
            <v>Yes</v>
          </cell>
        </row>
        <row r="2443">
          <cell r="G2443" t="str">
            <v>Dogfish Head Beer</v>
          </cell>
          <cell r="H2443" t="str">
            <v>Boston Beer Company</v>
          </cell>
          <cell r="K2443" t="str">
            <v>Draft</v>
          </cell>
          <cell r="L2443" t="str">
            <v>Yes</v>
          </cell>
        </row>
        <row r="2444">
          <cell r="G2444" t="str">
            <v>Dogfish Head Beer</v>
          </cell>
          <cell r="H2444" t="str">
            <v>Boston Beer Company</v>
          </cell>
          <cell r="K2444" t="str">
            <v>Package</v>
          </cell>
          <cell r="L2444" t="str">
            <v>Yes</v>
          </cell>
        </row>
        <row r="2445">
          <cell r="G2445" t="str">
            <v>Dogfish Head Beer</v>
          </cell>
          <cell r="H2445" t="str">
            <v>Boston Beer Company</v>
          </cell>
          <cell r="K2445" t="str">
            <v>Draft</v>
          </cell>
          <cell r="L2445" t="str">
            <v>Yes</v>
          </cell>
        </row>
        <row r="2446">
          <cell r="G2446" t="str">
            <v>Dogfish Head Beer</v>
          </cell>
          <cell r="H2446" t="str">
            <v>Boston Beer Company</v>
          </cell>
          <cell r="K2446" t="str">
            <v>Package</v>
          </cell>
          <cell r="L2446" t="str">
            <v>Yes</v>
          </cell>
        </row>
        <row r="2447">
          <cell r="G2447" t="str">
            <v>Dogfish Head Beer</v>
          </cell>
          <cell r="H2447" t="str">
            <v>Boston Beer Company</v>
          </cell>
          <cell r="K2447" t="str">
            <v>Package</v>
          </cell>
          <cell r="L2447" t="str">
            <v>Yes</v>
          </cell>
        </row>
        <row r="2448">
          <cell r="G2448" t="str">
            <v>Dogfish Head Beer</v>
          </cell>
          <cell r="H2448" t="str">
            <v>Boston Beer Company</v>
          </cell>
          <cell r="K2448" t="str">
            <v>Package</v>
          </cell>
          <cell r="L2448" t="str">
            <v>Yes</v>
          </cell>
        </row>
        <row r="2449">
          <cell r="G2449" t="str">
            <v>Dogfish Head Beer</v>
          </cell>
          <cell r="H2449" t="str">
            <v>Boston Beer Company</v>
          </cell>
          <cell r="K2449" t="str">
            <v>Package</v>
          </cell>
          <cell r="L2449" t="str">
            <v>Yes</v>
          </cell>
        </row>
        <row r="2450">
          <cell r="G2450" t="str">
            <v>Dogfish Head Beer</v>
          </cell>
          <cell r="H2450" t="str">
            <v>Boston Beer Company</v>
          </cell>
          <cell r="K2450" t="str">
            <v>Package</v>
          </cell>
          <cell r="L2450" t="str">
            <v>Yes</v>
          </cell>
        </row>
        <row r="2451">
          <cell r="G2451" t="str">
            <v>Dogfish Head Beer</v>
          </cell>
          <cell r="H2451" t="str">
            <v>Boston Beer Company</v>
          </cell>
          <cell r="K2451" t="str">
            <v>Draft</v>
          </cell>
          <cell r="L2451" t="str">
            <v>Yes</v>
          </cell>
        </row>
        <row r="2452">
          <cell r="G2452" t="str">
            <v>Dogfish Head Beer</v>
          </cell>
          <cell r="H2452" t="str">
            <v>Boston Beer Company</v>
          </cell>
          <cell r="K2452" t="str">
            <v>Draft</v>
          </cell>
          <cell r="L2452" t="str">
            <v>Yes</v>
          </cell>
        </row>
        <row r="2453">
          <cell r="G2453" t="str">
            <v>Dogfish Head Beer</v>
          </cell>
          <cell r="H2453" t="str">
            <v>Boston Beer Company</v>
          </cell>
          <cell r="K2453" t="str">
            <v>Package</v>
          </cell>
          <cell r="L2453" t="str">
            <v>Yes</v>
          </cell>
        </row>
        <row r="2454">
          <cell r="G2454" t="str">
            <v>Dogfish Head Beer</v>
          </cell>
          <cell r="H2454" t="str">
            <v>Boston Beer Company</v>
          </cell>
          <cell r="K2454" t="str">
            <v>Package</v>
          </cell>
          <cell r="L2454" t="str">
            <v>Yes</v>
          </cell>
        </row>
        <row r="2455">
          <cell r="G2455" t="str">
            <v>Dogfish Head Beer</v>
          </cell>
          <cell r="H2455" t="str">
            <v>Boston Beer Company</v>
          </cell>
          <cell r="K2455" t="str">
            <v>Package</v>
          </cell>
          <cell r="L2455" t="str">
            <v>Yes</v>
          </cell>
        </row>
        <row r="2456">
          <cell r="G2456" t="str">
            <v>Dogfish Head Beer</v>
          </cell>
          <cell r="H2456" t="str">
            <v>Boston Beer Company</v>
          </cell>
          <cell r="K2456" t="str">
            <v>Package</v>
          </cell>
          <cell r="L2456" t="str">
            <v>Yes</v>
          </cell>
        </row>
        <row r="2457">
          <cell r="G2457" t="str">
            <v>Dogfish Head Beer</v>
          </cell>
          <cell r="H2457" t="str">
            <v>Boston Beer Company</v>
          </cell>
          <cell r="K2457" t="str">
            <v>Package</v>
          </cell>
          <cell r="L2457" t="str">
            <v>Yes</v>
          </cell>
        </row>
        <row r="2458">
          <cell r="G2458" t="str">
            <v>Dogfish Head Beer</v>
          </cell>
          <cell r="H2458" t="str">
            <v>Boston Beer Company</v>
          </cell>
          <cell r="K2458" t="str">
            <v>Package</v>
          </cell>
          <cell r="L2458" t="str">
            <v>Yes</v>
          </cell>
        </row>
        <row r="2459">
          <cell r="G2459" t="str">
            <v>Dogfish Head Beer</v>
          </cell>
          <cell r="H2459" t="str">
            <v>Boston Beer Company</v>
          </cell>
          <cell r="K2459" t="str">
            <v>Package</v>
          </cell>
          <cell r="L2459" t="str">
            <v>Yes</v>
          </cell>
        </row>
        <row r="2460">
          <cell r="G2460" t="str">
            <v>Dogfish Head Beer</v>
          </cell>
          <cell r="H2460" t="str">
            <v>Boston Beer Company</v>
          </cell>
          <cell r="K2460" t="str">
            <v>Package</v>
          </cell>
          <cell r="L2460" t="str">
            <v>Yes</v>
          </cell>
        </row>
        <row r="2461">
          <cell r="G2461" t="str">
            <v>Dogfish Head Beer</v>
          </cell>
          <cell r="H2461" t="str">
            <v>Boston Beer Company</v>
          </cell>
          <cell r="K2461" t="str">
            <v>Draft</v>
          </cell>
          <cell r="L2461" t="str">
            <v>Yes</v>
          </cell>
        </row>
        <row r="2462">
          <cell r="G2462" t="str">
            <v>Dogfish Head Beer</v>
          </cell>
          <cell r="H2462" t="str">
            <v>Boston Beer Company</v>
          </cell>
          <cell r="K2462" t="str">
            <v>Draft</v>
          </cell>
          <cell r="L2462" t="str">
            <v>Yes</v>
          </cell>
        </row>
        <row r="2463">
          <cell r="G2463" t="str">
            <v>Dogfish Head Beer</v>
          </cell>
          <cell r="H2463" t="str">
            <v>Boston Beer Company</v>
          </cell>
          <cell r="K2463" t="str">
            <v>Package</v>
          </cell>
          <cell r="L2463" t="str">
            <v>Yes</v>
          </cell>
        </row>
        <row r="2464">
          <cell r="G2464" t="str">
            <v>Dogfish Head Beer</v>
          </cell>
          <cell r="H2464" t="str">
            <v>Boston Beer Company</v>
          </cell>
          <cell r="K2464" t="str">
            <v>Package</v>
          </cell>
          <cell r="L2464" t="str">
            <v>Yes</v>
          </cell>
        </row>
        <row r="2465">
          <cell r="G2465" t="str">
            <v>Dogfish Head Beer</v>
          </cell>
          <cell r="H2465" t="str">
            <v>Boston Beer Company</v>
          </cell>
          <cell r="K2465" t="str">
            <v>Package</v>
          </cell>
          <cell r="L2465" t="str">
            <v>Yes</v>
          </cell>
        </row>
        <row r="2466">
          <cell r="G2466" t="str">
            <v>Dogfish Head Beer</v>
          </cell>
          <cell r="H2466" t="str">
            <v>Boston Beer Company</v>
          </cell>
          <cell r="K2466" t="str">
            <v>Package</v>
          </cell>
          <cell r="L2466" t="str">
            <v>Yes</v>
          </cell>
        </row>
        <row r="2467">
          <cell r="G2467" t="str">
            <v>Dogfish Head Beer</v>
          </cell>
          <cell r="H2467" t="str">
            <v>Boston Beer Company</v>
          </cell>
          <cell r="K2467" t="str">
            <v>Package</v>
          </cell>
          <cell r="L2467" t="str">
            <v>Yes</v>
          </cell>
        </row>
        <row r="2468">
          <cell r="G2468" t="str">
            <v>Dogfish Head Beer</v>
          </cell>
          <cell r="H2468" t="str">
            <v>Boston Beer Company</v>
          </cell>
          <cell r="K2468" t="str">
            <v>Package</v>
          </cell>
          <cell r="L2468" t="str">
            <v>Yes</v>
          </cell>
        </row>
        <row r="2469">
          <cell r="G2469" t="str">
            <v>Dogfish Head Beer</v>
          </cell>
          <cell r="H2469" t="str">
            <v>Boston Beer Company</v>
          </cell>
          <cell r="K2469" t="str">
            <v>Package</v>
          </cell>
          <cell r="L2469" t="str">
            <v>Yes</v>
          </cell>
        </row>
        <row r="2470">
          <cell r="G2470" t="str">
            <v>Dogfish Head Beer</v>
          </cell>
          <cell r="H2470" t="str">
            <v>Boston Beer Company</v>
          </cell>
          <cell r="K2470" t="str">
            <v>Package</v>
          </cell>
          <cell r="L2470" t="str">
            <v>Yes</v>
          </cell>
        </row>
        <row r="2471">
          <cell r="G2471" t="str">
            <v>Shiner</v>
          </cell>
          <cell r="H2471" t="str">
            <v>Gambrinus Imports</v>
          </cell>
          <cell r="K2471" t="str">
            <v>Package</v>
          </cell>
          <cell r="L2471" t="str">
            <v>Yes</v>
          </cell>
        </row>
        <row r="2472">
          <cell r="G2472" t="str">
            <v>Shiner</v>
          </cell>
          <cell r="H2472" t="str">
            <v>Gambrinus Imports</v>
          </cell>
          <cell r="K2472" t="str">
            <v>Package</v>
          </cell>
          <cell r="L2472" t="str">
            <v>Yes</v>
          </cell>
        </row>
        <row r="2473">
          <cell r="G2473" t="str">
            <v>Shiner</v>
          </cell>
          <cell r="H2473" t="str">
            <v>Gambrinus Imports</v>
          </cell>
          <cell r="K2473" t="str">
            <v>Draft</v>
          </cell>
          <cell r="L2473" t="str">
            <v>Yes</v>
          </cell>
        </row>
        <row r="2474">
          <cell r="G2474" t="str">
            <v>Shiner</v>
          </cell>
          <cell r="H2474" t="str">
            <v>Gambrinus Imports</v>
          </cell>
          <cell r="K2474" t="str">
            <v>Package</v>
          </cell>
          <cell r="L2474" t="str">
            <v>Yes</v>
          </cell>
        </row>
        <row r="2475">
          <cell r="G2475" t="str">
            <v>Shiner</v>
          </cell>
          <cell r="H2475" t="str">
            <v>Gambrinus Imports</v>
          </cell>
          <cell r="K2475" t="str">
            <v>Package</v>
          </cell>
          <cell r="L2475" t="str">
            <v>Yes</v>
          </cell>
        </row>
        <row r="2476">
          <cell r="G2476" t="str">
            <v>Shiner</v>
          </cell>
          <cell r="H2476" t="str">
            <v>Gambrinus Imports</v>
          </cell>
          <cell r="K2476" t="str">
            <v>Package</v>
          </cell>
          <cell r="L2476" t="str">
            <v>Yes</v>
          </cell>
        </row>
        <row r="2477">
          <cell r="G2477" t="str">
            <v>Sparkling Ice</v>
          </cell>
          <cell r="H2477" t="str">
            <v>Talking Rain</v>
          </cell>
          <cell r="K2477" t="str">
            <v>Package</v>
          </cell>
          <cell r="L2477" t="str">
            <v>Yes</v>
          </cell>
        </row>
        <row r="2478">
          <cell r="G2478" t="str">
            <v>Flying Fish</v>
          </cell>
          <cell r="H2478" t="str">
            <v>Flying Fish</v>
          </cell>
          <cell r="K2478" t="str">
            <v>Package</v>
          </cell>
          <cell r="L2478" t="str">
            <v>No</v>
          </cell>
        </row>
        <row r="2479">
          <cell r="G2479" t="str">
            <v>Flying Fish</v>
          </cell>
          <cell r="H2479" t="str">
            <v>Flying Fish</v>
          </cell>
          <cell r="K2479" t="str">
            <v>Draft</v>
          </cell>
          <cell r="L2479" t="str">
            <v>No</v>
          </cell>
        </row>
        <row r="2480">
          <cell r="G2480" t="str">
            <v>Flying Fish</v>
          </cell>
          <cell r="H2480" t="str">
            <v>Flying Fish</v>
          </cell>
          <cell r="K2480" t="str">
            <v>Draft</v>
          </cell>
          <cell r="L2480" t="str">
            <v>No</v>
          </cell>
        </row>
        <row r="2481">
          <cell r="G2481" t="str">
            <v>Flying Fish</v>
          </cell>
          <cell r="H2481" t="str">
            <v>Flying Fish</v>
          </cell>
          <cell r="K2481" t="str">
            <v>Package</v>
          </cell>
          <cell r="L2481" t="str">
            <v>No</v>
          </cell>
        </row>
        <row r="2482">
          <cell r="G2482" t="str">
            <v>Flying Fish</v>
          </cell>
          <cell r="H2482" t="str">
            <v>Flying Fish</v>
          </cell>
          <cell r="K2482" t="str">
            <v>Package</v>
          </cell>
          <cell r="L2482" t="str">
            <v>No</v>
          </cell>
        </row>
        <row r="2483">
          <cell r="G2483" t="str">
            <v>Flying Fish</v>
          </cell>
          <cell r="H2483" t="str">
            <v>Flying Fish</v>
          </cell>
          <cell r="K2483" t="str">
            <v>Package</v>
          </cell>
          <cell r="L2483" t="str">
            <v>Yes</v>
          </cell>
        </row>
        <row r="2484">
          <cell r="G2484" t="str">
            <v>Flying Fish</v>
          </cell>
          <cell r="H2484" t="str">
            <v>Flying Fish</v>
          </cell>
          <cell r="K2484" t="str">
            <v>Draft</v>
          </cell>
          <cell r="L2484" t="str">
            <v>Yes</v>
          </cell>
        </row>
        <row r="2485">
          <cell r="G2485" t="str">
            <v>Flying Fish</v>
          </cell>
          <cell r="H2485" t="str">
            <v>Flying Fish</v>
          </cell>
          <cell r="K2485" t="str">
            <v>Draft</v>
          </cell>
          <cell r="L2485" t="str">
            <v>No</v>
          </cell>
        </row>
        <row r="2486">
          <cell r="G2486" t="str">
            <v>Flying Fish</v>
          </cell>
          <cell r="H2486" t="str">
            <v>Flying Fish</v>
          </cell>
          <cell r="K2486" t="str">
            <v>Package</v>
          </cell>
          <cell r="L2486" t="str">
            <v>Yes</v>
          </cell>
        </row>
        <row r="2487">
          <cell r="G2487" t="str">
            <v>Flying Fish</v>
          </cell>
          <cell r="H2487" t="str">
            <v>Flying Fish</v>
          </cell>
          <cell r="K2487" t="str">
            <v>Package</v>
          </cell>
          <cell r="L2487" t="str">
            <v>Yes</v>
          </cell>
        </row>
        <row r="2488">
          <cell r="G2488" t="str">
            <v>Flying Fish</v>
          </cell>
          <cell r="H2488" t="str">
            <v>Flying Fish</v>
          </cell>
          <cell r="K2488" t="str">
            <v>Draft</v>
          </cell>
          <cell r="L2488" t="str">
            <v>Yes</v>
          </cell>
        </row>
        <row r="2489">
          <cell r="G2489" t="str">
            <v>Flying Fish</v>
          </cell>
          <cell r="H2489" t="str">
            <v>Flying Fish</v>
          </cell>
          <cell r="K2489" t="str">
            <v>Package</v>
          </cell>
          <cell r="L2489" t="str">
            <v>No</v>
          </cell>
        </row>
        <row r="2490">
          <cell r="G2490" t="str">
            <v>Flying Fish</v>
          </cell>
          <cell r="H2490" t="str">
            <v>Flying Fish</v>
          </cell>
          <cell r="K2490" t="str">
            <v>Package</v>
          </cell>
          <cell r="L2490" t="str">
            <v>No</v>
          </cell>
        </row>
        <row r="2491">
          <cell r="G2491" t="str">
            <v>Flying Fish</v>
          </cell>
          <cell r="H2491" t="str">
            <v>Flying Fish</v>
          </cell>
          <cell r="K2491" t="str">
            <v>Draft</v>
          </cell>
          <cell r="L2491" t="str">
            <v>No</v>
          </cell>
        </row>
        <row r="2492">
          <cell r="G2492" t="str">
            <v>Flying Fish</v>
          </cell>
          <cell r="H2492" t="str">
            <v>Flying Fish</v>
          </cell>
          <cell r="K2492" t="str">
            <v>Package</v>
          </cell>
          <cell r="L2492" t="str">
            <v>Yes</v>
          </cell>
        </row>
        <row r="2493">
          <cell r="G2493" t="str">
            <v>Flying Fish</v>
          </cell>
          <cell r="H2493" t="str">
            <v>Flying Fish</v>
          </cell>
          <cell r="K2493" t="str">
            <v>Package</v>
          </cell>
          <cell r="L2493" t="str">
            <v>Yes</v>
          </cell>
        </row>
        <row r="2494">
          <cell r="G2494" t="str">
            <v>Flying Fish</v>
          </cell>
          <cell r="H2494" t="str">
            <v>Flying Fish</v>
          </cell>
          <cell r="K2494" t="str">
            <v>Draft</v>
          </cell>
          <cell r="L2494" t="str">
            <v>Yes</v>
          </cell>
        </row>
        <row r="2495">
          <cell r="G2495" t="str">
            <v>Flying Fish</v>
          </cell>
          <cell r="H2495" t="str">
            <v>Flying Fish</v>
          </cell>
          <cell r="K2495" t="str">
            <v>Package</v>
          </cell>
          <cell r="L2495" t="str">
            <v>Yes</v>
          </cell>
        </row>
        <row r="2496">
          <cell r="G2496" t="str">
            <v>Flying Fish</v>
          </cell>
          <cell r="H2496" t="str">
            <v>Flying Fish</v>
          </cell>
          <cell r="K2496" t="str">
            <v>Package</v>
          </cell>
          <cell r="L2496" t="str">
            <v>Yes</v>
          </cell>
        </row>
        <row r="2497">
          <cell r="G2497" t="str">
            <v>Flying Fish</v>
          </cell>
          <cell r="H2497" t="str">
            <v>Flying Fish</v>
          </cell>
          <cell r="K2497" t="str">
            <v>Package</v>
          </cell>
          <cell r="L2497" t="str">
            <v>Yes</v>
          </cell>
        </row>
        <row r="2498">
          <cell r="G2498" t="str">
            <v>Flying Fish</v>
          </cell>
          <cell r="H2498" t="str">
            <v>Flying Fish</v>
          </cell>
          <cell r="K2498" t="str">
            <v>Package</v>
          </cell>
          <cell r="L2498" t="str">
            <v>Yes</v>
          </cell>
        </row>
        <row r="2499">
          <cell r="G2499" t="str">
            <v>Flying Fish</v>
          </cell>
          <cell r="H2499" t="str">
            <v>Flying Fish</v>
          </cell>
          <cell r="K2499" t="str">
            <v>Draft</v>
          </cell>
          <cell r="L2499" t="str">
            <v>Yes</v>
          </cell>
        </row>
        <row r="2500">
          <cell r="G2500" t="str">
            <v>Flying Fish</v>
          </cell>
          <cell r="H2500" t="str">
            <v>Flying Fish</v>
          </cell>
          <cell r="K2500" t="str">
            <v>Draft</v>
          </cell>
          <cell r="L2500" t="str">
            <v>Yes</v>
          </cell>
        </row>
        <row r="2501">
          <cell r="G2501" t="str">
            <v>Flying Fish</v>
          </cell>
          <cell r="H2501" t="str">
            <v>Flying Fish</v>
          </cell>
          <cell r="K2501" t="str">
            <v>Package</v>
          </cell>
          <cell r="L2501" t="str">
            <v>Yes</v>
          </cell>
        </row>
        <row r="2502">
          <cell r="G2502" t="str">
            <v>Flying Fish</v>
          </cell>
          <cell r="H2502" t="str">
            <v>Flying Fish</v>
          </cell>
          <cell r="K2502" t="str">
            <v>Draft</v>
          </cell>
          <cell r="L2502" t="str">
            <v>Yes</v>
          </cell>
        </row>
        <row r="2503">
          <cell r="G2503" t="str">
            <v>Sixpoint</v>
          </cell>
          <cell r="H2503" t="str">
            <v>Sixpoint Brewing</v>
          </cell>
          <cell r="K2503" t="str">
            <v>Package</v>
          </cell>
          <cell r="L2503" t="str">
            <v>No</v>
          </cell>
        </row>
        <row r="2504">
          <cell r="G2504" t="str">
            <v>Sixpoint</v>
          </cell>
          <cell r="H2504" t="str">
            <v>Sixpoint Brewing</v>
          </cell>
          <cell r="K2504" t="str">
            <v>Draft</v>
          </cell>
          <cell r="L2504" t="str">
            <v>No</v>
          </cell>
        </row>
        <row r="2505">
          <cell r="G2505" t="str">
            <v>Sixpoint</v>
          </cell>
          <cell r="H2505" t="str">
            <v>Sixpoint Brewing</v>
          </cell>
          <cell r="K2505" t="str">
            <v>Draft</v>
          </cell>
          <cell r="L2505" t="str">
            <v>No</v>
          </cell>
        </row>
        <row r="2506">
          <cell r="G2506" t="str">
            <v>River Horse Brewing Co</v>
          </cell>
          <cell r="H2506" t="str">
            <v>River Horse Brewing Co</v>
          </cell>
          <cell r="K2506" t="str">
            <v>Draft</v>
          </cell>
          <cell r="L2506" t="str">
            <v>No</v>
          </cell>
        </row>
        <row r="2507">
          <cell r="G2507" t="str">
            <v>Lagunitas</v>
          </cell>
          <cell r="H2507" t="str">
            <v>Lagunitas Brewing Co</v>
          </cell>
          <cell r="K2507" t="str">
            <v>Package</v>
          </cell>
          <cell r="L2507" t="str">
            <v>Yes</v>
          </cell>
        </row>
        <row r="2508">
          <cell r="G2508" t="str">
            <v>Lagunitas</v>
          </cell>
          <cell r="H2508" t="str">
            <v>Lagunitas Brewing Co</v>
          </cell>
          <cell r="K2508" t="str">
            <v>Package</v>
          </cell>
          <cell r="L2508" t="str">
            <v>Yes</v>
          </cell>
        </row>
        <row r="2509">
          <cell r="G2509" t="str">
            <v>Lagunitas</v>
          </cell>
          <cell r="H2509" t="str">
            <v>Lagunitas Brewing Co</v>
          </cell>
          <cell r="K2509" t="str">
            <v>Package</v>
          </cell>
          <cell r="L2509" t="str">
            <v>No</v>
          </cell>
        </row>
        <row r="2510">
          <cell r="G2510" t="str">
            <v>Lagunitas</v>
          </cell>
          <cell r="H2510" t="str">
            <v>Lagunitas Brewing Co</v>
          </cell>
          <cell r="K2510" t="str">
            <v>Package</v>
          </cell>
          <cell r="L2510" t="str">
            <v>Yes</v>
          </cell>
        </row>
        <row r="2511">
          <cell r="G2511" t="str">
            <v>Lagunitas</v>
          </cell>
          <cell r="H2511" t="str">
            <v>Lagunitas Brewing Co</v>
          </cell>
          <cell r="K2511" t="str">
            <v>Package</v>
          </cell>
          <cell r="L2511" t="str">
            <v>No</v>
          </cell>
        </row>
        <row r="2512">
          <cell r="G2512" t="str">
            <v>Lagunitas</v>
          </cell>
          <cell r="H2512" t="str">
            <v>Lagunitas Brewing Co</v>
          </cell>
          <cell r="K2512" t="str">
            <v>Package</v>
          </cell>
          <cell r="L2512" t="str">
            <v>Yes</v>
          </cell>
        </row>
        <row r="2513">
          <cell r="G2513" t="str">
            <v>Lagunitas</v>
          </cell>
          <cell r="H2513" t="str">
            <v>Lagunitas Brewing Co</v>
          </cell>
          <cell r="K2513" t="str">
            <v>Package</v>
          </cell>
          <cell r="L2513" t="str">
            <v>Yes</v>
          </cell>
        </row>
        <row r="2514">
          <cell r="G2514" t="str">
            <v>Lagunitas</v>
          </cell>
          <cell r="H2514" t="str">
            <v>Lagunitas Brewing Co</v>
          </cell>
          <cell r="K2514" t="str">
            <v>Package</v>
          </cell>
          <cell r="L2514" t="str">
            <v>Yes</v>
          </cell>
        </row>
        <row r="2515">
          <cell r="G2515" t="str">
            <v>Lagunitas</v>
          </cell>
          <cell r="H2515" t="str">
            <v>Lagunitas Brewing Co</v>
          </cell>
          <cell r="K2515" t="str">
            <v>Package</v>
          </cell>
          <cell r="L2515" t="str">
            <v>Yes</v>
          </cell>
        </row>
        <row r="2516">
          <cell r="G2516" t="str">
            <v>Lagunitas</v>
          </cell>
          <cell r="H2516" t="str">
            <v>Lagunitas Brewing Co</v>
          </cell>
          <cell r="K2516" t="str">
            <v>Package</v>
          </cell>
          <cell r="L2516" t="str">
            <v>Yes</v>
          </cell>
        </row>
        <row r="2517">
          <cell r="G2517" t="str">
            <v>Lagunitas</v>
          </cell>
          <cell r="H2517" t="str">
            <v>Lagunitas Brewing Co</v>
          </cell>
          <cell r="K2517" t="str">
            <v>Draft</v>
          </cell>
          <cell r="L2517" t="str">
            <v>Yes</v>
          </cell>
        </row>
        <row r="2518">
          <cell r="G2518" t="str">
            <v>Lagunitas</v>
          </cell>
          <cell r="H2518" t="str">
            <v>Lagunitas Brewing Co</v>
          </cell>
          <cell r="K2518" t="str">
            <v>Draft</v>
          </cell>
          <cell r="L2518" t="str">
            <v>Yes</v>
          </cell>
        </row>
        <row r="2519">
          <cell r="G2519" t="str">
            <v>Lagunitas</v>
          </cell>
          <cell r="H2519" t="str">
            <v>Lagunitas Brewing Co</v>
          </cell>
          <cell r="K2519" t="str">
            <v>Package</v>
          </cell>
          <cell r="L2519" t="str">
            <v>Yes</v>
          </cell>
        </row>
        <row r="2520">
          <cell r="G2520" t="str">
            <v>Lagunitas</v>
          </cell>
          <cell r="H2520" t="str">
            <v>Lagunitas Brewing Co</v>
          </cell>
          <cell r="K2520" t="str">
            <v>Draft</v>
          </cell>
          <cell r="L2520" t="str">
            <v>Yes</v>
          </cell>
        </row>
        <row r="2521">
          <cell r="G2521" t="str">
            <v>Lagunitas</v>
          </cell>
          <cell r="H2521" t="str">
            <v>Lagunitas Brewing Co</v>
          </cell>
          <cell r="K2521" t="str">
            <v>Draft</v>
          </cell>
          <cell r="L2521" t="str">
            <v>No</v>
          </cell>
        </row>
        <row r="2522">
          <cell r="G2522" t="str">
            <v>Lagunitas</v>
          </cell>
          <cell r="H2522" t="str">
            <v>Lagunitas Brewing Co</v>
          </cell>
          <cell r="K2522" t="str">
            <v>Package</v>
          </cell>
          <cell r="L2522" t="str">
            <v>Yes</v>
          </cell>
        </row>
        <row r="2523">
          <cell r="G2523" t="str">
            <v>Lagunitas</v>
          </cell>
          <cell r="H2523" t="str">
            <v>Lagunitas Brewing Co</v>
          </cell>
          <cell r="K2523" t="str">
            <v>Package</v>
          </cell>
          <cell r="L2523" t="str">
            <v>Yes</v>
          </cell>
        </row>
        <row r="2524">
          <cell r="G2524" t="str">
            <v>Lagunitas</v>
          </cell>
          <cell r="H2524" t="str">
            <v>Lagunitas Brewing Co</v>
          </cell>
          <cell r="K2524" t="str">
            <v>Package</v>
          </cell>
          <cell r="L2524" t="str">
            <v>Yes</v>
          </cell>
        </row>
        <row r="2525">
          <cell r="G2525" t="str">
            <v>Lagunitas</v>
          </cell>
          <cell r="H2525" t="str">
            <v>Lagunitas Brewing Co</v>
          </cell>
          <cell r="K2525" t="str">
            <v>Package</v>
          </cell>
          <cell r="L2525" t="str">
            <v>Yes</v>
          </cell>
        </row>
        <row r="2526">
          <cell r="G2526" t="str">
            <v>Lagunitas</v>
          </cell>
          <cell r="H2526" t="str">
            <v>Lagunitas Brewing Co</v>
          </cell>
          <cell r="K2526" t="str">
            <v>Draft</v>
          </cell>
          <cell r="L2526" t="str">
            <v>Yes</v>
          </cell>
        </row>
        <row r="2527">
          <cell r="G2527" t="str">
            <v>Lagunitas</v>
          </cell>
          <cell r="H2527" t="str">
            <v>Lagunitas Brewing Co</v>
          </cell>
          <cell r="K2527" t="str">
            <v>Draft</v>
          </cell>
          <cell r="L2527" t="str">
            <v>Yes</v>
          </cell>
        </row>
        <row r="2528">
          <cell r="G2528" t="str">
            <v>Lagunitas</v>
          </cell>
          <cell r="H2528" t="str">
            <v>Lagunitas Brewing Co</v>
          </cell>
          <cell r="K2528" t="str">
            <v>Package</v>
          </cell>
          <cell r="L2528" t="str">
            <v>No</v>
          </cell>
        </row>
        <row r="2529">
          <cell r="G2529" t="str">
            <v>Lagunitas</v>
          </cell>
          <cell r="H2529" t="str">
            <v>Lagunitas Brewing Co</v>
          </cell>
          <cell r="K2529" t="str">
            <v>Package</v>
          </cell>
          <cell r="L2529" t="str">
            <v>Yes</v>
          </cell>
        </row>
        <row r="2530">
          <cell r="G2530" t="str">
            <v>Lagunitas</v>
          </cell>
          <cell r="H2530" t="str">
            <v>Lagunitas Brewing Co</v>
          </cell>
          <cell r="K2530" t="str">
            <v>Package</v>
          </cell>
          <cell r="L2530" t="str">
            <v>Yes</v>
          </cell>
        </row>
        <row r="2531">
          <cell r="G2531" t="str">
            <v>Lagunitas</v>
          </cell>
          <cell r="H2531" t="str">
            <v>Lagunitas Brewing Co</v>
          </cell>
          <cell r="K2531" t="str">
            <v>Draft</v>
          </cell>
          <cell r="L2531" t="str">
            <v>No</v>
          </cell>
        </row>
        <row r="2532">
          <cell r="G2532" t="str">
            <v>Lagunitas</v>
          </cell>
          <cell r="H2532" t="str">
            <v>Lagunitas Brewing Co</v>
          </cell>
          <cell r="K2532" t="str">
            <v>Draft</v>
          </cell>
          <cell r="L2532" t="str">
            <v>No</v>
          </cell>
        </row>
        <row r="2533">
          <cell r="G2533" t="str">
            <v>Lagunitas</v>
          </cell>
          <cell r="H2533" t="str">
            <v>Lagunitas Brewing Co</v>
          </cell>
          <cell r="K2533" t="str">
            <v>Package</v>
          </cell>
          <cell r="L2533" t="str">
            <v>Yes</v>
          </cell>
        </row>
        <row r="2534">
          <cell r="G2534" t="str">
            <v>Lagunitas</v>
          </cell>
          <cell r="H2534" t="str">
            <v>Lagunitas Brewing Co</v>
          </cell>
          <cell r="K2534" t="str">
            <v>Package</v>
          </cell>
          <cell r="L2534" t="str">
            <v>No</v>
          </cell>
        </row>
        <row r="2535">
          <cell r="G2535" t="str">
            <v>Lagunitas</v>
          </cell>
          <cell r="H2535" t="str">
            <v>Lagunitas Brewing Co</v>
          </cell>
          <cell r="K2535" t="str">
            <v>Package</v>
          </cell>
          <cell r="L2535" t="str">
            <v>No</v>
          </cell>
        </row>
        <row r="2536">
          <cell r="G2536" t="str">
            <v>Lagunitas</v>
          </cell>
          <cell r="H2536" t="str">
            <v>Lagunitas Brewing Co</v>
          </cell>
          <cell r="K2536" t="str">
            <v>Package</v>
          </cell>
          <cell r="L2536" t="str">
            <v>Yes</v>
          </cell>
        </row>
        <row r="2537">
          <cell r="G2537" t="str">
            <v>Lagunitas</v>
          </cell>
          <cell r="H2537" t="str">
            <v>Lagunitas Brewing Co</v>
          </cell>
          <cell r="K2537" t="str">
            <v>Package</v>
          </cell>
          <cell r="L2537" t="str">
            <v>No</v>
          </cell>
        </row>
        <row r="2538">
          <cell r="G2538" t="str">
            <v>Lagunitas</v>
          </cell>
          <cell r="H2538" t="str">
            <v>Lagunitas Brewing Co</v>
          </cell>
          <cell r="K2538" t="str">
            <v>Package</v>
          </cell>
          <cell r="L2538" t="str">
            <v>Yes</v>
          </cell>
        </row>
        <row r="2539">
          <cell r="G2539" t="str">
            <v>Lagunitas</v>
          </cell>
          <cell r="H2539" t="str">
            <v>Lagunitas Brewing Co</v>
          </cell>
          <cell r="K2539" t="str">
            <v>Package</v>
          </cell>
          <cell r="L2539" t="str">
            <v>No</v>
          </cell>
        </row>
        <row r="2540">
          <cell r="G2540" t="str">
            <v>Lagunitas</v>
          </cell>
          <cell r="H2540" t="str">
            <v>Lagunitas Brewing Co</v>
          </cell>
          <cell r="K2540" t="str">
            <v>Draft</v>
          </cell>
          <cell r="L2540" t="str">
            <v>Yes</v>
          </cell>
        </row>
        <row r="2541">
          <cell r="G2541" t="str">
            <v>Lagunitas</v>
          </cell>
          <cell r="H2541" t="str">
            <v>Lagunitas Brewing Co</v>
          </cell>
          <cell r="K2541" t="str">
            <v>Package</v>
          </cell>
          <cell r="L2541" t="str">
            <v>Yes</v>
          </cell>
        </row>
        <row r="2542">
          <cell r="G2542" t="str">
            <v>Lagunitas</v>
          </cell>
          <cell r="H2542" t="str">
            <v>Lagunitas Brewing Co</v>
          </cell>
          <cell r="K2542" t="str">
            <v>Package</v>
          </cell>
          <cell r="L2542" t="str">
            <v>Yes</v>
          </cell>
        </row>
        <row r="2543">
          <cell r="G2543" t="str">
            <v>Lagunitas</v>
          </cell>
          <cell r="H2543" t="str">
            <v>Lagunitas Brewing Co</v>
          </cell>
          <cell r="K2543" t="str">
            <v>Package</v>
          </cell>
          <cell r="L2543" t="str">
            <v>Yes</v>
          </cell>
        </row>
        <row r="2544">
          <cell r="G2544" t="str">
            <v>Lagunitas</v>
          </cell>
          <cell r="H2544" t="str">
            <v>Lagunitas Brewing Co</v>
          </cell>
          <cell r="K2544" t="str">
            <v>Package</v>
          </cell>
          <cell r="L2544" t="str">
            <v>Yes</v>
          </cell>
        </row>
        <row r="2545">
          <cell r="G2545" t="str">
            <v>Lagunitas</v>
          </cell>
          <cell r="H2545" t="str">
            <v>Lagunitas Brewing Co</v>
          </cell>
          <cell r="K2545" t="str">
            <v>Draft</v>
          </cell>
          <cell r="L2545" t="str">
            <v>Yes</v>
          </cell>
        </row>
        <row r="2546">
          <cell r="G2546" t="str">
            <v>Lagunitas</v>
          </cell>
          <cell r="H2546" t="str">
            <v>Lagunitas Brewing Co</v>
          </cell>
          <cell r="K2546" t="str">
            <v>Package</v>
          </cell>
          <cell r="L2546" t="str">
            <v>Yes</v>
          </cell>
        </row>
        <row r="2547">
          <cell r="G2547" t="str">
            <v>Lagunitas</v>
          </cell>
          <cell r="H2547" t="str">
            <v>Lagunitas Brewing Co</v>
          </cell>
          <cell r="K2547" t="str">
            <v>Draft</v>
          </cell>
          <cell r="L2547" t="str">
            <v>Yes</v>
          </cell>
        </row>
        <row r="2548">
          <cell r="G2548" t="str">
            <v>Lagunitas</v>
          </cell>
          <cell r="H2548" t="str">
            <v>Lagunitas Brewing Co</v>
          </cell>
          <cell r="K2548" t="str">
            <v>Package</v>
          </cell>
          <cell r="L2548" t="str">
            <v>Yes</v>
          </cell>
        </row>
        <row r="2549">
          <cell r="G2549" t="str">
            <v>Lagunitas</v>
          </cell>
          <cell r="H2549" t="str">
            <v>Lagunitas Brewing Co</v>
          </cell>
          <cell r="K2549" t="str">
            <v>Package</v>
          </cell>
          <cell r="L2549" t="str">
            <v>Yes</v>
          </cell>
        </row>
        <row r="2550">
          <cell r="G2550" t="str">
            <v>Lagunitas</v>
          </cell>
          <cell r="H2550" t="str">
            <v>Lagunitas Brewing Co</v>
          </cell>
          <cell r="K2550" t="str">
            <v>Package</v>
          </cell>
          <cell r="L2550" t="str">
            <v>Yes</v>
          </cell>
        </row>
        <row r="2551">
          <cell r="G2551" t="str">
            <v>Lagunitas</v>
          </cell>
          <cell r="H2551" t="str">
            <v>Lagunitas Brewing Co</v>
          </cell>
          <cell r="K2551" t="str">
            <v>Package</v>
          </cell>
          <cell r="L2551" t="str">
            <v>Yes</v>
          </cell>
        </row>
        <row r="2552">
          <cell r="G2552" t="str">
            <v>Lagunitas</v>
          </cell>
          <cell r="H2552" t="str">
            <v>Lagunitas Brewing Co</v>
          </cell>
          <cell r="K2552" t="str">
            <v>Draft</v>
          </cell>
          <cell r="L2552" t="str">
            <v>Yes</v>
          </cell>
        </row>
        <row r="2553">
          <cell r="G2553" t="str">
            <v>Lagunitas</v>
          </cell>
          <cell r="H2553" t="str">
            <v>Lagunitas Brewing Co</v>
          </cell>
          <cell r="K2553" t="str">
            <v>Package</v>
          </cell>
          <cell r="L2553" t="str">
            <v>Yes</v>
          </cell>
        </row>
        <row r="2554">
          <cell r="G2554" t="str">
            <v>Cape May</v>
          </cell>
          <cell r="H2554" t="str">
            <v>Cape May</v>
          </cell>
          <cell r="K2554" t="str">
            <v>Package</v>
          </cell>
          <cell r="L2554" t="str">
            <v>Yes</v>
          </cell>
        </row>
        <row r="2555">
          <cell r="G2555" t="str">
            <v>Cape May</v>
          </cell>
          <cell r="H2555" t="str">
            <v>Cape May</v>
          </cell>
          <cell r="K2555" t="str">
            <v>Draft</v>
          </cell>
          <cell r="L2555" t="str">
            <v>Yes</v>
          </cell>
        </row>
        <row r="2556">
          <cell r="G2556" t="str">
            <v>Cape May</v>
          </cell>
          <cell r="H2556" t="str">
            <v>Cape May</v>
          </cell>
          <cell r="K2556" t="str">
            <v>Draft</v>
          </cell>
          <cell r="L2556" t="str">
            <v>Yes</v>
          </cell>
        </row>
        <row r="2557">
          <cell r="G2557" t="str">
            <v>Cape May</v>
          </cell>
          <cell r="H2557" t="str">
            <v>Cape May</v>
          </cell>
          <cell r="K2557" t="str">
            <v>Package</v>
          </cell>
          <cell r="L2557" t="str">
            <v>No</v>
          </cell>
        </row>
        <row r="2558">
          <cell r="G2558" t="str">
            <v>Cape May</v>
          </cell>
          <cell r="H2558" t="str">
            <v>Cape May</v>
          </cell>
          <cell r="K2558" t="str">
            <v>Draft</v>
          </cell>
          <cell r="L2558" t="str">
            <v>No</v>
          </cell>
        </row>
        <row r="2559">
          <cell r="G2559" t="str">
            <v>Cape May</v>
          </cell>
          <cell r="H2559" t="str">
            <v>Cape May</v>
          </cell>
          <cell r="K2559" t="str">
            <v>Draft</v>
          </cell>
          <cell r="L2559" t="str">
            <v>No</v>
          </cell>
        </row>
        <row r="2560">
          <cell r="G2560" t="str">
            <v>Cape May</v>
          </cell>
          <cell r="H2560" t="str">
            <v>Cape May</v>
          </cell>
          <cell r="K2560" t="str">
            <v>Package</v>
          </cell>
          <cell r="L2560" t="str">
            <v>No</v>
          </cell>
        </row>
        <row r="2561">
          <cell r="G2561" t="str">
            <v>Cape May</v>
          </cell>
          <cell r="H2561" t="str">
            <v>Cape May</v>
          </cell>
          <cell r="K2561" t="str">
            <v>Draft</v>
          </cell>
          <cell r="L2561" t="str">
            <v>No</v>
          </cell>
        </row>
        <row r="2562">
          <cell r="G2562" t="str">
            <v>Cape May</v>
          </cell>
          <cell r="H2562" t="str">
            <v>Cape May</v>
          </cell>
          <cell r="K2562" t="str">
            <v>Package</v>
          </cell>
          <cell r="L2562" t="str">
            <v>No</v>
          </cell>
        </row>
        <row r="2563">
          <cell r="G2563" t="str">
            <v>Cape May</v>
          </cell>
          <cell r="H2563" t="str">
            <v>Cape May</v>
          </cell>
          <cell r="K2563" t="str">
            <v>Package</v>
          </cell>
          <cell r="L2563" t="str">
            <v>No</v>
          </cell>
        </row>
        <row r="2564">
          <cell r="G2564" t="str">
            <v>Cape May</v>
          </cell>
          <cell r="H2564" t="str">
            <v>Cape May</v>
          </cell>
          <cell r="K2564" t="str">
            <v>Package</v>
          </cell>
          <cell r="L2564" t="str">
            <v>Yes</v>
          </cell>
        </row>
        <row r="2565">
          <cell r="G2565" t="str">
            <v>Cape May</v>
          </cell>
          <cell r="H2565" t="str">
            <v>Cape May</v>
          </cell>
          <cell r="K2565" t="str">
            <v>Package</v>
          </cell>
          <cell r="L2565" t="str">
            <v>Yes</v>
          </cell>
        </row>
        <row r="2566">
          <cell r="G2566" t="str">
            <v>Cape May</v>
          </cell>
          <cell r="H2566" t="str">
            <v>Cape May</v>
          </cell>
          <cell r="K2566" t="str">
            <v>Package</v>
          </cell>
          <cell r="L2566" t="str">
            <v>Yes</v>
          </cell>
        </row>
        <row r="2567">
          <cell r="G2567" t="str">
            <v>Cape May</v>
          </cell>
          <cell r="H2567" t="str">
            <v>Cape May</v>
          </cell>
          <cell r="K2567" t="str">
            <v>Draft</v>
          </cell>
          <cell r="L2567" t="str">
            <v>Yes</v>
          </cell>
        </row>
        <row r="2568">
          <cell r="G2568" t="str">
            <v>Cape May</v>
          </cell>
          <cell r="H2568" t="str">
            <v>Cape May</v>
          </cell>
          <cell r="K2568" t="str">
            <v>Draft</v>
          </cell>
          <cell r="L2568" t="str">
            <v>Yes</v>
          </cell>
        </row>
        <row r="2569">
          <cell r="G2569" t="str">
            <v>Cape May</v>
          </cell>
          <cell r="H2569" t="str">
            <v>Cape May</v>
          </cell>
          <cell r="K2569" t="str">
            <v>Package</v>
          </cell>
          <cell r="L2569" t="str">
            <v>Yes</v>
          </cell>
        </row>
        <row r="2570">
          <cell r="G2570" t="str">
            <v>Cape May</v>
          </cell>
          <cell r="H2570" t="str">
            <v>Cape May</v>
          </cell>
          <cell r="K2570" t="str">
            <v>Draft</v>
          </cell>
          <cell r="L2570" t="str">
            <v>Yes</v>
          </cell>
        </row>
        <row r="2571">
          <cell r="G2571" t="str">
            <v>Cape May</v>
          </cell>
          <cell r="H2571" t="str">
            <v>Cape May</v>
          </cell>
          <cell r="K2571" t="str">
            <v>Draft</v>
          </cell>
          <cell r="L2571" t="str">
            <v>Yes</v>
          </cell>
        </row>
        <row r="2572">
          <cell r="G2572" t="str">
            <v>Cape May</v>
          </cell>
          <cell r="H2572" t="str">
            <v>Cape May</v>
          </cell>
          <cell r="K2572" t="str">
            <v>Package</v>
          </cell>
          <cell r="L2572" t="str">
            <v>Yes</v>
          </cell>
        </row>
        <row r="2573">
          <cell r="G2573" t="str">
            <v>Cape May</v>
          </cell>
          <cell r="H2573" t="str">
            <v>Cape May</v>
          </cell>
          <cell r="K2573" t="str">
            <v>Draft</v>
          </cell>
          <cell r="L2573" t="str">
            <v>Yes</v>
          </cell>
        </row>
        <row r="2574">
          <cell r="G2574" t="str">
            <v>Cape May</v>
          </cell>
          <cell r="H2574" t="str">
            <v>Cape May</v>
          </cell>
          <cell r="K2574" t="str">
            <v>Draft</v>
          </cell>
          <cell r="L2574" t="str">
            <v>Yes</v>
          </cell>
        </row>
        <row r="2575">
          <cell r="G2575" t="str">
            <v>Cape May</v>
          </cell>
          <cell r="H2575" t="str">
            <v>Cape May</v>
          </cell>
          <cell r="K2575" t="str">
            <v>Package</v>
          </cell>
          <cell r="L2575" t="str">
            <v>Yes</v>
          </cell>
        </row>
        <row r="2576">
          <cell r="G2576" t="str">
            <v>Cape May</v>
          </cell>
          <cell r="H2576" t="str">
            <v>Cape May</v>
          </cell>
          <cell r="K2576" t="str">
            <v>Package</v>
          </cell>
          <cell r="L2576" t="str">
            <v>Yes</v>
          </cell>
        </row>
        <row r="2577">
          <cell r="G2577" t="str">
            <v>Cape May</v>
          </cell>
          <cell r="H2577" t="str">
            <v>Cape May</v>
          </cell>
          <cell r="K2577" t="str">
            <v>Draft</v>
          </cell>
          <cell r="L2577" t="str">
            <v>Yes</v>
          </cell>
        </row>
        <row r="2578">
          <cell r="G2578" t="str">
            <v>Cape May</v>
          </cell>
          <cell r="H2578" t="str">
            <v>Cape May</v>
          </cell>
          <cell r="K2578" t="str">
            <v>Draft</v>
          </cell>
          <cell r="L2578" t="str">
            <v>Yes</v>
          </cell>
        </row>
        <row r="2579">
          <cell r="G2579" t="str">
            <v>Cape May</v>
          </cell>
          <cell r="H2579" t="str">
            <v>Cape May</v>
          </cell>
          <cell r="K2579" t="str">
            <v>Package</v>
          </cell>
          <cell r="L2579" t="str">
            <v>No</v>
          </cell>
        </row>
        <row r="2580">
          <cell r="G2580" t="str">
            <v>Cape May</v>
          </cell>
          <cell r="H2580" t="str">
            <v>Cape May</v>
          </cell>
          <cell r="K2580" t="str">
            <v>Package</v>
          </cell>
          <cell r="L2580" t="str">
            <v>No</v>
          </cell>
        </row>
        <row r="2581">
          <cell r="G2581" t="str">
            <v>Cape May</v>
          </cell>
          <cell r="H2581" t="str">
            <v>Cape May</v>
          </cell>
          <cell r="K2581" t="str">
            <v>Draft</v>
          </cell>
          <cell r="L2581" t="str">
            <v>No</v>
          </cell>
        </row>
        <row r="2582">
          <cell r="G2582" t="str">
            <v>Cape May</v>
          </cell>
          <cell r="H2582" t="str">
            <v>Cape May</v>
          </cell>
          <cell r="K2582" t="str">
            <v>Draft</v>
          </cell>
          <cell r="L2582" t="str">
            <v>No</v>
          </cell>
        </row>
        <row r="2583">
          <cell r="G2583" t="str">
            <v>Cape May</v>
          </cell>
          <cell r="H2583" t="str">
            <v>Cape May</v>
          </cell>
          <cell r="K2583" t="str">
            <v>Package</v>
          </cell>
          <cell r="L2583" t="str">
            <v>No</v>
          </cell>
        </row>
        <row r="2584">
          <cell r="G2584" t="str">
            <v>Cape May</v>
          </cell>
          <cell r="H2584" t="str">
            <v>Cape May</v>
          </cell>
          <cell r="K2584" t="str">
            <v>Draft</v>
          </cell>
          <cell r="L2584" t="str">
            <v>No</v>
          </cell>
        </row>
        <row r="2585">
          <cell r="G2585" t="str">
            <v>Cape May</v>
          </cell>
          <cell r="H2585" t="str">
            <v>Cape May</v>
          </cell>
          <cell r="K2585" t="str">
            <v>Draft</v>
          </cell>
          <cell r="L2585" t="str">
            <v>No</v>
          </cell>
        </row>
        <row r="2586">
          <cell r="G2586" t="str">
            <v>Cape May</v>
          </cell>
          <cell r="H2586" t="str">
            <v>Cape May</v>
          </cell>
          <cell r="K2586" t="str">
            <v>Package</v>
          </cell>
          <cell r="L2586" t="str">
            <v>Yes</v>
          </cell>
        </row>
        <row r="2587">
          <cell r="G2587" t="str">
            <v>Cape May</v>
          </cell>
          <cell r="H2587" t="str">
            <v>Cape May</v>
          </cell>
          <cell r="K2587" t="str">
            <v>Draft</v>
          </cell>
          <cell r="L2587" t="str">
            <v>Yes</v>
          </cell>
        </row>
        <row r="2588">
          <cell r="G2588" t="str">
            <v>Cape May</v>
          </cell>
          <cell r="H2588" t="str">
            <v>Cape May</v>
          </cell>
          <cell r="K2588" t="str">
            <v>Draft</v>
          </cell>
          <cell r="L2588" t="str">
            <v>Yes</v>
          </cell>
        </row>
        <row r="2589">
          <cell r="G2589" t="str">
            <v>Cape May</v>
          </cell>
          <cell r="H2589" t="str">
            <v>Cape May</v>
          </cell>
          <cell r="K2589" t="str">
            <v>Package</v>
          </cell>
          <cell r="L2589" t="str">
            <v>Yes</v>
          </cell>
        </row>
        <row r="2590">
          <cell r="G2590" t="str">
            <v>Cape May</v>
          </cell>
          <cell r="H2590" t="str">
            <v>Cape May</v>
          </cell>
          <cell r="K2590" t="str">
            <v>Draft</v>
          </cell>
          <cell r="L2590" t="str">
            <v>Yes</v>
          </cell>
        </row>
        <row r="2591">
          <cell r="G2591" t="str">
            <v>Cape May</v>
          </cell>
          <cell r="H2591" t="str">
            <v>Cape May</v>
          </cell>
          <cell r="K2591" t="str">
            <v>Draft</v>
          </cell>
          <cell r="L2591" t="str">
            <v>Yes</v>
          </cell>
        </row>
        <row r="2592">
          <cell r="G2592" t="str">
            <v>Cape May</v>
          </cell>
          <cell r="H2592" t="str">
            <v>Cape May</v>
          </cell>
          <cell r="K2592" t="str">
            <v>Package</v>
          </cell>
          <cell r="L2592" t="str">
            <v>Yes</v>
          </cell>
        </row>
        <row r="2593">
          <cell r="G2593" t="str">
            <v>Cape May</v>
          </cell>
          <cell r="H2593" t="str">
            <v>Cape May</v>
          </cell>
          <cell r="K2593" t="str">
            <v>Package</v>
          </cell>
          <cell r="L2593" t="str">
            <v>No</v>
          </cell>
        </row>
        <row r="2594">
          <cell r="G2594" t="str">
            <v>Cape May</v>
          </cell>
          <cell r="H2594" t="str">
            <v>Cape May</v>
          </cell>
          <cell r="K2594" t="str">
            <v>Package</v>
          </cell>
          <cell r="L2594" t="str">
            <v>No</v>
          </cell>
        </row>
        <row r="2595">
          <cell r="G2595" t="str">
            <v>Cape May</v>
          </cell>
          <cell r="H2595" t="str">
            <v>Cape May</v>
          </cell>
          <cell r="K2595" t="str">
            <v>Package</v>
          </cell>
          <cell r="L2595" t="str">
            <v>No</v>
          </cell>
        </row>
        <row r="2596">
          <cell r="G2596" t="str">
            <v>Cape May</v>
          </cell>
          <cell r="H2596" t="str">
            <v>Cape May</v>
          </cell>
          <cell r="K2596" t="str">
            <v>Package</v>
          </cell>
          <cell r="L2596" t="str">
            <v>No</v>
          </cell>
        </row>
        <row r="2597">
          <cell r="G2597" t="str">
            <v>Cape May</v>
          </cell>
          <cell r="H2597" t="str">
            <v>Cape May</v>
          </cell>
          <cell r="K2597" t="str">
            <v>Package</v>
          </cell>
          <cell r="L2597" t="str">
            <v>Yes</v>
          </cell>
        </row>
        <row r="2598">
          <cell r="G2598" t="str">
            <v>Cape May</v>
          </cell>
          <cell r="H2598" t="str">
            <v>Cape May</v>
          </cell>
          <cell r="K2598" t="str">
            <v>Package</v>
          </cell>
          <cell r="L2598" t="str">
            <v>Yes</v>
          </cell>
        </row>
        <row r="2599">
          <cell r="G2599" t="str">
            <v>Cape May</v>
          </cell>
          <cell r="H2599" t="str">
            <v>Cape May</v>
          </cell>
          <cell r="K2599" t="str">
            <v>Package</v>
          </cell>
          <cell r="L2599" t="str">
            <v>No</v>
          </cell>
        </row>
        <row r="2600">
          <cell r="G2600" t="str">
            <v>Cape May</v>
          </cell>
          <cell r="H2600" t="str">
            <v>Cape May</v>
          </cell>
          <cell r="K2600" t="str">
            <v>Package</v>
          </cell>
          <cell r="L2600" t="str">
            <v>No</v>
          </cell>
        </row>
        <row r="2601">
          <cell r="G2601" t="str">
            <v>Cape May</v>
          </cell>
          <cell r="H2601" t="str">
            <v>Cape May</v>
          </cell>
          <cell r="K2601" t="str">
            <v>Package</v>
          </cell>
          <cell r="L2601" t="str">
            <v>Yes</v>
          </cell>
        </row>
        <row r="2602">
          <cell r="G2602" t="str">
            <v>Cape May</v>
          </cell>
          <cell r="H2602" t="str">
            <v>Cape May</v>
          </cell>
          <cell r="K2602" t="str">
            <v>Package</v>
          </cell>
          <cell r="L2602" t="str">
            <v>No</v>
          </cell>
        </row>
        <row r="2603">
          <cell r="G2603" t="str">
            <v>Cape May</v>
          </cell>
          <cell r="H2603" t="str">
            <v>Cape May</v>
          </cell>
          <cell r="K2603" t="str">
            <v>Package</v>
          </cell>
          <cell r="L2603" t="str">
            <v>No</v>
          </cell>
        </row>
        <row r="2604">
          <cell r="G2604" t="str">
            <v>Cape May</v>
          </cell>
          <cell r="H2604" t="str">
            <v>Cape May</v>
          </cell>
          <cell r="K2604" t="str">
            <v>Draft</v>
          </cell>
          <cell r="L2604" t="str">
            <v>No</v>
          </cell>
        </row>
        <row r="2605">
          <cell r="G2605" t="str">
            <v>Cape May</v>
          </cell>
          <cell r="H2605" t="str">
            <v>Cape May</v>
          </cell>
          <cell r="K2605" t="str">
            <v>Package</v>
          </cell>
          <cell r="L2605" t="str">
            <v>Yes</v>
          </cell>
        </row>
        <row r="2606">
          <cell r="G2606" t="str">
            <v>Cape May</v>
          </cell>
          <cell r="H2606" t="str">
            <v>Cape May</v>
          </cell>
          <cell r="K2606" t="str">
            <v>Package</v>
          </cell>
          <cell r="L2606" t="str">
            <v>No</v>
          </cell>
        </row>
        <row r="2607">
          <cell r="G2607" t="str">
            <v>Cape May</v>
          </cell>
          <cell r="H2607" t="str">
            <v>Cape May</v>
          </cell>
          <cell r="K2607" t="str">
            <v>Draft</v>
          </cell>
          <cell r="L2607" t="str">
            <v>No</v>
          </cell>
        </row>
        <row r="2608">
          <cell r="G2608" t="str">
            <v>Cape May</v>
          </cell>
          <cell r="H2608" t="str">
            <v>Cape May</v>
          </cell>
          <cell r="K2608" t="str">
            <v>Package</v>
          </cell>
          <cell r="L2608" t="str">
            <v>Yes</v>
          </cell>
        </row>
        <row r="2609">
          <cell r="G2609" t="str">
            <v>Cape May</v>
          </cell>
          <cell r="H2609" t="str">
            <v>Cape May</v>
          </cell>
          <cell r="K2609" t="str">
            <v>Package</v>
          </cell>
          <cell r="L2609" t="str">
            <v>No</v>
          </cell>
        </row>
        <row r="2610">
          <cell r="G2610" t="str">
            <v>Cape May</v>
          </cell>
          <cell r="H2610" t="str">
            <v>Cape May</v>
          </cell>
          <cell r="K2610" t="str">
            <v>Draft</v>
          </cell>
          <cell r="L2610" t="str">
            <v>Yes</v>
          </cell>
        </row>
        <row r="2611">
          <cell r="G2611" t="str">
            <v>Cape May</v>
          </cell>
          <cell r="H2611" t="str">
            <v>Cape May</v>
          </cell>
          <cell r="K2611" t="str">
            <v>Package</v>
          </cell>
          <cell r="L2611" t="str">
            <v>No</v>
          </cell>
        </row>
        <row r="2612">
          <cell r="G2612" t="str">
            <v>Cape May</v>
          </cell>
          <cell r="H2612" t="str">
            <v>Cape May</v>
          </cell>
          <cell r="K2612" t="str">
            <v>Draft</v>
          </cell>
          <cell r="L2612" t="str">
            <v>Yes</v>
          </cell>
        </row>
        <row r="2613">
          <cell r="G2613" t="str">
            <v>Cape May</v>
          </cell>
          <cell r="H2613" t="str">
            <v>Cape May</v>
          </cell>
          <cell r="K2613" t="str">
            <v>Package</v>
          </cell>
          <cell r="L2613" t="str">
            <v>Yes</v>
          </cell>
        </row>
        <row r="2614">
          <cell r="G2614" t="str">
            <v>Cape May</v>
          </cell>
          <cell r="H2614" t="str">
            <v>Cape May</v>
          </cell>
          <cell r="K2614" t="str">
            <v>Package</v>
          </cell>
          <cell r="L2614" t="str">
            <v>No</v>
          </cell>
        </row>
        <row r="2615">
          <cell r="G2615" t="str">
            <v>Cape May</v>
          </cell>
          <cell r="H2615" t="str">
            <v>Cape May</v>
          </cell>
          <cell r="K2615" t="str">
            <v>Package</v>
          </cell>
          <cell r="L2615" t="str">
            <v>Yes</v>
          </cell>
        </row>
        <row r="2616">
          <cell r="G2616" t="str">
            <v>Cape May</v>
          </cell>
          <cell r="H2616" t="str">
            <v>Cape May</v>
          </cell>
          <cell r="K2616" t="str">
            <v>Package</v>
          </cell>
          <cell r="L2616" t="str">
            <v>No</v>
          </cell>
        </row>
        <row r="2617">
          <cell r="G2617" t="str">
            <v>Cape May</v>
          </cell>
          <cell r="H2617" t="str">
            <v>Cape May</v>
          </cell>
          <cell r="K2617" t="str">
            <v>Package</v>
          </cell>
          <cell r="L2617" t="str">
            <v>Yes</v>
          </cell>
        </row>
        <row r="2618">
          <cell r="G2618" t="str">
            <v>Cape May</v>
          </cell>
          <cell r="H2618" t="str">
            <v>Cape May</v>
          </cell>
          <cell r="K2618" t="str">
            <v>Package</v>
          </cell>
          <cell r="L2618" t="str">
            <v>Yes</v>
          </cell>
        </row>
        <row r="2619">
          <cell r="G2619" t="str">
            <v>Cape May</v>
          </cell>
          <cell r="H2619" t="str">
            <v>Cape May</v>
          </cell>
          <cell r="K2619" t="str">
            <v>Package</v>
          </cell>
          <cell r="L2619" t="str">
            <v>No</v>
          </cell>
        </row>
        <row r="2620">
          <cell r="G2620" t="str">
            <v>Cape May</v>
          </cell>
          <cell r="H2620" t="str">
            <v>Cape May</v>
          </cell>
          <cell r="K2620" t="str">
            <v>Draft</v>
          </cell>
          <cell r="L2620" t="str">
            <v>Yes</v>
          </cell>
        </row>
        <row r="2621">
          <cell r="G2621" t="str">
            <v>Cape May</v>
          </cell>
          <cell r="H2621" t="str">
            <v>Cape May</v>
          </cell>
          <cell r="K2621" t="str">
            <v>Draft</v>
          </cell>
          <cell r="L2621" t="str">
            <v>No</v>
          </cell>
        </row>
        <row r="2622">
          <cell r="G2622" t="str">
            <v>Cape May</v>
          </cell>
          <cell r="H2622" t="str">
            <v>Cape May</v>
          </cell>
          <cell r="K2622" t="str">
            <v>Draft</v>
          </cell>
          <cell r="L2622" t="str">
            <v>Yes</v>
          </cell>
        </row>
        <row r="2623">
          <cell r="G2623" t="str">
            <v>Cape May</v>
          </cell>
          <cell r="H2623" t="str">
            <v>Cape May</v>
          </cell>
          <cell r="K2623" t="str">
            <v>Package</v>
          </cell>
          <cell r="L2623" t="str">
            <v>No</v>
          </cell>
        </row>
        <row r="2624">
          <cell r="G2624" t="str">
            <v>Cape May</v>
          </cell>
          <cell r="H2624" t="str">
            <v>Cape May</v>
          </cell>
          <cell r="K2624" t="str">
            <v>Package</v>
          </cell>
          <cell r="L2624" t="str">
            <v>Yes</v>
          </cell>
        </row>
        <row r="2625">
          <cell r="G2625" t="str">
            <v>Cape May</v>
          </cell>
          <cell r="H2625" t="str">
            <v>Cape May</v>
          </cell>
          <cell r="K2625" t="str">
            <v>Package</v>
          </cell>
          <cell r="L2625" t="str">
            <v>No</v>
          </cell>
        </row>
        <row r="2626">
          <cell r="G2626" t="str">
            <v>Cape May</v>
          </cell>
          <cell r="H2626" t="str">
            <v>Cape May</v>
          </cell>
          <cell r="K2626" t="str">
            <v>Draft</v>
          </cell>
          <cell r="L2626" t="str">
            <v>No</v>
          </cell>
        </row>
        <row r="2627">
          <cell r="G2627" t="str">
            <v>Cape May</v>
          </cell>
          <cell r="H2627" t="str">
            <v>Cape May</v>
          </cell>
          <cell r="K2627" t="str">
            <v>Draft</v>
          </cell>
          <cell r="L2627" t="str">
            <v>Yes</v>
          </cell>
        </row>
        <row r="2628">
          <cell r="G2628" t="str">
            <v>Cape May</v>
          </cell>
          <cell r="H2628" t="str">
            <v>Cape May</v>
          </cell>
          <cell r="K2628" t="str">
            <v>Draft</v>
          </cell>
          <cell r="L2628" t="str">
            <v>Yes</v>
          </cell>
        </row>
        <row r="2629">
          <cell r="G2629" t="str">
            <v>Cape May</v>
          </cell>
          <cell r="H2629" t="str">
            <v>Cape May</v>
          </cell>
          <cell r="K2629" t="str">
            <v>Package</v>
          </cell>
          <cell r="L2629" t="str">
            <v>Yes</v>
          </cell>
        </row>
        <row r="2630">
          <cell r="G2630" t="str">
            <v>Cape May</v>
          </cell>
          <cell r="H2630" t="str">
            <v>Cape May</v>
          </cell>
          <cell r="K2630" t="str">
            <v>Draft</v>
          </cell>
          <cell r="L2630" t="str">
            <v>Yes</v>
          </cell>
        </row>
        <row r="2631">
          <cell r="G2631" t="str">
            <v>Cape May</v>
          </cell>
          <cell r="H2631" t="str">
            <v>Cape May</v>
          </cell>
          <cell r="K2631" t="str">
            <v>Draft</v>
          </cell>
          <cell r="L2631" t="str">
            <v>Yes</v>
          </cell>
        </row>
        <row r="2632">
          <cell r="G2632" t="str">
            <v>Cape May</v>
          </cell>
          <cell r="H2632" t="str">
            <v>Cape May</v>
          </cell>
          <cell r="K2632" t="str">
            <v>Package</v>
          </cell>
          <cell r="L2632" t="str">
            <v>Yes</v>
          </cell>
        </row>
        <row r="2633">
          <cell r="G2633" t="str">
            <v>Cape May</v>
          </cell>
          <cell r="H2633" t="str">
            <v>Cape May</v>
          </cell>
          <cell r="K2633" t="str">
            <v>Package</v>
          </cell>
          <cell r="L2633" t="str">
            <v>Yes</v>
          </cell>
        </row>
        <row r="2634">
          <cell r="G2634" t="str">
            <v>Cape May</v>
          </cell>
          <cell r="H2634" t="str">
            <v>Cape May</v>
          </cell>
          <cell r="K2634" t="str">
            <v>Package</v>
          </cell>
          <cell r="L2634" t="str">
            <v>Yes</v>
          </cell>
        </row>
        <row r="2635">
          <cell r="G2635" t="str">
            <v>Cape May</v>
          </cell>
          <cell r="H2635" t="str">
            <v>Cape May</v>
          </cell>
          <cell r="K2635" t="str">
            <v>Draft</v>
          </cell>
          <cell r="L2635" t="str">
            <v>Yes</v>
          </cell>
        </row>
        <row r="2636">
          <cell r="G2636" t="str">
            <v>Cape May</v>
          </cell>
          <cell r="H2636" t="str">
            <v>Cape May</v>
          </cell>
          <cell r="K2636" t="str">
            <v>Package</v>
          </cell>
          <cell r="L2636" t="str">
            <v>Yes</v>
          </cell>
        </row>
        <row r="2637">
          <cell r="G2637" t="str">
            <v>Cape May</v>
          </cell>
          <cell r="H2637" t="str">
            <v>Cape May</v>
          </cell>
          <cell r="K2637" t="str">
            <v>Package</v>
          </cell>
          <cell r="L2637" t="str">
            <v>Yes</v>
          </cell>
        </row>
        <row r="2638">
          <cell r="G2638" t="str">
            <v>Cape May</v>
          </cell>
          <cell r="H2638" t="str">
            <v>Cape May</v>
          </cell>
          <cell r="K2638" t="str">
            <v>Draft</v>
          </cell>
          <cell r="L2638" t="str">
            <v>Yes</v>
          </cell>
        </row>
        <row r="2639">
          <cell r="G2639" t="str">
            <v>Cape May</v>
          </cell>
          <cell r="H2639" t="str">
            <v>Cape May</v>
          </cell>
          <cell r="K2639" t="str">
            <v>Package</v>
          </cell>
          <cell r="L2639" t="str">
            <v>No</v>
          </cell>
        </row>
        <row r="2640">
          <cell r="G2640" t="str">
            <v>Cape May</v>
          </cell>
          <cell r="H2640" t="str">
            <v>Cape May</v>
          </cell>
          <cell r="K2640" t="str">
            <v>Package</v>
          </cell>
          <cell r="L2640" t="str">
            <v>No</v>
          </cell>
        </row>
        <row r="2641">
          <cell r="G2641" t="str">
            <v>Cape May</v>
          </cell>
          <cell r="H2641" t="str">
            <v>Cape May</v>
          </cell>
          <cell r="K2641" t="str">
            <v>Package</v>
          </cell>
          <cell r="L2641" t="str">
            <v>No</v>
          </cell>
        </row>
        <row r="2642">
          <cell r="G2642" t="str">
            <v>Stone Brewing</v>
          </cell>
          <cell r="H2642" t="str">
            <v>Stone Brewing</v>
          </cell>
          <cell r="K2642" t="str">
            <v>Package</v>
          </cell>
          <cell r="L2642" t="str">
            <v>No</v>
          </cell>
        </row>
        <row r="2643">
          <cell r="G2643" t="str">
            <v>Stone Brewing</v>
          </cell>
          <cell r="H2643" t="str">
            <v>Stone Brewing</v>
          </cell>
          <cell r="K2643" t="str">
            <v>Package</v>
          </cell>
          <cell r="L2643" t="str">
            <v>Yes</v>
          </cell>
        </row>
        <row r="2644">
          <cell r="G2644" t="str">
            <v>Stone Brewing</v>
          </cell>
          <cell r="H2644" t="str">
            <v>Stone Brewing</v>
          </cell>
          <cell r="K2644" t="str">
            <v>Package</v>
          </cell>
          <cell r="L2644" t="str">
            <v>Yes</v>
          </cell>
        </row>
        <row r="2645">
          <cell r="G2645" t="str">
            <v>Stone Brewing</v>
          </cell>
          <cell r="H2645" t="str">
            <v>Stone Brewing</v>
          </cell>
          <cell r="K2645" t="str">
            <v>Package</v>
          </cell>
          <cell r="L2645" t="str">
            <v>Yes</v>
          </cell>
        </row>
        <row r="2646">
          <cell r="G2646" t="str">
            <v>Stone Brewing</v>
          </cell>
          <cell r="H2646" t="str">
            <v>Stone Brewing</v>
          </cell>
          <cell r="K2646" t="str">
            <v>Package</v>
          </cell>
          <cell r="L2646" t="str">
            <v>No</v>
          </cell>
        </row>
        <row r="2647">
          <cell r="G2647" t="str">
            <v>Stone Brewing</v>
          </cell>
          <cell r="H2647" t="str">
            <v>Stone Brewing</v>
          </cell>
          <cell r="K2647" t="str">
            <v>Draft</v>
          </cell>
          <cell r="L2647" t="str">
            <v>Yes</v>
          </cell>
        </row>
        <row r="2648">
          <cell r="G2648" t="str">
            <v>Stone Brewing</v>
          </cell>
          <cell r="H2648" t="str">
            <v>Stone Brewing</v>
          </cell>
          <cell r="K2648" t="str">
            <v>Draft</v>
          </cell>
          <cell r="L2648" t="str">
            <v>Yes</v>
          </cell>
        </row>
        <row r="2649">
          <cell r="G2649" t="str">
            <v>Stone Brewing</v>
          </cell>
          <cell r="H2649" t="str">
            <v>Stone Brewing</v>
          </cell>
          <cell r="K2649" t="str">
            <v>Package</v>
          </cell>
          <cell r="L2649" t="str">
            <v>No</v>
          </cell>
        </row>
        <row r="2650">
          <cell r="G2650" t="str">
            <v>Stone Brewing</v>
          </cell>
          <cell r="H2650" t="str">
            <v>Stone Brewing</v>
          </cell>
          <cell r="K2650" t="str">
            <v>Draft</v>
          </cell>
          <cell r="L2650" t="str">
            <v>No</v>
          </cell>
        </row>
        <row r="2651">
          <cell r="G2651" t="str">
            <v>Stone Brewing</v>
          </cell>
          <cell r="H2651" t="str">
            <v>Stone Brewing</v>
          </cell>
          <cell r="K2651" t="str">
            <v>Draft</v>
          </cell>
          <cell r="L2651" t="str">
            <v>No</v>
          </cell>
        </row>
        <row r="2652">
          <cell r="G2652" t="str">
            <v>Stone Brewing</v>
          </cell>
          <cell r="H2652" t="str">
            <v>Stone Brewing</v>
          </cell>
          <cell r="K2652" t="str">
            <v>Package</v>
          </cell>
          <cell r="L2652" t="str">
            <v>Yes</v>
          </cell>
        </row>
        <row r="2653">
          <cell r="G2653" t="str">
            <v>Stone Brewing</v>
          </cell>
          <cell r="H2653" t="str">
            <v>Stone Brewing</v>
          </cell>
          <cell r="K2653" t="str">
            <v>Package</v>
          </cell>
          <cell r="L2653" t="str">
            <v>Yes</v>
          </cell>
        </row>
        <row r="2654">
          <cell r="G2654" t="str">
            <v>Stone Brewing</v>
          </cell>
          <cell r="H2654" t="str">
            <v>Stone Brewing</v>
          </cell>
          <cell r="K2654" t="str">
            <v>Package</v>
          </cell>
          <cell r="L2654" t="str">
            <v>Yes</v>
          </cell>
        </row>
        <row r="2655">
          <cell r="G2655" t="str">
            <v>Stone Brewing</v>
          </cell>
          <cell r="H2655" t="str">
            <v>Stone Brewing</v>
          </cell>
          <cell r="K2655" t="str">
            <v>Draft</v>
          </cell>
          <cell r="L2655" t="str">
            <v>No</v>
          </cell>
        </row>
        <row r="2656">
          <cell r="G2656" t="str">
            <v>Stone Brewing</v>
          </cell>
          <cell r="H2656" t="str">
            <v>Stone Brewing</v>
          </cell>
          <cell r="K2656" t="str">
            <v>Draft</v>
          </cell>
          <cell r="L2656" t="str">
            <v>Yes</v>
          </cell>
        </row>
        <row r="2657">
          <cell r="G2657" t="str">
            <v>Stone Brewing</v>
          </cell>
          <cell r="H2657" t="str">
            <v>Stone Brewing</v>
          </cell>
          <cell r="K2657" t="str">
            <v>Package</v>
          </cell>
          <cell r="L2657" t="str">
            <v>No</v>
          </cell>
        </row>
        <row r="2658">
          <cell r="G2658" t="str">
            <v>Stone Brewing</v>
          </cell>
          <cell r="H2658" t="str">
            <v>Stone Brewing</v>
          </cell>
          <cell r="K2658" t="str">
            <v>Package</v>
          </cell>
          <cell r="L2658" t="str">
            <v>No</v>
          </cell>
        </row>
        <row r="2659">
          <cell r="G2659" t="str">
            <v>Stone Brewing</v>
          </cell>
          <cell r="H2659" t="str">
            <v>Stone Brewing</v>
          </cell>
          <cell r="K2659" t="str">
            <v>Package</v>
          </cell>
          <cell r="L2659" t="str">
            <v>Yes</v>
          </cell>
        </row>
        <row r="2660">
          <cell r="G2660" t="str">
            <v>Stone Brewing</v>
          </cell>
          <cell r="H2660" t="str">
            <v>Stone Brewing</v>
          </cell>
          <cell r="K2660" t="str">
            <v>Package</v>
          </cell>
          <cell r="L2660" t="str">
            <v>Yes</v>
          </cell>
        </row>
        <row r="2661">
          <cell r="G2661" t="str">
            <v>Stone Brewing</v>
          </cell>
          <cell r="H2661" t="str">
            <v>Stone Brewing</v>
          </cell>
          <cell r="K2661" t="str">
            <v>Package</v>
          </cell>
          <cell r="L2661" t="str">
            <v>Yes</v>
          </cell>
        </row>
        <row r="2662">
          <cell r="G2662" t="str">
            <v>Stone Brewing</v>
          </cell>
          <cell r="H2662" t="str">
            <v>Stone Brewing</v>
          </cell>
          <cell r="K2662" t="str">
            <v>Package</v>
          </cell>
          <cell r="L2662" t="str">
            <v>Yes</v>
          </cell>
        </row>
        <row r="2663">
          <cell r="G2663" t="str">
            <v>Stone Brewing</v>
          </cell>
          <cell r="H2663" t="str">
            <v>Stone Brewing</v>
          </cell>
          <cell r="K2663" t="str">
            <v>Package</v>
          </cell>
          <cell r="L2663" t="str">
            <v>No</v>
          </cell>
        </row>
        <row r="2664">
          <cell r="G2664" t="str">
            <v>Stone Brewing</v>
          </cell>
          <cell r="H2664" t="str">
            <v>Stone Brewing</v>
          </cell>
          <cell r="K2664" t="str">
            <v>Draft</v>
          </cell>
          <cell r="L2664" t="str">
            <v>Yes</v>
          </cell>
        </row>
        <row r="2665">
          <cell r="G2665" t="str">
            <v>Stone Brewing</v>
          </cell>
          <cell r="H2665" t="str">
            <v>Stone Brewing</v>
          </cell>
          <cell r="K2665" t="str">
            <v>Draft</v>
          </cell>
          <cell r="L2665" t="str">
            <v>Yes</v>
          </cell>
        </row>
        <row r="2666">
          <cell r="G2666" t="str">
            <v>Stone Brewing</v>
          </cell>
          <cell r="H2666" t="str">
            <v>Stone Brewing</v>
          </cell>
          <cell r="K2666" t="str">
            <v>Package</v>
          </cell>
          <cell r="L2666" t="str">
            <v>Yes</v>
          </cell>
        </row>
        <row r="2667">
          <cell r="G2667" t="str">
            <v>Stone Brewing</v>
          </cell>
          <cell r="H2667" t="str">
            <v>Stone Brewing</v>
          </cell>
          <cell r="K2667" t="str">
            <v>Package</v>
          </cell>
          <cell r="L2667" t="str">
            <v>Yes</v>
          </cell>
        </row>
        <row r="2668">
          <cell r="G2668" t="str">
            <v>Stone Brewing</v>
          </cell>
          <cell r="H2668" t="str">
            <v>Stone Brewing</v>
          </cell>
          <cell r="K2668" t="str">
            <v>Package</v>
          </cell>
          <cell r="L2668" t="str">
            <v>Yes</v>
          </cell>
        </row>
        <row r="2669">
          <cell r="G2669" t="str">
            <v>Stone Brewing</v>
          </cell>
          <cell r="H2669" t="str">
            <v>Stone Brewing</v>
          </cell>
          <cell r="K2669" t="str">
            <v>Package</v>
          </cell>
          <cell r="L2669" t="str">
            <v>Yes</v>
          </cell>
        </row>
        <row r="2670">
          <cell r="G2670" t="str">
            <v>Stone Brewing</v>
          </cell>
          <cell r="H2670" t="str">
            <v>Stone Brewing</v>
          </cell>
          <cell r="K2670" t="str">
            <v>Package</v>
          </cell>
          <cell r="L2670" t="str">
            <v>Yes</v>
          </cell>
        </row>
        <row r="2671">
          <cell r="G2671" t="str">
            <v>Stone Brewing</v>
          </cell>
          <cell r="H2671" t="str">
            <v>Stone Brewing</v>
          </cell>
          <cell r="K2671" t="str">
            <v>Draft</v>
          </cell>
          <cell r="L2671" t="str">
            <v>Yes</v>
          </cell>
        </row>
        <row r="2672">
          <cell r="G2672" t="str">
            <v>Stone Brewing</v>
          </cell>
          <cell r="H2672" t="str">
            <v>Stone Brewing</v>
          </cell>
          <cell r="K2672" t="str">
            <v>Draft</v>
          </cell>
          <cell r="L2672" t="str">
            <v>Yes</v>
          </cell>
        </row>
        <row r="2673">
          <cell r="G2673" t="str">
            <v>Stone Brewing</v>
          </cell>
          <cell r="H2673" t="str">
            <v>Stone Brewing</v>
          </cell>
          <cell r="K2673" t="str">
            <v>Package</v>
          </cell>
          <cell r="L2673" t="str">
            <v>Yes</v>
          </cell>
        </row>
        <row r="2674">
          <cell r="G2674" t="str">
            <v>Stone Brewing</v>
          </cell>
          <cell r="H2674" t="str">
            <v>Stone Brewing</v>
          </cell>
          <cell r="K2674" t="str">
            <v>Draft</v>
          </cell>
          <cell r="L2674" t="str">
            <v>No</v>
          </cell>
        </row>
        <row r="2675">
          <cell r="G2675" t="str">
            <v>Stone Brewing</v>
          </cell>
          <cell r="H2675" t="str">
            <v>Stone Brewing</v>
          </cell>
          <cell r="K2675" t="str">
            <v>Package</v>
          </cell>
          <cell r="L2675" t="str">
            <v>No</v>
          </cell>
        </row>
        <row r="2676">
          <cell r="G2676" t="str">
            <v>Stone Brewing</v>
          </cell>
          <cell r="H2676" t="str">
            <v>Stone Brewing</v>
          </cell>
          <cell r="K2676" t="str">
            <v>Draft</v>
          </cell>
          <cell r="L2676" t="str">
            <v>No</v>
          </cell>
        </row>
        <row r="2677">
          <cell r="G2677" t="str">
            <v>Stone Brewing</v>
          </cell>
          <cell r="H2677" t="str">
            <v>Stone Brewing</v>
          </cell>
          <cell r="K2677" t="str">
            <v>Draft</v>
          </cell>
          <cell r="L2677" t="str">
            <v>No</v>
          </cell>
        </row>
        <row r="2678">
          <cell r="G2678" t="str">
            <v>Stone Premium &amp; Smooth Beer Co</v>
          </cell>
          <cell r="H2678" t="str">
            <v>Stone Brewing</v>
          </cell>
          <cell r="K2678" t="str">
            <v>Draft</v>
          </cell>
          <cell r="L2678" t="str">
            <v>Yes</v>
          </cell>
        </row>
        <row r="2679">
          <cell r="G2679" t="str">
            <v>Stone Premium &amp; Smooth Beer Co</v>
          </cell>
          <cell r="H2679" t="str">
            <v>Stone Brewing</v>
          </cell>
          <cell r="K2679" t="str">
            <v>Draft</v>
          </cell>
          <cell r="L2679" t="str">
            <v>Yes</v>
          </cell>
        </row>
        <row r="2680">
          <cell r="G2680" t="str">
            <v>Stone Premium &amp; Smooth Beer Co</v>
          </cell>
          <cell r="H2680" t="str">
            <v>Stone Brewing</v>
          </cell>
          <cell r="K2680" t="str">
            <v>Draft</v>
          </cell>
          <cell r="L2680" t="str">
            <v>Yes</v>
          </cell>
        </row>
        <row r="2681">
          <cell r="G2681" t="str">
            <v>Stone Premium &amp; Smooth Beer Co</v>
          </cell>
          <cell r="H2681" t="str">
            <v>Stone Brewing</v>
          </cell>
          <cell r="K2681" t="str">
            <v>Draft</v>
          </cell>
          <cell r="L2681" t="str">
            <v>Yes</v>
          </cell>
        </row>
        <row r="2682">
          <cell r="G2682" t="str">
            <v>Stone Brewing</v>
          </cell>
          <cell r="H2682" t="str">
            <v>Stone Brewing</v>
          </cell>
          <cell r="K2682" t="str">
            <v>Package</v>
          </cell>
          <cell r="L2682" t="str">
            <v>No</v>
          </cell>
        </row>
        <row r="2683">
          <cell r="G2683" t="str">
            <v>Stone Brewing</v>
          </cell>
          <cell r="H2683" t="str">
            <v>Stone Brewing</v>
          </cell>
          <cell r="K2683" t="str">
            <v>Draft</v>
          </cell>
          <cell r="L2683" t="str">
            <v>No</v>
          </cell>
        </row>
        <row r="2684">
          <cell r="G2684" t="str">
            <v>Stone Brewing</v>
          </cell>
          <cell r="H2684" t="str">
            <v>Stone Brewing</v>
          </cell>
          <cell r="K2684" t="str">
            <v>Draft</v>
          </cell>
          <cell r="L2684" t="str">
            <v>No</v>
          </cell>
        </row>
        <row r="2685">
          <cell r="G2685" t="str">
            <v>Stone Brewing</v>
          </cell>
          <cell r="H2685" t="str">
            <v>Stone Brewing</v>
          </cell>
          <cell r="K2685" t="str">
            <v>Draft</v>
          </cell>
          <cell r="L2685" t="str">
            <v>No</v>
          </cell>
        </row>
        <row r="2686">
          <cell r="G2686" t="str">
            <v>Stone Brewing</v>
          </cell>
          <cell r="H2686" t="str">
            <v>Stone Brewing</v>
          </cell>
          <cell r="K2686" t="str">
            <v>Package</v>
          </cell>
          <cell r="L2686" t="str">
            <v>No</v>
          </cell>
        </row>
        <row r="2687">
          <cell r="G2687" t="str">
            <v>Stone Brewing</v>
          </cell>
          <cell r="H2687" t="str">
            <v>Stone Brewing</v>
          </cell>
          <cell r="K2687" t="str">
            <v>Draft</v>
          </cell>
          <cell r="L2687" t="str">
            <v>No</v>
          </cell>
        </row>
        <row r="2688">
          <cell r="G2688" t="str">
            <v>Stone Brewing</v>
          </cell>
          <cell r="H2688" t="str">
            <v>Stone Brewing</v>
          </cell>
          <cell r="K2688" t="str">
            <v>Draft</v>
          </cell>
          <cell r="L2688" t="str">
            <v>No</v>
          </cell>
        </row>
        <row r="2689">
          <cell r="G2689" t="str">
            <v>Stone Brewing</v>
          </cell>
          <cell r="H2689" t="str">
            <v>Stone Brewing</v>
          </cell>
          <cell r="K2689" t="str">
            <v>Package</v>
          </cell>
          <cell r="L2689" t="str">
            <v>Yes</v>
          </cell>
        </row>
        <row r="2690">
          <cell r="G2690" t="str">
            <v>Stone Brewing</v>
          </cell>
          <cell r="H2690" t="str">
            <v>Stone Brewing</v>
          </cell>
          <cell r="K2690" t="str">
            <v>Package</v>
          </cell>
          <cell r="L2690" t="str">
            <v>No</v>
          </cell>
        </row>
        <row r="2691">
          <cell r="G2691" t="str">
            <v>Stone Brewing</v>
          </cell>
          <cell r="H2691" t="str">
            <v>Stone Brewing</v>
          </cell>
          <cell r="K2691" t="str">
            <v>Package</v>
          </cell>
          <cell r="L2691" t="str">
            <v>No</v>
          </cell>
        </row>
        <row r="2692">
          <cell r="G2692" t="str">
            <v>Stone Brewing</v>
          </cell>
          <cell r="H2692" t="str">
            <v>Stone Brewing</v>
          </cell>
          <cell r="K2692" t="str">
            <v>Draft</v>
          </cell>
          <cell r="L2692" t="str">
            <v>No</v>
          </cell>
        </row>
        <row r="2693">
          <cell r="G2693" t="str">
            <v>Stone Brewing</v>
          </cell>
          <cell r="H2693" t="str">
            <v>Stone Brewing</v>
          </cell>
          <cell r="K2693" t="str">
            <v>Draft</v>
          </cell>
          <cell r="L2693" t="str">
            <v>No</v>
          </cell>
        </row>
        <row r="2694">
          <cell r="G2694" t="str">
            <v>Stone Brewing</v>
          </cell>
          <cell r="H2694" t="str">
            <v>Stone Brewing</v>
          </cell>
          <cell r="K2694" t="str">
            <v>Package</v>
          </cell>
          <cell r="L2694" t="str">
            <v>No</v>
          </cell>
        </row>
        <row r="2695">
          <cell r="G2695" t="str">
            <v>Stone Brewing</v>
          </cell>
          <cell r="H2695" t="str">
            <v>Stone Brewing</v>
          </cell>
          <cell r="K2695" t="str">
            <v>Package</v>
          </cell>
          <cell r="L2695" t="str">
            <v>No</v>
          </cell>
        </row>
        <row r="2696">
          <cell r="G2696" t="str">
            <v>Stone Brewing</v>
          </cell>
          <cell r="H2696" t="str">
            <v>Stone Brewing</v>
          </cell>
          <cell r="K2696" t="str">
            <v>Package</v>
          </cell>
          <cell r="L2696" t="str">
            <v>No</v>
          </cell>
        </row>
        <row r="2697">
          <cell r="G2697" t="str">
            <v>Stone Brewing</v>
          </cell>
          <cell r="H2697" t="str">
            <v>Stone Brewing</v>
          </cell>
          <cell r="K2697" t="str">
            <v>Draft</v>
          </cell>
          <cell r="L2697" t="str">
            <v>No</v>
          </cell>
        </row>
        <row r="2698">
          <cell r="G2698" t="str">
            <v>Stone Brewing</v>
          </cell>
          <cell r="H2698" t="str">
            <v>Stone Brewing</v>
          </cell>
          <cell r="K2698" t="str">
            <v>Package</v>
          </cell>
          <cell r="L2698" t="str">
            <v>No</v>
          </cell>
        </row>
        <row r="2699">
          <cell r="G2699" t="str">
            <v>Stone Brewing</v>
          </cell>
          <cell r="H2699" t="str">
            <v>Stone Brewing</v>
          </cell>
          <cell r="K2699" t="str">
            <v>Draft</v>
          </cell>
          <cell r="L2699" t="str">
            <v>No</v>
          </cell>
        </row>
        <row r="2700">
          <cell r="G2700" t="str">
            <v>Stone Brewing</v>
          </cell>
          <cell r="H2700" t="str">
            <v>Stone Brewing</v>
          </cell>
          <cell r="K2700" t="str">
            <v>Draft</v>
          </cell>
          <cell r="L2700" t="str">
            <v>No</v>
          </cell>
        </row>
        <row r="2701">
          <cell r="G2701" t="str">
            <v>Stone Brewing</v>
          </cell>
          <cell r="H2701" t="str">
            <v>Stone Brewing</v>
          </cell>
          <cell r="K2701" t="str">
            <v>Draft</v>
          </cell>
          <cell r="L2701" t="str">
            <v>Yes</v>
          </cell>
        </row>
        <row r="2702">
          <cell r="G2702" t="str">
            <v>Stone Brewing</v>
          </cell>
          <cell r="H2702" t="str">
            <v>Stone Brewing</v>
          </cell>
          <cell r="K2702" t="str">
            <v>Draft</v>
          </cell>
          <cell r="L2702" t="str">
            <v>No</v>
          </cell>
        </row>
        <row r="2703">
          <cell r="G2703" t="str">
            <v>Stone Brewing</v>
          </cell>
          <cell r="H2703" t="str">
            <v>Stone Brewing</v>
          </cell>
          <cell r="K2703" t="str">
            <v>Package</v>
          </cell>
          <cell r="L2703" t="str">
            <v>No</v>
          </cell>
        </row>
        <row r="2704">
          <cell r="G2704" t="str">
            <v>Stone Brewing</v>
          </cell>
          <cell r="H2704" t="str">
            <v>Stone Brewing</v>
          </cell>
          <cell r="K2704" t="str">
            <v>Draft</v>
          </cell>
          <cell r="L2704" t="str">
            <v>No</v>
          </cell>
        </row>
        <row r="2705">
          <cell r="G2705" t="str">
            <v>Stone Brewing</v>
          </cell>
          <cell r="H2705" t="str">
            <v>Stone Brewing</v>
          </cell>
          <cell r="K2705" t="str">
            <v>Package</v>
          </cell>
          <cell r="L2705" t="str">
            <v>Yes</v>
          </cell>
        </row>
        <row r="2706">
          <cell r="G2706" t="str">
            <v>Stone Brewing</v>
          </cell>
          <cell r="H2706" t="str">
            <v>Stone Brewing</v>
          </cell>
          <cell r="K2706" t="str">
            <v>Package</v>
          </cell>
          <cell r="L2706" t="str">
            <v>No</v>
          </cell>
        </row>
        <row r="2707">
          <cell r="G2707" t="str">
            <v>Stone Brewing</v>
          </cell>
          <cell r="H2707" t="str">
            <v>Stone Brewing</v>
          </cell>
          <cell r="K2707" t="str">
            <v>Package</v>
          </cell>
          <cell r="L2707" t="str">
            <v>No</v>
          </cell>
        </row>
        <row r="2708">
          <cell r="G2708" t="str">
            <v>Stone Brewing</v>
          </cell>
          <cell r="H2708" t="str">
            <v>Stone Brewing</v>
          </cell>
          <cell r="K2708" t="str">
            <v>Draft</v>
          </cell>
          <cell r="L2708" t="str">
            <v>No</v>
          </cell>
        </row>
        <row r="2709">
          <cell r="G2709" t="str">
            <v>Stone Brewing</v>
          </cell>
          <cell r="H2709" t="str">
            <v>Stone Brewing</v>
          </cell>
          <cell r="K2709" t="str">
            <v>Package</v>
          </cell>
          <cell r="L2709" t="str">
            <v>Yes</v>
          </cell>
        </row>
        <row r="2710">
          <cell r="G2710" t="str">
            <v>Stone Brewing</v>
          </cell>
          <cell r="H2710" t="str">
            <v>Stone Brewing</v>
          </cell>
          <cell r="K2710" t="str">
            <v>Draft</v>
          </cell>
          <cell r="L2710" t="str">
            <v>Yes</v>
          </cell>
        </row>
        <row r="2711">
          <cell r="G2711" t="str">
            <v>Stone Brewing</v>
          </cell>
          <cell r="H2711" t="str">
            <v>Stone Brewing</v>
          </cell>
          <cell r="K2711" t="str">
            <v>Draft</v>
          </cell>
          <cell r="L2711" t="str">
            <v>Yes</v>
          </cell>
        </row>
        <row r="2712">
          <cell r="G2712" t="str">
            <v>Stone Brewing</v>
          </cell>
          <cell r="H2712" t="str">
            <v>Stone Brewing</v>
          </cell>
          <cell r="K2712" t="str">
            <v>Draft</v>
          </cell>
          <cell r="L2712" t="str">
            <v>Yes</v>
          </cell>
        </row>
        <row r="2713">
          <cell r="G2713" t="str">
            <v>Stone Brewing</v>
          </cell>
          <cell r="H2713" t="str">
            <v>Stone Brewing</v>
          </cell>
          <cell r="K2713" t="str">
            <v>Draft</v>
          </cell>
          <cell r="L2713" t="str">
            <v>Yes</v>
          </cell>
        </row>
        <row r="2714">
          <cell r="G2714" t="str">
            <v>Stone Brewing</v>
          </cell>
          <cell r="H2714" t="str">
            <v>Stone Brewing</v>
          </cell>
          <cell r="K2714" t="str">
            <v>Package</v>
          </cell>
          <cell r="L2714" t="str">
            <v>No</v>
          </cell>
        </row>
        <row r="2715">
          <cell r="G2715" t="str">
            <v>Stone Brewing</v>
          </cell>
          <cell r="H2715" t="str">
            <v>Stone Brewing</v>
          </cell>
          <cell r="K2715" t="str">
            <v>Draft</v>
          </cell>
          <cell r="L2715" t="str">
            <v>Yes</v>
          </cell>
        </row>
        <row r="2716">
          <cell r="G2716" t="str">
            <v>Stone Brewing</v>
          </cell>
          <cell r="H2716" t="str">
            <v>Stone Brewing</v>
          </cell>
          <cell r="K2716" t="str">
            <v>Package</v>
          </cell>
          <cell r="L2716" t="str">
            <v>No</v>
          </cell>
        </row>
        <row r="2717">
          <cell r="G2717" t="str">
            <v>Stone Brewing</v>
          </cell>
          <cell r="H2717" t="str">
            <v>Stone Brewing</v>
          </cell>
          <cell r="K2717" t="str">
            <v>Draft</v>
          </cell>
          <cell r="L2717" t="str">
            <v>Yes</v>
          </cell>
        </row>
        <row r="2718">
          <cell r="G2718" t="str">
            <v>Stone Brewing</v>
          </cell>
          <cell r="H2718" t="str">
            <v>Stone Brewing</v>
          </cell>
          <cell r="K2718" t="str">
            <v>Package</v>
          </cell>
          <cell r="L2718" t="str">
            <v>Yes</v>
          </cell>
        </row>
        <row r="2719">
          <cell r="G2719" t="str">
            <v>Industrial Arts</v>
          </cell>
          <cell r="H2719" t="str">
            <v>Industrial Arts Brewing Co</v>
          </cell>
          <cell r="K2719" t="str">
            <v>Package</v>
          </cell>
          <cell r="L2719" t="str">
            <v>No</v>
          </cell>
        </row>
        <row r="2720">
          <cell r="G2720" t="str">
            <v>Industrial Arts</v>
          </cell>
          <cell r="H2720" t="str">
            <v>Industrial Arts Brewing Co</v>
          </cell>
          <cell r="K2720" t="str">
            <v>Package</v>
          </cell>
          <cell r="L2720" t="str">
            <v>No</v>
          </cell>
        </row>
        <row r="2721">
          <cell r="G2721" t="str">
            <v>Industrial Arts</v>
          </cell>
          <cell r="H2721" t="str">
            <v>Industrial Arts Brewing Co</v>
          </cell>
          <cell r="K2721" t="str">
            <v>Package</v>
          </cell>
          <cell r="L2721" t="str">
            <v>No</v>
          </cell>
        </row>
        <row r="2722">
          <cell r="G2722" t="str">
            <v>Industrial Arts</v>
          </cell>
          <cell r="H2722" t="str">
            <v>Industrial Arts Brewing Co</v>
          </cell>
          <cell r="K2722" t="str">
            <v>Draft</v>
          </cell>
          <cell r="L2722" t="str">
            <v>No</v>
          </cell>
        </row>
        <row r="2723">
          <cell r="G2723" t="str">
            <v>Industrial Arts</v>
          </cell>
          <cell r="H2723" t="str">
            <v>Industrial Arts Brewing Co</v>
          </cell>
          <cell r="K2723" t="str">
            <v>Draft</v>
          </cell>
          <cell r="L2723" t="str">
            <v>No</v>
          </cell>
        </row>
        <row r="2724">
          <cell r="G2724" t="str">
            <v>Industrial Arts</v>
          </cell>
          <cell r="H2724" t="str">
            <v>Industrial Arts Brewing Co</v>
          </cell>
          <cell r="K2724" t="str">
            <v>Package</v>
          </cell>
          <cell r="L2724" t="str">
            <v>No</v>
          </cell>
        </row>
        <row r="2725">
          <cell r="G2725" t="str">
            <v>Industrial Arts</v>
          </cell>
          <cell r="H2725" t="str">
            <v>Industrial Arts Brewing Co</v>
          </cell>
          <cell r="K2725" t="str">
            <v>Package</v>
          </cell>
          <cell r="L2725" t="str">
            <v>No</v>
          </cell>
        </row>
        <row r="2726">
          <cell r="G2726" t="str">
            <v>Industrial Arts</v>
          </cell>
          <cell r="H2726" t="str">
            <v>Industrial Arts Brewing Co</v>
          </cell>
          <cell r="K2726" t="str">
            <v>Package</v>
          </cell>
          <cell r="L2726" t="str">
            <v>No</v>
          </cell>
        </row>
        <row r="2727">
          <cell r="G2727" t="str">
            <v>Industrial Arts</v>
          </cell>
          <cell r="H2727" t="str">
            <v>Industrial Arts Brewing Co</v>
          </cell>
          <cell r="K2727" t="str">
            <v>Draft</v>
          </cell>
          <cell r="L2727" t="str">
            <v>No</v>
          </cell>
        </row>
        <row r="2728">
          <cell r="G2728" t="str">
            <v>Industrial Arts</v>
          </cell>
          <cell r="H2728" t="str">
            <v>Industrial Arts Brewing Co</v>
          </cell>
          <cell r="K2728" t="str">
            <v>Draft</v>
          </cell>
          <cell r="L2728" t="str">
            <v>No</v>
          </cell>
        </row>
        <row r="2729">
          <cell r="G2729" t="str">
            <v>Industrial Arts</v>
          </cell>
          <cell r="H2729" t="str">
            <v>Industrial Arts Brewing Co</v>
          </cell>
          <cell r="K2729" t="str">
            <v>Package</v>
          </cell>
          <cell r="L2729" t="str">
            <v>No</v>
          </cell>
        </row>
        <row r="2730">
          <cell r="G2730" t="str">
            <v>Industrial Arts</v>
          </cell>
          <cell r="H2730" t="str">
            <v>Industrial Arts Brewing Co</v>
          </cell>
          <cell r="K2730" t="str">
            <v>Draft</v>
          </cell>
          <cell r="L2730" t="str">
            <v>No</v>
          </cell>
        </row>
        <row r="2731">
          <cell r="G2731" t="str">
            <v>Industrial Arts</v>
          </cell>
          <cell r="H2731" t="str">
            <v>Industrial Arts Brewing Co</v>
          </cell>
          <cell r="K2731" t="str">
            <v>Draft</v>
          </cell>
          <cell r="L2731" t="str">
            <v>No</v>
          </cell>
        </row>
        <row r="2732">
          <cell r="G2732" t="str">
            <v>Industrial Arts</v>
          </cell>
          <cell r="H2732" t="str">
            <v>Industrial Arts Brewing Co</v>
          </cell>
          <cell r="K2732" t="str">
            <v>Package</v>
          </cell>
          <cell r="L2732" t="str">
            <v>No</v>
          </cell>
        </row>
        <row r="2733">
          <cell r="G2733" t="str">
            <v>Industrial Arts</v>
          </cell>
          <cell r="H2733" t="str">
            <v>Industrial Arts Brewing Co</v>
          </cell>
          <cell r="K2733" t="str">
            <v>Draft</v>
          </cell>
          <cell r="L2733" t="str">
            <v>No</v>
          </cell>
        </row>
        <row r="2734">
          <cell r="G2734" t="str">
            <v>Industrial Arts</v>
          </cell>
          <cell r="H2734" t="str">
            <v>Industrial Arts Brewing Co</v>
          </cell>
          <cell r="K2734" t="str">
            <v>Draft</v>
          </cell>
          <cell r="L2734" t="str">
            <v>No</v>
          </cell>
        </row>
        <row r="2735">
          <cell r="G2735" t="str">
            <v>Industrial Arts</v>
          </cell>
          <cell r="H2735" t="str">
            <v>Industrial Arts Brewing Co</v>
          </cell>
          <cell r="K2735" t="str">
            <v>Package</v>
          </cell>
          <cell r="L2735" t="str">
            <v>No</v>
          </cell>
        </row>
        <row r="2736">
          <cell r="G2736" t="str">
            <v>Industrial Arts</v>
          </cell>
          <cell r="H2736" t="str">
            <v>Industrial Arts Brewing Co</v>
          </cell>
          <cell r="K2736" t="str">
            <v>Draft</v>
          </cell>
          <cell r="L2736" t="str">
            <v>No</v>
          </cell>
        </row>
        <row r="2737">
          <cell r="G2737" t="str">
            <v>Industrial Arts</v>
          </cell>
          <cell r="H2737" t="str">
            <v>Industrial Arts Brewing Co</v>
          </cell>
          <cell r="K2737" t="str">
            <v>Draft</v>
          </cell>
          <cell r="L2737" t="str">
            <v>No</v>
          </cell>
        </row>
        <row r="2738">
          <cell r="G2738" t="str">
            <v>Industrial Arts</v>
          </cell>
          <cell r="H2738" t="str">
            <v>Industrial Arts Brewing Co</v>
          </cell>
          <cell r="K2738" t="str">
            <v>Package</v>
          </cell>
          <cell r="L2738" t="str">
            <v>No</v>
          </cell>
        </row>
        <row r="2739">
          <cell r="G2739" t="str">
            <v>Industrial Arts</v>
          </cell>
          <cell r="H2739" t="str">
            <v>Industrial Arts Brewing Co</v>
          </cell>
          <cell r="K2739" t="str">
            <v>Draft</v>
          </cell>
          <cell r="L2739" t="str">
            <v>No</v>
          </cell>
        </row>
        <row r="2740">
          <cell r="G2740" t="str">
            <v>Industrial Arts</v>
          </cell>
          <cell r="H2740" t="str">
            <v>Industrial Arts Brewing Co</v>
          </cell>
          <cell r="K2740" t="str">
            <v>Draft</v>
          </cell>
          <cell r="L2740" t="str">
            <v>No</v>
          </cell>
        </row>
        <row r="2741">
          <cell r="G2741" t="str">
            <v>Industrial Arts</v>
          </cell>
          <cell r="H2741" t="str">
            <v>Industrial Arts Brewing Co</v>
          </cell>
          <cell r="K2741" t="str">
            <v>Package</v>
          </cell>
          <cell r="L2741" t="str">
            <v>No</v>
          </cell>
        </row>
        <row r="2742">
          <cell r="G2742" t="str">
            <v>Industrial Arts</v>
          </cell>
          <cell r="H2742" t="str">
            <v>Industrial Arts Brewing Co</v>
          </cell>
          <cell r="K2742" t="str">
            <v>Draft</v>
          </cell>
          <cell r="L2742" t="str">
            <v>No</v>
          </cell>
        </row>
        <row r="2743">
          <cell r="G2743" t="str">
            <v>Industrial Arts</v>
          </cell>
          <cell r="H2743" t="str">
            <v>Industrial Arts Brewing Co</v>
          </cell>
          <cell r="K2743" t="str">
            <v>Draft</v>
          </cell>
          <cell r="L2743" t="str">
            <v>No</v>
          </cell>
        </row>
        <row r="2744">
          <cell r="G2744" t="str">
            <v>Industrial Arts</v>
          </cell>
          <cell r="H2744" t="str">
            <v>Industrial Arts Brewing Co</v>
          </cell>
          <cell r="K2744" t="str">
            <v>Package</v>
          </cell>
          <cell r="L2744" t="str">
            <v>No</v>
          </cell>
        </row>
        <row r="2745">
          <cell r="G2745" t="str">
            <v>Industrial Arts</v>
          </cell>
          <cell r="H2745" t="str">
            <v>Industrial Arts Brewing Co</v>
          </cell>
          <cell r="K2745" t="str">
            <v>Draft</v>
          </cell>
          <cell r="L2745" t="str">
            <v>No</v>
          </cell>
        </row>
        <row r="2746">
          <cell r="G2746" t="str">
            <v>Industrial Arts</v>
          </cell>
          <cell r="H2746" t="str">
            <v>Industrial Arts Brewing Co</v>
          </cell>
          <cell r="K2746" t="str">
            <v>Draft</v>
          </cell>
          <cell r="L2746" t="str">
            <v>No</v>
          </cell>
        </row>
        <row r="2747">
          <cell r="G2747" t="str">
            <v>Industrial Arts</v>
          </cell>
          <cell r="H2747" t="str">
            <v>Industrial Arts Brewing Co</v>
          </cell>
          <cell r="K2747" t="str">
            <v>Package</v>
          </cell>
          <cell r="L2747" t="str">
            <v>No</v>
          </cell>
        </row>
        <row r="2748">
          <cell r="G2748" t="str">
            <v>Industrial Arts</v>
          </cell>
          <cell r="H2748" t="str">
            <v>Industrial Arts Brewing Co</v>
          </cell>
          <cell r="K2748" t="str">
            <v>Package</v>
          </cell>
          <cell r="L2748" t="str">
            <v>No</v>
          </cell>
        </row>
        <row r="2749">
          <cell r="G2749" t="str">
            <v>Industrial Arts</v>
          </cell>
          <cell r="H2749" t="str">
            <v>Industrial Arts Brewing Co</v>
          </cell>
          <cell r="K2749" t="str">
            <v>Package</v>
          </cell>
          <cell r="L2749" t="str">
            <v>No</v>
          </cell>
        </row>
        <row r="2750">
          <cell r="G2750" t="str">
            <v>Industrial Arts</v>
          </cell>
          <cell r="H2750" t="str">
            <v>Industrial Arts Brewing Co</v>
          </cell>
          <cell r="K2750" t="str">
            <v>Package</v>
          </cell>
          <cell r="L2750" t="str">
            <v>No</v>
          </cell>
        </row>
        <row r="2751">
          <cell r="G2751" t="str">
            <v>Industrial Arts</v>
          </cell>
          <cell r="H2751" t="str">
            <v>Industrial Arts Brewing Co</v>
          </cell>
          <cell r="K2751" t="str">
            <v>Package</v>
          </cell>
          <cell r="L2751" t="str">
            <v>No</v>
          </cell>
        </row>
        <row r="2752">
          <cell r="G2752" t="str">
            <v>Industrial Arts</v>
          </cell>
          <cell r="H2752" t="str">
            <v>Industrial Arts Brewing Co</v>
          </cell>
          <cell r="K2752" t="str">
            <v>Package</v>
          </cell>
          <cell r="L2752" t="str">
            <v>No</v>
          </cell>
        </row>
        <row r="2753">
          <cell r="G2753" t="str">
            <v>Industrial Arts</v>
          </cell>
          <cell r="H2753" t="str">
            <v>Industrial Arts Brewing Co</v>
          </cell>
          <cell r="K2753" t="str">
            <v>Draft</v>
          </cell>
          <cell r="L2753" t="str">
            <v>No</v>
          </cell>
        </row>
        <row r="2754">
          <cell r="G2754" t="str">
            <v>Industrial Arts</v>
          </cell>
          <cell r="H2754" t="str">
            <v>Industrial Arts Brewing Co</v>
          </cell>
          <cell r="K2754" t="str">
            <v>Draft</v>
          </cell>
          <cell r="L2754" t="str">
            <v>No</v>
          </cell>
        </row>
        <row r="2755">
          <cell r="G2755" t="str">
            <v>Industrial Arts</v>
          </cell>
          <cell r="H2755" t="str">
            <v>Industrial Arts Brewing Co</v>
          </cell>
          <cell r="K2755" t="str">
            <v>Package</v>
          </cell>
          <cell r="L2755" t="str">
            <v>No</v>
          </cell>
        </row>
        <row r="2756">
          <cell r="G2756" t="str">
            <v>Industrial Arts</v>
          </cell>
          <cell r="H2756" t="str">
            <v>Industrial Arts Brewing Co</v>
          </cell>
          <cell r="K2756" t="str">
            <v>Package</v>
          </cell>
          <cell r="L2756" t="str">
            <v>No</v>
          </cell>
        </row>
        <row r="2757">
          <cell r="G2757" t="str">
            <v>Industrial Arts</v>
          </cell>
          <cell r="H2757" t="str">
            <v>Industrial Arts Brewing Co</v>
          </cell>
          <cell r="K2757" t="str">
            <v>Draft</v>
          </cell>
          <cell r="L2757" t="str">
            <v>No</v>
          </cell>
        </row>
        <row r="2758">
          <cell r="G2758" t="str">
            <v>Industrial Arts</v>
          </cell>
          <cell r="H2758" t="str">
            <v>Industrial Arts Brewing Co</v>
          </cell>
          <cell r="K2758" t="str">
            <v>Draft</v>
          </cell>
          <cell r="L2758" t="str">
            <v>No</v>
          </cell>
        </row>
        <row r="2759">
          <cell r="G2759" t="str">
            <v>Industrial Arts</v>
          </cell>
          <cell r="H2759" t="str">
            <v>Industrial Arts Brewing Co</v>
          </cell>
          <cell r="K2759" t="str">
            <v>Package</v>
          </cell>
          <cell r="L2759" t="str">
            <v>No</v>
          </cell>
        </row>
        <row r="2760">
          <cell r="G2760" t="str">
            <v>Industrial Arts</v>
          </cell>
          <cell r="H2760" t="str">
            <v>Industrial Arts Brewing Co</v>
          </cell>
          <cell r="K2760" t="str">
            <v>Draft</v>
          </cell>
          <cell r="L2760" t="str">
            <v>No</v>
          </cell>
        </row>
        <row r="2761">
          <cell r="G2761" t="str">
            <v>Industrial Arts</v>
          </cell>
          <cell r="H2761" t="str">
            <v>Industrial Arts Brewing Co</v>
          </cell>
          <cell r="K2761" t="str">
            <v>Draft</v>
          </cell>
          <cell r="L2761" t="str">
            <v>No</v>
          </cell>
        </row>
        <row r="2762">
          <cell r="G2762" t="str">
            <v>Other Half</v>
          </cell>
          <cell r="H2762" t="str">
            <v>Other Half Brewing Co</v>
          </cell>
          <cell r="K2762" t="str">
            <v>Package</v>
          </cell>
          <cell r="L2762" t="str">
            <v>Yes</v>
          </cell>
        </row>
        <row r="2763">
          <cell r="G2763" t="str">
            <v>Other Half</v>
          </cell>
          <cell r="H2763" t="str">
            <v>Other Half Brewing Co</v>
          </cell>
          <cell r="K2763" t="str">
            <v>Draft</v>
          </cell>
          <cell r="L2763" t="str">
            <v>Yes</v>
          </cell>
        </row>
        <row r="2764">
          <cell r="G2764" t="str">
            <v>Other Half</v>
          </cell>
          <cell r="H2764" t="str">
            <v>Other Half Brewing Co</v>
          </cell>
          <cell r="K2764" t="str">
            <v>Draft</v>
          </cell>
          <cell r="L2764" t="str">
            <v>Yes</v>
          </cell>
        </row>
        <row r="2765">
          <cell r="G2765" t="str">
            <v>Other Half</v>
          </cell>
          <cell r="H2765" t="str">
            <v>Other Half Brewing Co</v>
          </cell>
          <cell r="K2765" t="str">
            <v>Package</v>
          </cell>
          <cell r="L2765" t="str">
            <v>Yes</v>
          </cell>
        </row>
        <row r="2766">
          <cell r="G2766" t="str">
            <v>Other Half</v>
          </cell>
          <cell r="H2766" t="str">
            <v>Other Half Brewing Co</v>
          </cell>
          <cell r="K2766" t="str">
            <v>Draft</v>
          </cell>
          <cell r="L2766" t="str">
            <v>Yes</v>
          </cell>
        </row>
        <row r="2767">
          <cell r="G2767" t="str">
            <v>Other Half</v>
          </cell>
          <cell r="H2767" t="str">
            <v>Other Half Brewing Co</v>
          </cell>
          <cell r="K2767" t="str">
            <v>Draft</v>
          </cell>
          <cell r="L2767" t="str">
            <v>Yes</v>
          </cell>
        </row>
        <row r="2768">
          <cell r="G2768" t="str">
            <v>Other Half</v>
          </cell>
          <cell r="H2768" t="str">
            <v>Other Half Brewing Co</v>
          </cell>
          <cell r="K2768" t="str">
            <v>Package</v>
          </cell>
          <cell r="L2768" t="str">
            <v>Yes</v>
          </cell>
        </row>
        <row r="2769">
          <cell r="G2769" t="str">
            <v>Other Half</v>
          </cell>
          <cell r="H2769" t="str">
            <v>Other Half Brewing Co</v>
          </cell>
          <cell r="K2769" t="str">
            <v>Draft</v>
          </cell>
          <cell r="L2769" t="str">
            <v>Yes</v>
          </cell>
        </row>
        <row r="2770">
          <cell r="G2770" t="str">
            <v>Other Half</v>
          </cell>
          <cell r="H2770" t="str">
            <v>Other Half Brewing Co</v>
          </cell>
          <cell r="K2770" t="str">
            <v>Draft</v>
          </cell>
          <cell r="L2770" t="str">
            <v>Yes</v>
          </cell>
        </row>
        <row r="2771">
          <cell r="G2771" t="str">
            <v>Other Half</v>
          </cell>
          <cell r="H2771" t="str">
            <v>Other Half Brewing Co</v>
          </cell>
          <cell r="K2771" t="str">
            <v>Package</v>
          </cell>
          <cell r="L2771" t="str">
            <v>Yes</v>
          </cell>
        </row>
        <row r="2772">
          <cell r="G2772" t="str">
            <v>Other Half</v>
          </cell>
          <cell r="H2772" t="str">
            <v>Other Half Brewing Co</v>
          </cell>
          <cell r="K2772" t="str">
            <v>Draft</v>
          </cell>
          <cell r="L2772" t="str">
            <v>Yes</v>
          </cell>
        </row>
        <row r="2773">
          <cell r="G2773" t="str">
            <v>Other Half</v>
          </cell>
          <cell r="H2773" t="str">
            <v>Other Half Brewing Co</v>
          </cell>
          <cell r="K2773" t="str">
            <v>Draft</v>
          </cell>
          <cell r="L2773" t="str">
            <v>Yes</v>
          </cell>
        </row>
        <row r="2774">
          <cell r="G2774" t="str">
            <v>Other Half</v>
          </cell>
          <cell r="H2774" t="str">
            <v>Other Half Brewing Co</v>
          </cell>
          <cell r="K2774" t="str">
            <v>Package</v>
          </cell>
          <cell r="L2774" t="str">
            <v>Yes</v>
          </cell>
        </row>
        <row r="2775">
          <cell r="G2775" t="str">
            <v>Other Half</v>
          </cell>
          <cell r="H2775" t="str">
            <v>Other Half Brewing Co</v>
          </cell>
          <cell r="K2775" t="str">
            <v>Draft</v>
          </cell>
          <cell r="L2775" t="str">
            <v>Yes</v>
          </cell>
        </row>
        <row r="2776">
          <cell r="G2776" t="str">
            <v>Other Half</v>
          </cell>
          <cell r="H2776" t="str">
            <v>Other Half Brewing Co</v>
          </cell>
          <cell r="K2776" t="str">
            <v>Draft</v>
          </cell>
          <cell r="L2776" t="str">
            <v>Yes</v>
          </cell>
        </row>
        <row r="2777">
          <cell r="G2777" t="str">
            <v>Other Half</v>
          </cell>
          <cell r="H2777" t="str">
            <v>Other Half Brewing Co</v>
          </cell>
          <cell r="K2777" t="str">
            <v>Package</v>
          </cell>
          <cell r="L2777" t="str">
            <v>Yes</v>
          </cell>
        </row>
        <row r="2778">
          <cell r="G2778" t="str">
            <v>Other Half</v>
          </cell>
          <cell r="H2778" t="str">
            <v>Other Half Brewing Co</v>
          </cell>
          <cell r="K2778" t="str">
            <v>Package</v>
          </cell>
          <cell r="L2778" t="str">
            <v>No</v>
          </cell>
        </row>
        <row r="2779">
          <cell r="G2779" t="str">
            <v>Other Half</v>
          </cell>
          <cell r="H2779" t="str">
            <v>Other Half Brewing Co</v>
          </cell>
          <cell r="K2779" t="str">
            <v>Package</v>
          </cell>
          <cell r="L2779" t="str">
            <v>No</v>
          </cell>
        </row>
        <row r="2780">
          <cell r="G2780" t="str">
            <v>Other Half</v>
          </cell>
          <cell r="H2780" t="str">
            <v>Other Half Brewing Co</v>
          </cell>
          <cell r="K2780" t="str">
            <v>Package</v>
          </cell>
          <cell r="L2780" t="str">
            <v>Yes</v>
          </cell>
        </row>
        <row r="2781">
          <cell r="G2781" t="str">
            <v>Other Half</v>
          </cell>
          <cell r="H2781" t="str">
            <v>Other Half Brewing Co</v>
          </cell>
          <cell r="K2781" t="str">
            <v>Draft</v>
          </cell>
          <cell r="L2781" t="str">
            <v>Yes</v>
          </cell>
        </row>
        <row r="2782">
          <cell r="G2782" t="str">
            <v>Other Half</v>
          </cell>
          <cell r="H2782" t="str">
            <v>Other Half Brewing Co</v>
          </cell>
          <cell r="K2782" t="str">
            <v>Draft</v>
          </cell>
          <cell r="L2782" t="str">
            <v>Yes</v>
          </cell>
        </row>
        <row r="2783">
          <cell r="G2783" t="str">
            <v>Other Half</v>
          </cell>
          <cell r="H2783" t="str">
            <v>Other Half Brewing Co</v>
          </cell>
          <cell r="K2783" t="str">
            <v>Package</v>
          </cell>
          <cell r="L2783" t="str">
            <v>Yes</v>
          </cell>
        </row>
        <row r="2784">
          <cell r="G2784" t="str">
            <v>Other Half</v>
          </cell>
          <cell r="H2784" t="str">
            <v>Other Half Brewing Co</v>
          </cell>
          <cell r="K2784" t="str">
            <v>Package</v>
          </cell>
          <cell r="L2784" t="str">
            <v>Yes</v>
          </cell>
        </row>
        <row r="2785">
          <cell r="G2785" t="str">
            <v>Other Half</v>
          </cell>
          <cell r="H2785" t="str">
            <v>Other Half Brewing Co</v>
          </cell>
          <cell r="K2785" t="str">
            <v>Draft</v>
          </cell>
          <cell r="L2785" t="str">
            <v>No</v>
          </cell>
        </row>
        <row r="2786">
          <cell r="G2786" t="str">
            <v>Other Half</v>
          </cell>
          <cell r="H2786" t="str">
            <v>Other Half Brewing Co</v>
          </cell>
          <cell r="K2786" t="str">
            <v>Draft</v>
          </cell>
          <cell r="L2786" t="str">
            <v>No</v>
          </cell>
        </row>
        <row r="2787">
          <cell r="G2787" t="str">
            <v>Other Half</v>
          </cell>
          <cell r="H2787" t="str">
            <v>Other Half Brewing Co</v>
          </cell>
          <cell r="K2787" t="str">
            <v>Package</v>
          </cell>
          <cell r="L2787" t="str">
            <v>Yes</v>
          </cell>
        </row>
        <row r="2788">
          <cell r="G2788" t="str">
            <v>Other Half</v>
          </cell>
          <cell r="H2788" t="str">
            <v>Other Half Brewing Co</v>
          </cell>
          <cell r="K2788" t="str">
            <v>Draft</v>
          </cell>
          <cell r="L2788" t="str">
            <v>No</v>
          </cell>
        </row>
        <row r="2789">
          <cell r="G2789" t="str">
            <v>Other Half</v>
          </cell>
          <cell r="H2789" t="str">
            <v>Other Half Brewing Co</v>
          </cell>
          <cell r="K2789" t="str">
            <v>Draft</v>
          </cell>
          <cell r="L2789" t="str">
            <v>No</v>
          </cell>
        </row>
        <row r="2790">
          <cell r="G2790" t="str">
            <v>Other Half</v>
          </cell>
          <cell r="H2790" t="str">
            <v>Other Half Brewing Co</v>
          </cell>
          <cell r="K2790" t="str">
            <v>Package</v>
          </cell>
          <cell r="L2790" t="str">
            <v>Yes</v>
          </cell>
        </row>
        <row r="2791">
          <cell r="G2791" t="str">
            <v>Other Half</v>
          </cell>
          <cell r="H2791" t="str">
            <v>Other Half Brewing Co</v>
          </cell>
          <cell r="K2791" t="str">
            <v>Draft</v>
          </cell>
          <cell r="L2791" t="str">
            <v>No</v>
          </cell>
        </row>
        <row r="2792">
          <cell r="G2792" t="str">
            <v>Other Half</v>
          </cell>
          <cell r="H2792" t="str">
            <v>Other Half Brewing Co</v>
          </cell>
          <cell r="K2792" t="str">
            <v>Draft</v>
          </cell>
          <cell r="L2792" t="str">
            <v>No</v>
          </cell>
        </row>
        <row r="2793">
          <cell r="G2793" t="str">
            <v>Other Half</v>
          </cell>
          <cell r="H2793" t="str">
            <v>Other Half Brewing Co</v>
          </cell>
          <cell r="K2793" t="str">
            <v>Package</v>
          </cell>
          <cell r="L2793" t="str">
            <v>Yes</v>
          </cell>
        </row>
        <row r="2794">
          <cell r="G2794" t="str">
            <v>Other Half</v>
          </cell>
          <cell r="H2794" t="str">
            <v>Other Half Brewing Co</v>
          </cell>
          <cell r="K2794" t="str">
            <v>Draft</v>
          </cell>
          <cell r="L2794" t="str">
            <v>Yes</v>
          </cell>
        </row>
        <row r="2795">
          <cell r="G2795" t="str">
            <v>Other Half</v>
          </cell>
          <cell r="H2795" t="str">
            <v>Other Half Brewing Co</v>
          </cell>
          <cell r="K2795" t="str">
            <v>Draft</v>
          </cell>
          <cell r="L2795" t="str">
            <v>Yes</v>
          </cell>
        </row>
        <row r="2796">
          <cell r="G2796" t="str">
            <v>Other Half</v>
          </cell>
          <cell r="H2796" t="str">
            <v>Other Half Brewing Co</v>
          </cell>
          <cell r="K2796" t="str">
            <v>Package</v>
          </cell>
          <cell r="L2796" t="str">
            <v>No</v>
          </cell>
        </row>
        <row r="2797">
          <cell r="G2797" t="str">
            <v>Other Half</v>
          </cell>
          <cell r="H2797" t="str">
            <v>Other Half Brewing Co</v>
          </cell>
          <cell r="K2797" t="str">
            <v>Draft</v>
          </cell>
          <cell r="L2797" t="str">
            <v>No</v>
          </cell>
        </row>
        <row r="2798">
          <cell r="G2798" t="str">
            <v>Other Half</v>
          </cell>
          <cell r="H2798" t="str">
            <v>Other Half Brewing Co</v>
          </cell>
          <cell r="K2798" t="str">
            <v>Draft</v>
          </cell>
          <cell r="L2798" t="str">
            <v>No</v>
          </cell>
        </row>
        <row r="2799">
          <cell r="G2799" t="str">
            <v>Other Half</v>
          </cell>
          <cell r="H2799" t="str">
            <v>Other Half Brewing Co</v>
          </cell>
          <cell r="K2799" t="str">
            <v>Package</v>
          </cell>
          <cell r="L2799" t="str">
            <v>Yes</v>
          </cell>
        </row>
        <row r="2800">
          <cell r="G2800" t="str">
            <v>Other Half</v>
          </cell>
          <cell r="H2800" t="str">
            <v>Other Half Brewing Co</v>
          </cell>
          <cell r="K2800" t="str">
            <v>Package</v>
          </cell>
          <cell r="L2800" t="str">
            <v>Yes</v>
          </cell>
        </row>
        <row r="2801">
          <cell r="G2801" t="str">
            <v>BJ'S Private Label Brewa</v>
          </cell>
          <cell r="H2801" t="str">
            <v>BJ'S Private Label Brew</v>
          </cell>
          <cell r="K2801" t="str">
            <v>Draft</v>
          </cell>
          <cell r="L2801" t="str">
            <v>No</v>
          </cell>
        </row>
        <row r="2802">
          <cell r="G2802" t="str">
            <v>Other Half</v>
          </cell>
          <cell r="H2802" t="str">
            <v>Other Half Brewing Co</v>
          </cell>
          <cell r="K2802" t="str">
            <v>Package</v>
          </cell>
          <cell r="L2802" t="str">
            <v>Yes</v>
          </cell>
        </row>
        <row r="2803">
          <cell r="G2803" t="str">
            <v>Other Half</v>
          </cell>
          <cell r="H2803" t="str">
            <v>Other Half Brewing Co</v>
          </cell>
          <cell r="K2803" t="str">
            <v>Draft</v>
          </cell>
          <cell r="L2803" t="str">
            <v>Yes</v>
          </cell>
        </row>
        <row r="2804">
          <cell r="G2804" t="str">
            <v>Other Half</v>
          </cell>
          <cell r="H2804" t="str">
            <v>Other Half Brewing Co</v>
          </cell>
          <cell r="K2804" t="str">
            <v>Draft</v>
          </cell>
          <cell r="L2804" t="str">
            <v>Yes</v>
          </cell>
        </row>
        <row r="2805">
          <cell r="G2805" t="str">
            <v>Other Half</v>
          </cell>
          <cell r="H2805" t="str">
            <v>Other Half Brewing Co</v>
          </cell>
          <cell r="K2805" t="str">
            <v>Package</v>
          </cell>
          <cell r="L2805" t="str">
            <v>No</v>
          </cell>
        </row>
        <row r="2806">
          <cell r="G2806" t="str">
            <v>Other Half</v>
          </cell>
          <cell r="H2806" t="str">
            <v>Other Half Brewing Co</v>
          </cell>
          <cell r="K2806" t="str">
            <v>Draft</v>
          </cell>
          <cell r="L2806" t="str">
            <v>No</v>
          </cell>
        </row>
        <row r="2807">
          <cell r="G2807" t="str">
            <v>Other Half</v>
          </cell>
          <cell r="H2807" t="str">
            <v>Other Half Brewing Co</v>
          </cell>
          <cell r="K2807" t="str">
            <v>Draft</v>
          </cell>
          <cell r="L2807" t="str">
            <v>No</v>
          </cell>
        </row>
        <row r="2808">
          <cell r="G2808" t="str">
            <v>Other Half</v>
          </cell>
          <cell r="H2808" t="str">
            <v>Other Half Brewing Co</v>
          </cell>
          <cell r="K2808" t="str">
            <v>Package</v>
          </cell>
          <cell r="L2808" t="str">
            <v>No</v>
          </cell>
        </row>
        <row r="2809">
          <cell r="G2809" t="str">
            <v>Other Half</v>
          </cell>
          <cell r="H2809" t="str">
            <v>Other Half Brewing Co</v>
          </cell>
          <cell r="K2809" t="str">
            <v>Package</v>
          </cell>
          <cell r="L2809" t="str">
            <v>No</v>
          </cell>
        </row>
        <row r="2810">
          <cell r="G2810" t="str">
            <v>Other Half</v>
          </cell>
          <cell r="H2810" t="str">
            <v>Other Half Brewing Co</v>
          </cell>
          <cell r="K2810" t="str">
            <v>Package</v>
          </cell>
          <cell r="L2810" t="str">
            <v>No</v>
          </cell>
        </row>
        <row r="2811">
          <cell r="G2811" t="str">
            <v>Other Half</v>
          </cell>
          <cell r="H2811" t="str">
            <v>Other Half Brewing Co</v>
          </cell>
          <cell r="K2811" t="str">
            <v>Package</v>
          </cell>
          <cell r="L2811" t="str">
            <v>No</v>
          </cell>
        </row>
        <row r="2812">
          <cell r="G2812" t="str">
            <v>Other Half</v>
          </cell>
          <cell r="H2812" t="str">
            <v>Other Half Brewing Co</v>
          </cell>
          <cell r="K2812" t="str">
            <v>Draft</v>
          </cell>
          <cell r="L2812" t="str">
            <v>No</v>
          </cell>
        </row>
        <row r="2813">
          <cell r="G2813" t="str">
            <v>Other Half</v>
          </cell>
          <cell r="H2813" t="str">
            <v>Other Half Brewing Co</v>
          </cell>
          <cell r="K2813" t="str">
            <v>Draft</v>
          </cell>
          <cell r="L2813" t="str">
            <v>No</v>
          </cell>
        </row>
        <row r="2814">
          <cell r="G2814" t="str">
            <v>Other Half</v>
          </cell>
          <cell r="H2814" t="str">
            <v>Other Half Brewing Co</v>
          </cell>
          <cell r="K2814" t="str">
            <v>Package</v>
          </cell>
          <cell r="L2814" t="str">
            <v>No</v>
          </cell>
        </row>
        <row r="2815">
          <cell r="G2815" t="str">
            <v>Other Half</v>
          </cell>
          <cell r="H2815" t="str">
            <v>Other Half Brewing Co</v>
          </cell>
          <cell r="K2815" t="str">
            <v>Package</v>
          </cell>
          <cell r="L2815" t="str">
            <v>No</v>
          </cell>
        </row>
        <row r="2816">
          <cell r="G2816" t="str">
            <v>Other Half</v>
          </cell>
          <cell r="H2816" t="str">
            <v>Other Half Brewing Co</v>
          </cell>
          <cell r="K2816" t="str">
            <v>Draft</v>
          </cell>
          <cell r="L2816" t="str">
            <v>No</v>
          </cell>
        </row>
        <row r="2817">
          <cell r="G2817" t="str">
            <v>Other Half</v>
          </cell>
          <cell r="H2817" t="str">
            <v>Other Half Brewing Co</v>
          </cell>
          <cell r="K2817" t="str">
            <v>Draft</v>
          </cell>
          <cell r="L2817" t="str">
            <v>No</v>
          </cell>
        </row>
        <row r="2818">
          <cell r="G2818" t="str">
            <v>Other Half</v>
          </cell>
          <cell r="H2818" t="str">
            <v>Other Half Brewing Co</v>
          </cell>
          <cell r="K2818" t="str">
            <v>Package</v>
          </cell>
          <cell r="L2818" t="str">
            <v>No</v>
          </cell>
        </row>
        <row r="2819">
          <cell r="G2819" t="str">
            <v>Other Half</v>
          </cell>
          <cell r="H2819" t="str">
            <v>Other Half Brewing Co</v>
          </cell>
          <cell r="K2819" t="str">
            <v>Draft</v>
          </cell>
          <cell r="L2819" t="str">
            <v>No</v>
          </cell>
        </row>
        <row r="2820">
          <cell r="G2820" t="str">
            <v>Other Half</v>
          </cell>
          <cell r="H2820" t="str">
            <v>Other Half Brewing Co</v>
          </cell>
          <cell r="K2820" t="str">
            <v>Draft</v>
          </cell>
          <cell r="L2820" t="str">
            <v>No</v>
          </cell>
        </row>
        <row r="2821">
          <cell r="G2821" t="str">
            <v>Other Half</v>
          </cell>
          <cell r="H2821" t="str">
            <v>Other Half Brewing Co</v>
          </cell>
          <cell r="K2821" t="str">
            <v>Package</v>
          </cell>
          <cell r="L2821" t="str">
            <v>No</v>
          </cell>
        </row>
        <row r="2822">
          <cell r="G2822" t="str">
            <v>Other Half</v>
          </cell>
          <cell r="H2822" t="str">
            <v>Other Half Brewing Co</v>
          </cell>
          <cell r="K2822" t="str">
            <v>Draft</v>
          </cell>
          <cell r="L2822" t="str">
            <v>No</v>
          </cell>
        </row>
        <row r="2823">
          <cell r="G2823" t="str">
            <v>Other Half</v>
          </cell>
          <cell r="H2823" t="str">
            <v>Other Half Brewing Co</v>
          </cell>
          <cell r="K2823" t="str">
            <v>Draft</v>
          </cell>
          <cell r="L2823" t="str">
            <v>No</v>
          </cell>
        </row>
        <row r="2824">
          <cell r="G2824" t="str">
            <v>Other Half</v>
          </cell>
          <cell r="H2824" t="str">
            <v>Other Half Brewing Co</v>
          </cell>
          <cell r="K2824" t="str">
            <v>Package</v>
          </cell>
          <cell r="L2824" t="str">
            <v>No</v>
          </cell>
        </row>
        <row r="2825">
          <cell r="G2825" t="str">
            <v>Other Half</v>
          </cell>
          <cell r="H2825" t="str">
            <v>Other Half Brewing Co</v>
          </cell>
          <cell r="K2825" t="str">
            <v>Package</v>
          </cell>
          <cell r="L2825" t="str">
            <v>No</v>
          </cell>
        </row>
        <row r="2826">
          <cell r="G2826" t="str">
            <v>Other Half</v>
          </cell>
          <cell r="H2826" t="str">
            <v>Other Half Brewing Co</v>
          </cell>
          <cell r="K2826" t="str">
            <v>Package</v>
          </cell>
          <cell r="L2826" t="str">
            <v>No</v>
          </cell>
        </row>
        <row r="2827">
          <cell r="G2827" t="str">
            <v>Other Half</v>
          </cell>
          <cell r="H2827" t="str">
            <v>Other Half Brewing Co</v>
          </cell>
          <cell r="K2827" t="str">
            <v>Draft</v>
          </cell>
          <cell r="L2827" t="str">
            <v>No</v>
          </cell>
        </row>
        <row r="2828">
          <cell r="G2828" t="str">
            <v>Other Half</v>
          </cell>
          <cell r="H2828" t="str">
            <v>Other Half Brewing Co</v>
          </cell>
          <cell r="K2828" t="str">
            <v>Draft</v>
          </cell>
          <cell r="L2828" t="str">
            <v>No</v>
          </cell>
        </row>
        <row r="2829">
          <cell r="G2829" t="str">
            <v>Other Half</v>
          </cell>
          <cell r="H2829" t="str">
            <v>Other Half Brewing Co</v>
          </cell>
          <cell r="K2829" t="str">
            <v>Draft</v>
          </cell>
          <cell r="L2829" t="str">
            <v>Yes</v>
          </cell>
        </row>
        <row r="2830">
          <cell r="G2830" t="str">
            <v>Other Half</v>
          </cell>
          <cell r="H2830" t="str">
            <v>Other Half Brewing Co</v>
          </cell>
          <cell r="K2830" t="str">
            <v>Draft</v>
          </cell>
          <cell r="L2830" t="str">
            <v>Yes</v>
          </cell>
        </row>
        <row r="2831">
          <cell r="G2831" t="str">
            <v>Other Half</v>
          </cell>
          <cell r="H2831" t="str">
            <v>Other Half Brewing Co</v>
          </cell>
          <cell r="K2831" t="str">
            <v>Package</v>
          </cell>
          <cell r="L2831" t="str">
            <v>Yes</v>
          </cell>
        </row>
        <row r="2832">
          <cell r="G2832" t="str">
            <v>Other Half</v>
          </cell>
          <cell r="H2832" t="str">
            <v>Other Half Brewing Co</v>
          </cell>
          <cell r="K2832" t="str">
            <v>Package</v>
          </cell>
          <cell r="L2832" t="str">
            <v>Yes</v>
          </cell>
        </row>
        <row r="2833">
          <cell r="G2833" t="str">
            <v>Other Half</v>
          </cell>
          <cell r="H2833" t="str">
            <v>Other Half Brewing Co</v>
          </cell>
          <cell r="K2833" t="str">
            <v>Draft</v>
          </cell>
          <cell r="L2833" t="str">
            <v>Yes</v>
          </cell>
        </row>
        <row r="2834">
          <cell r="G2834" t="str">
            <v>Other Half</v>
          </cell>
          <cell r="H2834" t="str">
            <v>Other Half Brewing Co</v>
          </cell>
          <cell r="K2834" t="str">
            <v>Package</v>
          </cell>
          <cell r="L2834" t="str">
            <v>Yes</v>
          </cell>
        </row>
        <row r="2835">
          <cell r="G2835" t="str">
            <v>Other Half</v>
          </cell>
          <cell r="H2835" t="str">
            <v>Other Half Brewing Co</v>
          </cell>
          <cell r="K2835" t="str">
            <v>Package</v>
          </cell>
          <cell r="L2835" t="str">
            <v>Yes</v>
          </cell>
        </row>
        <row r="2836">
          <cell r="G2836" t="str">
            <v>Other Half</v>
          </cell>
          <cell r="H2836" t="str">
            <v>Other Half Brewing Co</v>
          </cell>
          <cell r="K2836" t="str">
            <v>Draft</v>
          </cell>
          <cell r="L2836" t="str">
            <v>Yes</v>
          </cell>
        </row>
        <row r="2837">
          <cell r="G2837" t="str">
            <v>Other Half</v>
          </cell>
          <cell r="H2837" t="str">
            <v>Other Half Brewing Co</v>
          </cell>
          <cell r="K2837" t="str">
            <v>Draft</v>
          </cell>
          <cell r="L2837" t="str">
            <v>Yes</v>
          </cell>
        </row>
        <row r="2838">
          <cell r="G2838" t="str">
            <v>Other Half</v>
          </cell>
          <cell r="H2838" t="str">
            <v>Other Half Brewing Co</v>
          </cell>
          <cell r="K2838" t="str">
            <v>Package</v>
          </cell>
          <cell r="L2838" t="str">
            <v>Yes</v>
          </cell>
        </row>
        <row r="2839">
          <cell r="G2839" t="str">
            <v>BJ'S Private Label Brewa</v>
          </cell>
          <cell r="H2839" t="str">
            <v>BJ'S Private Label Brew</v>
          </cell>
          <cell r="K2839" t="str">
            <v>Package</v>
          </cell>
          <cell r="L2839" t="str">
            <v>Yes</v>
          </cell>
        </row>
        <row r="2840">
          <cell r="G2840" t="str">
            <v>BJ'S Private Label Brewa</v>
          </cell>
          <cell r="H2840" t="str">
            <v>BJ'S Private Label Brew</v>
          </cell>
          <cell r="K2840" t="str">
            <v>Draft</v>
          </cell>
          <cell r="L2840" t="str">
            <v>Yes</v>
          </cell>
        </row>
        <row r="2841">
          <cell r="G2841" t="str">
            <v>BJ'S Private Label Brewa</v>
          </cell>
          <cell r="H2841" t="str">
            <v>BJ'S Private Label Brew</v>
          </cell>
          <cell r="K2841" t="str">
            <v>Package</v>
          </cell>
          <cell r="L2841" t="str">
            <v>Yes</v>
          </cell>
        </row>
        <row r="2842">
          <cell r="G2842" t="str">
            <v>BJ'S Private Label Brewa</v>
          </cell>
          <cell r="H2842" t="str">
            <v>BJ'S Private Label Brew</v>
          </cell>
          <cell r="K2842" t="str">
            <v>Draft</v>
          </cell>
          <cell r="L2842" t="str">
            <v>Yes</v>
          </cell>
        </row>
        <row r="2843">
          <cell r="G2843" t="str">
            <v>BJ'S Private Label Brewa</v>
          </cell>
          <cell r="H2843" t="str">
            <v>BJ'S Private Label Brew</v>
          </cell>
          <cell r="K2843" t="str">
            <v>Draft</v>
          </cell>
          <cell r="L2843" t="str">
            <v>Yes</v>
          </cell>
        </row>
        <row r="2844">
          <cell r="G2844" t="str">
            <v>BJ'S Private Label Brewa</v>
          </cell>
          <cell r="H2844" t="str">
            <v>BJ'S Private Label Brew</v>
          </cell>
          <cell r="K2844" t="str">
            <v>Draft</v>
          </cell>
          <cell r="L2844" t="str">
            <v>No</v>
          </cell>
        </row>
        <row r="2845">
          <cell r="G2845" t="str">
            <v>BJ'S Private Label Brewa</v>
          </cell>
          <cell r="H2845" t="str">
            <v>BJ'S Private Label Brew</v>
          </cell>
          <cell r="K2845" t="str">
            <v>Draft</v>
          </cell>
          <cell r="L2845" t="str">
            <v>Yes</v>
          </cell>
        </row>
        <row r="2846">
          <cell r="G2846" t="str">
            <v>BJ'S Private Label Brewa</v>
          </cell>
          <cell r="H2846" t="str">
            <v>BJ'S Private Label Brew</v>
          </cell>
          <cell r="K2846" t="str">
            <v>Package</v>
          </cell>
          <cell r="L2846" t="str">
            <v>Yes</v>
          </cell>
        </row>
        <row r="2847">
          <cell r="G2847" t="str">
            <v>BJ'S Private Label Brewa</v>
          </cell>
          <cell r="H2847" t="str">
            <v>BJ'S Private Label Brew</v>
          </cell>
          <cell r="K2847" t="str">
            <v>Draft</v>
          </cell>
          <cell r="L2847" t="str">
            <v>Yes</v>
          </cell>
        </row>
        <row r="2848">
          <cell r="G2848" t="str">
            <v>BJ'S Private Label Brewa</v>
          </cell>
          <cell r="H2848" t="str">
            <v>BJ'S Private Label Brew</v>
          </cell>
          <cell r="K2848" t="str">
            <v>Package</v>
          </cell>
          <cell r="L2848" t="str">
            <v>Yes</v>
          </cell>
        </row>
        <row r="2849">
          <cell r="G2849" t="str">
            <v>BJ'S Private Label Brewa</v>
          </cell>
          <cell r="H2849" t="str">
            <v>BJ'S Private Label Brew</v>
          </cell>
          <cell r="K2849" t="str">
            <v>Draft</v>
          </cell>
          <cell r="L2849" t="str">
            <v>Yes</v>
          </cell>
        </row>
        <row r="2850">
          <cell r="G2850" t="str">
            <v>BJ'S Private Label Brewa</v>
          </cell>
          <cell r="H2850" t="str">
            <v>BJ'S Private Label Brew</v>
          </cell>
          <cell r="K2850" t="str">
            <v>Draft</v>
          </cell>
          <cell r="L2850" t="str">
            <v>Yes</v>
          </cell>
        </row>
        <row r="2851">
          <cell r="G2851" t="str">
            <v>BJ'S Private Label Brewa</v>
          </cell>
          <cell r="H2851" t="str">
            <v>BJ'S Private Label Brew</v>
          </cell>
          <cell r="K2851" t="str">
            <v>Draft</v>
          </cell>
          <cell r="L2851" t="str">
            <v>Yes</v>
          </cell>
        </row>
        <row r="2852">
          <cell r="G2852" t="str">
            <v>BJ'S Private Label Brewa</v>
          </cell>
          <cell r="H2852" t="str">
            <v>BJ'S Private Label Brew</v>
          </cell>
          <cell r="K2852" t="str">
            <v>Draft</v>
          </cell>
          <cell r="L2852" t="str">
            <v>Yes</v>
          </cell>
        </row>
        <row r="2853">
          <cell r="G2853" t="str">
            <v>BJ'S Private Label Brewa</v>
          </cell>
          <cell r="H2853" t="str">
            <v>BJ'S Private Label Brew</v>
          </cell>
          <cell r="K2853" t="str">
            <v>Package</v>
          </cell>
          <cell r="L2853" t="str">
            <v>Yes</v>
          </cell>
        </row>
        <row r="2854">
          <cell r="G2854" t="str">
            <v>BJ'S Private Label Brewa</v>
          </cell>
          <cell r="H2854" t="str">
            <v>BJ'S Private Label Brew</v>
          </cell>
          <cell r="K2854" t="str">
            <v>Draft</v>
          </cell>
          <cell r="L2854" t="str">
            <v>Yes</v>
          </cell>
        </row>
        <row r="2855">
          <cell r="G2855" t="str">
            <v>BJ'S Private Label Brewa</v>
          </cell>
          <cell r="H2855" t="str">
            <v>BJ'S Private Label Brew</v>
          </cell>
          <cell r="K2855" t="str">
            <v>Package</v>
          </cell>
          <cell r="L2855" t="str">
            <v>Yes</v>
          </cell>
        </row>
        <row r="2856">
          <cell r="G2856" t="str">
            <v>BJ'S Private Label Brewa</v>
          </cell>
          <cell r="H2856" t="str">
            <v>BJ'S Private Label Brew</v>
          </cell>
          <cell r="K2856" t="str">
            <v>Draft</v>
          </cell>
          <cell r="L2856" t="str">
            <v>Yes</v>
          </cell>
        </row>
        <row r="2857">
          <cell r="G2857" t="str">
            <v>BJ'S Private Label Brewa</v>
          </cell>
          <cell r="H2857" t="str">
            <v>BJ'S Private Label Brew</v>
          </cell>
          <cell r="K2857" t="str">
            <v>Draft</v>
          </cell>
          <cell r="L2857" t="str">
            <v>No</v>
          </cell>
        </row>
        <row r="2858">
          <cell r="G2858" t="str">
            <v>BJ'S Private Label Brewa</v>
          </cell>
          <cell r="H2858" t="str">
            <v>BJ'S Private Label Brew</v>
          </cell>
          <cell r="K2858" t="str">
            <v>Draft</v>
          </cell>
          <cell r="L2858" t="str">
            <v>Yes</v>
          </cell>
        </row>
        <row r="2859">
          <cell r="G2859" t="str">
            <v>BJ'S Private Label Brewa</v>
          </cell>
          <cell r="H2859" t="str">
            <v>BJ'S Private Label Brew</v>
          </cell>
          <cell r="K2859" t="str">
            <v>Draft</v>
          </cell>
          <cell r="L2859" t="str">
            <v>Yes</v>
          </cell>
        </row>
        <row r="2860">
          <cell r="G2860" t="str">
            <v>BJ'S Private Label Brewa</v>
          </cell>
          <cell r="H2860" t="str">
            <v>BJ'S Private Label Brew</v>
          </cell>
          <cell r="K2860" t="str">
            <v>Package</v>
          </cell>
          <cell r="L2860" t="str">
            <v>No</v>
          </cell>
        </row>
        <row r="2861">
          <cell r="G2861" t="str">
            <v>BJ'S Private Label Brewa</v>
          </cell>
          <cell r="H2861" t="str">
            <v>BJ'S Private Label Brew</v>
          </cell>
          <cell r="K2861" t="str">
            <v>Draft</v>
          </cell>
          <cell r="L2861" t="str">
            <v>Yes</v>
          </cell>
        </row>
        <row r="2862">
          <cell r="G2862" t="str">
            <v>BJ'S Private Label Brewa</v>
          </cell>
          <cell r="H2862" t="str">
            <v>BJ'S Private Label Brew</v>
          </cell>
          <cell r="K2862" t="str">
            <v>Draft</v>
          </cell>
          <cell r="L2862" t="str">
            <v>No</v>
          </cell>
        </row>
        <row r="2863">
          <cell r="G2863" t="str">
            <v>BJ'S Private Label Brewa</v>
          </cell>
          <cell r="H2863" t="str">
            <v>BJ'S Private Label Brew</v>
          </cell>
          <cell r="K2863" t="str">
            <v>Package</v>
          </cell>
          <cell r="L2863" t="str">
            <v>No</v>
          </cell>
        </row>
        <row r="2864">
          <cell r="G2864" t="str">
            <v>BJ'S Private Label Brewa</v>
          </cell>
          <cell r="H2864" t="str">
            <v>BJ'S Private Label Brew</v>
          </cell>
          <cell r="K2864" t="str">
            <v>Draft</v>
          </cell>
          <cell r="L2864" t="str">
            <v>No</v>
          </cell>
        </row>
        <row r="2865">
          <cell r="G2865" t="str">
            <v>BJ'S Private Label Brewa</v>
          </cell>
          <cell r="H2865" t="str">
            <v>BJ'S Private Label Brew</v>
          </cell>
          <cell r="K2865" t="str">
            <v>Draft</v>
          </cell>
          <cell r="L2865" t="str">
            <v>No</v>
          </cell>
        </row>
        <row r="2866">
          <cell r="G2866" t="str">
            <v>BJ'S Private Label Brewa</v>
          </cell>
          <cell r="H2866" t="str">
            <v>BJ'S Private Label Brew</v>
          </cell>
          <cell r="K2866" t="str">
            <v>Draft</v>
          </cell>
          <cell r="L2866" t="str">
            <v>No</v>
          </cell>
        </row>
        <row r="2867">
          <cell r="G2867" t="str">
            <v>BJ'S Private Label Brewa</v>
          </cell>
          <cell r="H2867" t="str">
            <v>BJ'S Private Label Brew</v>
          </cell>
          <cell r="K2867" t="str">
            <v>Package</v>
          </cell>
          <cell r="L2867" t="str">
            <v>Yes</v>
          </cell>
        </row>
        <row r="2868">
          <cell r="G2868" t="str">
            <v>BJ'S Private Label Brewa</v>
          </cell>
          <cell r="H2868" t="str">
            <v>BJ'S Private Label Brew</v>
          </cell>
          <cell r="K2868" t="str">
            <v>Draft</v>
          </cell>
          <cell r="L2868" t="str">
            <v>Yes</v>
          </cell>
        </row>
        <row r="2869">
          <cell r="G2869" t="str">
            <v>BJ'S Private Label Brewa</v>
          </cell>
          <cell r="H2869" t="str">
            <v>BJ'S Private Label Brew</v>
          </cell>
          <cell r="K2869" t="str">
            <v>Package</v>
          </cell>
          <cell r="L2869" t="str">
            <v>No</v>
          </cell>
        </row>
        <row r="2870">
          <cell r="G2870" t="str">
            <v>BJ'S Private Label Brewa</v>
          </cell>
          <cell r="H2870" t="str">
            <v>BJ'S Private Label Brew</v>
          </cell>
          <cell r="K2870" t="str">
            <v>Draft</v>
          </cell>
          <cell r="L2870" t="str">
            <v>No</v>
          </cell>
        </row>
        <row r="2871">
          <cell r="G2871" t="str">
            <v>BJ'S Private Label Brewa</v>
          </cell>
          <cell r="H2871" t="str">
            <v>BJ'S Private Label Brew</v>
          </cell>
          <cell r="K2871" t="str">
            <v>Package</v>
          </cell>
          <cell r="L2871" t="str">
            <v>No</v>
          </cell>
        </row>
        <row r="2872">
          <cell r="G2872" t="str">
            <v>BJ'S Private Label Brewa</v>
          </cell>
          <cell r="H2872" t="str">
            <v>BJ'S Private Label Brew</v>
          </cell>
          <cell r="K2872" t="str">
            <v>Package</v>
          </cell>
          <cell r="L2872" t="str">
            <v>No</v>
          </cell>
        </row>
        <row r="2873">
          <cell r="G2873" t="str">
            <v>BJ'S Private Label Brewa</v>
          </cell>
          <cell r="H2873" t="str">
            <v>BJ'S Private Label Brew</v>
          </cell>
          <cell r="K2873" t="str">
            <v>Draft</v>
          </cell>
          <cell r="L2873" t="str">
            <v>No</v>
          </cell>
        </row>
        <row r="2874">
          <cell r="G2874" t="str">
            <v>BJ'S Private Label Brewa</v>
          </cell>
          <cell r="H2874" t="str">
            <v>BJ'S Private Label Brew</v>
          </cell>
          <cell r="K2874" t="str">
            <v>Draft</v>
          </cell>
          <cell r="L2874" t="str">
            <v>Yes</v>
          </cell>
        </row>
        <row r="2875">
          <cell r="G2875" t="str">
            <v>BJ'S Private Label Brewa</v>
          </cell>
          <cell r="H2875" t="str">
            <v>BJ'S Private Label Brew</v>
          </cell>
          <cell r="K2875" t="str">
            <v>Draft</v>
          </cell>
          <cell r="L2875" t="str">
            <v>Yes</v>
          </cell>
        </row>
        <row r="2876">
          <cell r="G2876" t="str">
            <v>BJ'S Private Label Brewa</v>
          </cell>
          <cell r="H2876" t="str">
            <v>BJ'S Private Label Brew</v>
          </cell>
          <cell r="K2876" t="str">
            <v>Package</v>
          </cell>
          <cell r="L2876" t="str">
            <v>Yes</v>
          </cell>
        </row>
        <row r="2877">
          <cell r="G2877" t="str">
            <v>BJ'S Private Label Brewa</v>
          </cell>
          <cell r="H2877" t="str">
            <v>BJ'S Private Label Brew</v>
          </cell>
          <cell r="K2877" t="str">
            <v>Draft</v>
          </cell>
          <cell r="L2877" t="str">
            <v>Yes</v>
          </cell>
        </row>
        <row r="2878">
          <cell r="G2878" t="str">
            <v>BJ'S Private Label Brewa</v>
          </cell>
          <cell r="H2878" t="str">
            <v>BJ'S Private Label Brew</v>
          </cell>
          <cell r="K2878" t="str">
            <v>Package</v>
          </cell>
          <cell r="L2878" t="str">
            <v>Yes</v>
          </cell>
        </row>
        <row r="2879">
          <cell r="G2879" t="str">
            <v>Voodoo Family</v>
          </cell>
          <cell r="H2879" t="str">
            <v>New Belgium Brewing Company</v>
          </cell>
          <cell r="K2879" t="str">
            <v>Package</v>
          </cell>
          <cell r="L2879" t="str">
            <v>Yes</v>
          </cell>
        </row>
        <row r="2880">
          <cell r="G2880" t="str">
            <v>Voodoo Family</v>
          </cell>
          <cell r="H2880" t="str">
            <v>New Belgium Brewing Company</v>
          </cell>
          <cell r="K2880" t="str">
            <v>Package</v>
          </cell>
          <cell r="L2880" t="str">
            <v>Yes</v>
          </cell>
        </row>
        <row r="2881">
          <cell r="G2881" t="str">
            <v>Voodoo Hardcharged</v>
          </cell>
          <cell r="H2881" t="str">
            <v>New Belgium Brewing Company</v>
          </cell>
          <cell r="K2881" t="str">
            <v>Package</v>
          </cell>
          <cell r="L2881" t="str">
            <v>Yes</v>
          </cell>
        </row>
        <row r="2882">
          <cell r="G2882" t="str">
            <v>Voodoo Hardcharged</v>
          </cell>
          <cell r="H2882" t="str">
            <v>New Belgium Brewing Company</v>
          </cell>
          <cell r="K2882" t="str">
            <v>Package</v>
          </cell>
          <cell r="L2882" t="str">
            <v>Yes</v>
          </cell>
        </row>
        <row r="2883">
          <cell r="G2883" t="str">
            <v>New Belgium Brewing Company</v>
          </cell>
          <cell r="H2883" t="str">
            <v>New Belgium Brewing Company</v>
          </cell>
          <cell r="K2883" t="str">
            <v>Package</v>
          </cell>
          <cell r="L2883" t="str">
            <v>Yes</v>
          </cell>
        </row>
        <row r="2884">
          <cell r="G2884" t="str">
            <v>Voodoo Hardcharged</v>
          </cell>
          <cell r="H2884" t="str">
            <v>New Belgium Brewing Company</v>
          </cell>
          <cell r="K2884" t="str">
            <v>Package</v>
          </cell>
          <cell r="L2884" t="str">
            <v>Yes</v>
          </cell>
        </row>
        <row r="2885">
          <cell r="G2885" t="str">
            <v>Voodoo Hardcharged</v>
          </cell>
          <cell r="H2885" t="str">
            <v>New Belgium Brewing Company</v>
          </cell>
          <cell r="K2885" t="str">
            <v>Package</v>
          </cell>
          <cell r="L2885" t="str">
            <v>Yes</v>
          </cell>
        </row>
        <row r="2886">
          <cell r="G2886" t="str">
            <v>New Belgium Brewing Company</v>
          </cell>
          <cell r="H2886" t="str">
            <v>New Belgium Brewing Company</v>
          </cell>
          <cell r="K2886" t="str">
            <v>Draft</v>
          </cell>
          <cell r="L2886" t="str">
            <v>Yes</v>
          </cell>
        </row>
        <row r="2887">
          <cell r="G2887" t="str">
            <v>Voodoo Family</v>
          </cell>
          <cell r="H2887" t="str">
            <v>New Belgium Brewing Company</v>
          </cell>
          <cell r="K2887" t="str">
            <v>Package</v>
          </cell>
          <cell r="L2887" t="str">
            <v>Yes</v>
          </cell>
        </row>
        <row r="2888">
          <cell r="G2888" t="str">
            <v>Voodoo Family</v>
          </cell>
          <cell r="H2888" t="str">
            <v>New Belgium Brewing Company</v>
          </cell>
          <cell r="K2888" t="str">
            <v>Package</v>
          </cell>
          <cell r="L2888" t="str">
            <v>Yes</v>
          </cell>
        </row>
        <row r="2889">
          <cell r="G2889" t="str">
            <v>Voodoo Family</v>
          </cell>
          <cell r="H2889" t="str">
            <v>New Belgium Brewing Company</v>
          </cell>
          <cell r="K2889" t="str">
            <v>Package</v>
          </cell>
          <cell r="L2889" t="str">
            <v>Yes</v>
          </cell>
        </row>
        <row r="2890">
          <cell r="G2890" t="str">
            <v>Voodoo Family</v>
          </cell>
          <cell r="H2890" t="str">
            <v>New Belgium Brewing Company</v>
          </cell>
          <cell r="K2890" t="str">
            <v>Package</v>
          </cell>
          <cell r="L2890" t="str">
            <v>Yes</v>
          </cell>
        </row>
        <row r="2891">
          <cell r="G2891" t="str">
            <v>New Belgium Brewing Company</v>
          </cell>
          <cell r="H2891" t="str">
            <v>New Belgium Brewing Company</v>
          </cell>
          <cell r="K2891" t="str">
            <v>Package</v>
          </cell>
          <cell r="L2891" t="str">
            <v>Yes</v>
          </cell>
        </row>
        <row r="2892">
          <cell r="G2892" t="str">
            <v>New Belgium Brewing Company</v>
          </cell>
          <cell r="H2892" t="str">
            <v>New Belgium Brewing Company</v>
          </cell>
          <cell r="K2892" t="str">
            <v>Draft</v>
          </cell>
          <cell r="L2892" t="str">
            <v>Yes</v>
          </cell>
        </row>
        <row r="2893">
          <cell r="G2893" t="str">
            <v>Voodoo Hardcharged</v>
          </cell>
          <cell r="H2893" t="str">
            <v>New Belgium Brewing Company</v>
          </cell>
          <cell r="K2893" t="str">
            <v>Package</v>
          </cell>
          <cell r="L2893" t="str">
            <v>Yes</v>
          </cell>
        </row>
        <row r="2894">
          <cell r="G2894" t="str">
            <v>New Belgium Brewing Company</v>
          </cell>
          <cell r="H2894" t="str">
            <v>New Belgium Brewing Company</v>
          </cell>
          <cell r="K2894" t="str">
            <v>Package</v>
          </cell>
          <cell r="L2894" t="str">
            <v>Yes</v>
          </cell>
        </row>
        <row r="2895">
          <cell r="G2895" t="str">
            <v>New Belgium Brewing Company</v>
          </cell>
          <cell r="H2895" t="str">
            <v>New Belgium Brewing Company</v>
          </cell>
          <cell r="K2895" t="str">
            <v>Package</v>
          </cell>
          <cell r="L2895" t="str">
            <v>Yes</v>
          </cell>
        </row>
        <row r="2896">
          <cell r="G2896" t="str">
            <v>Voodoo Family</v>
          </cell>
          <cell r="H2896" t="str">
            <v>New Belgium Brewing Company</v>
          </cell>
          <cell r="K2896" t="str">
            <v>Package</v>
          </cell>
          <cell r="L2896" t="str">
            <v>Yes</v>
          </cell>
        </row>
        <row r="2897">
          <cell r="G2897" t="str">
            <v>New Belgium Brewing Company</v>
          </cell>
          <cell r="H2897" t="str">
            <v>New Belgium Brewing Company</v>
          </cell>
          <cell r="K2897" t="str">
            <v>Draft</v>
          </cell>
          <cell r="L2897" t="str">
            <v>Yes</v>
          </cell>
        </row>
        <row r="2898">
          <cell r="G2898" t="str">
            <v>New Belgium Brewing Company</v>
          </cell>
          <cell r="H2898" t="str">
            <v>New Belgium Brewing Company</v>
          </cell>
          <cell r="K2898" t="str">
            <v>Package</v>
          </cell>
          <cell r="L2898" t="str">
            <v>Yes</v>
          </cell>
        </row>
        <row r="2899">
          <cell r="G2899" t="str">
            <v>New Belgium Brewing Company</v>
          </cell>
          <cell r="H2899" t="str">
            <v>New Belgium Brewing Company</v>
          </cell>
          <cell r="K2899" t="str">
            <v>Draft</v>
          </cell>
          <cell r="L2899" t="str">
            <v>Yes</v>
          </cell>
        </row>
        <row r="2900">
          <cell r="G2900" t="str">
            <v>New Belgium Brewing Company</v>
          </cell>
          <cell r="H2900" t="str">
            <v>New Belgium Brewing Company</v>
          </cell>
          <cell r="K2900" t="str">
            <v>Draft</v>
          </cell>
          <cell r="L2900" t="str">
            <v>Yes</v>
          </cell>
        </row>
        <row r="2901">
          <cell r="G2901" t="str">
            <v>Voodoo Family</v>
          </cell>
          <cell r="H2901" t="str">
            <v>New Belgium Brewing Company</v>
          </cell>
          <cell r="K2901" t="str">
            <v>Package</v>
          </cell>
          <cell r="L2901" t="str">
            <v>Yes</v>
          </cell>
        </row>
        <row r="2902">
          <cell r="G2902" t="str">
            <v>New Belgium Brewing Company</v>
          </cell>
          <cell r="H2902" t="str">
            <v>New Belgium Brewing Company</v>
          </cell>
          <cell r="K2902" t="str">
            <v>Package</v>
          </cell>
          <cell r="L2902" t="str">
            <v>Yes</v>
          </cell>
        </row>
        <row r="2903">
          <cell r="G2903" t="str">
            <v>Kirin Ichiban</v>
          </cell>
          <cell r="H2903" t="str">
            <v>New Belgium Brewing Company</v>
          </cell>
          <cell r="K2903" t="str">
            <v>Package</v>
          </cell>
          <cell r="L2903" t="str">
            <v>Yes</v>
          </cell>
        </row>
        <row r="2904">
          <cell r="G2904" t="str">
            <v>Kirin Ichiban</v>
          </cell>
          <cell r="H2904" t="str">
            <v>New Belgium Brewing Company</v>
          </cell>
          <cell r="K2904" t="str">
            <v>Package</v>
          </cell>
          <cell r="L2904" t="str">
            <v>Yes</v>
          </cell>
        </row>
        <row r="2905">
          <cell r="G2905" t="str">
            <v>Kirin Ichiban</v>
          </cell>
          <cell r="H2905" t="str">
            <v>New Belgium Brewing Company</v>
          </cell>
          <cell r="K2905" t="str">
            <v>Draft</v>
          </cell>
          <cell r="L2905" t="str">
            <v>Yes</v>
          </cell>
        </row>
        <row r="2906">
          <cell r="G2906" t="str">
            <v>Kirin Ichiban</v>
          </cell>
          <cell r="H2906" t="str">
            <v>New Belgium Brewing Company</v>
          </cell>
          <cell r="K2906" t="str">
            <v>Package</v>
          </cell>
          <cell r="L2906" t="str">
            <v>Yes</v>
          </cell>
        </row>
        <row r="2907">
          <cell r="G2907" t="str">
            <v>Kirin Ichiban</v>
          </cell>
          <cell r="H2907" t="str">
            <v>New Belgium Brewing Company</v>
          </cell>
          <cell r="K2907" t="str">
            <v>Package</v>
          </cell>
          <cell r="L2907" t="str">
            <v>Yes</v>
          </cell>
        </row>
        <row r="2908">
          <cell r="G2908" t="str">
            <v>Kirin Ichiban</v>
          </cell>
          <cell r="H2908" t="str">
            <v>New Belgium Brewing Company</v>
          </cell>
          <cell r="K2908" t="str">
            <v>Package</v>
          </cell>
          <cell r="L2908" t="str">
            <v>Yes</v>
          </cell>
        </row>
        <row r="2909">
          <cell r="G2909" t="str">
            <v>Kirin Ichiban</v>
          </cell>
          <cell r="H2909" t="str">
            <v>New Belgium Brewing Company</v>
          </cell>
          <cell r="K2909" t="str">
            <v>Package</v>
          </cell>
          <cell r="L2909" t="str">
            <v>Yes</v>
          </cell>
        </row>
        <row r="2910">
          <cell r="G2910" t="str">
            <v>Kirin Light</v>
          </cell>
          <cell r="H2910" t="str">
            <v>New Belgium Brewing Company</v>
          </cell>
          <cell r="K2910" t="str">
            <v>Package</v>
          </cell>
          <cell r="L2910" t="str">
            <v>Yes</v>
          </cell>
        </row>
        <row r="2911">
          <cell r="G2911" t="str">
            <v>Source Brewing</v>
          </cell>
          <cell r="H2911" t="str">
            <v>Source Brewing</v>
          </cell>
          <cell r="K2911" t="str">
            <v>Package</v>
          </cell>
          <cell r="L2911" t="str">
            <v>Yes</v>
          </cell>
        </row>
        <row r="2912">
          <cell r="G2912" t="str">
            <v>Source Brewing</v>
          </cell>
          <cell r="H2912" t="str">
            <v>Source Brewing</v>
          </cell>
          <cell r="K2912" t="str">
            <v>Draft</v>
          </cell>
          <cell r="L2912" t="str">
            <v>Yes</v>
          </cell>
        </row>
        <row r="2913">
          <cell r="G2913" t="str">
            <v>Source Brewing</v>
          </cell>
          <cell r="H2913" t="str">
            <v>Source Brewing</v>
          </cell>
          <cell r="K2913" t="str">
            <v>Package</v>
          </cell>
          <cell r="L2913" t="str">
            <v>Yes</v>
          </cell>
        </row>
        <row r="2914">
          <cell r="G2914" t="str">
            <v>Source Brewing</v>
          </cell>
          <cell r="H2914" t="str">
            <v>Source Brewing</v>
          </cell>
          <cell r="K2914" t="str">
            <v>Draft</v>
          </cell>
          <cell r="L2914" t="str">
            <v>Yes</v>
          </cell>
        </row>
        <row r="2915">
          <cell r="G2915" t="str">
            <v>Source Brewing</v>
          </cell>
          <cell r="H2915" t="str">
            <v>Source Brewing</v>
          </cell>
          <cell r="K2915" t="str">
            <v>Draft</v>
          </cell>
          <cell r="L2915" t="str">
            <v>Yes</v>
          </cell>
        </row>
        <row r="2916">
          <cell r="G2916" t="str">
            <v>Source Brewing</v>
          </cell>
          <cell r="H2916" t="str">
            <v>Source Brewing</v>
          </cell>
          <cell r="K2916" t="str">
            <v>Package</v>
          </cell>
          <cell r="L2916" t="str">
            <v>Yes</v>
          </cell>
        </row>
        <row r="2917">
          <cell r="G2917" t="str">
            <v>Source Brewing</v>
          </cell>
          <cell r="H2917" t="str">
            <v>Source Brewing</v>
          </cell>
          <cell r="K2917" t="str">
            <v>Package</v>
          </cell>
          <cell r="L2917" t="str">
            <v>Yes</v>
          </cell>
        </row>
        <row r="2918">
          <cell r="G2918" t="str">
            <v>Whole Hog</v>
          </cell>
          <cell r="H2918" t="str">
            <v>Point Brewing</v>
          </cell>
          <cell r="K2918" t="str">
            <v>Draft</v>
          </cell>
          <cell r="L2918" t="str">
            <v>Yes</v>
          </cell>
        </row>
        <row r="2919">
          <cell r="G2919" t="str">
            <v>Sierra Nevada</v>
          </cell>
          <cell r="H2919" t="str">
            <v>Sierra Nevada Brewing Company</v>
          </cell>
          <cell r="K2919" t="str">
            <v>Package</v>
          </cell>
          <cell r="L2919" t="str">
            <v>Yes</v>
          </cell>
        </row>
        <row r="2920">
          <cell r="G2920" t="str">
            <v>Sierra Nevada</v>
          </cell>
          <cell r="H2920" t="str">
            <v>Sierra Nevada Brewing Company</v>
          </cell>
          <cell r="K2920" t="str">
            <v>Package</v>
          </cell>
          <cell r="L2920" t="str">
            <v>No</v>
          </cell>
        </row>
        <row r="2921">
          <cell r="G2921" t="str">
            <v>Sierra Nevada</v>
          </cell>
          <cell r="H2921" t="str">
            <v>Sierra Nevada Brewing Company</v>
          </cell>
          <cell r="K2921" t="str">
            <v>Package</v>
          </cell>
          <cell r="L2921" t="str">
            <v>No</v>
          </cell>
        </row>
        <row r="2922">
          <cell r="G2922" t="str">
            <v>Sierra Nevada</v>
          </cell>
          <cell r="H2922" t="str">
            <v>Sierra Nevada Brewing Company</v>
          </cell>
          <cell r="K2922" t="str">
            <v>Package</v>
          </cell>
          <cell r="L2922" t="str">
            <v>Yes</v>
          </cell>
        </row>
        <row r="2923">
          <cell r="G2923" t="str">
            <v>Sierra Nevada</v>
          </cell>
          <cell r="H2923" t="str">
            <v>Sierra Nevada Brewing Company</v>
          </cell>
          <cell r="K2923" t="str">
            <v>Package</v>
          </cell>
          <cell r="L2923" t="str">
            <v>Yes</v>
          </cell>
        </row>
        <row r="2924">
          <cell r="G2924" t="str">
            <v>Sierra Nevada</v>
          </cell>
          <cell r="H2924" t="str">
            <v>Sierra Nevada Brewing Company</v>
          </cell>
          <cell r="K2924" t="str">
            <v>Package</v>
          </cell>
          <cell r="L2924" t="str">
            <v>No</v>
          </cell>
        </row>
        <row r="2925">
          <cell r="G2925" t="str">
            <v>Sierra Nevada</v>
          </cell>
          <cell r="H2925" t="str">
            <v>Sierra Nevada Brewing Company</v>
          </cell>
          <cell r="K2925" t="str">
            <v>Package</v>
          </cell>
          <cell r="L2925" t="str">
            <v>Yes</v>
          </cell>
        </row>
        <row r="2926">
          <cell r="G2926" t="str">
            <v>Sierra Nevada</v>
          </cell>
          <cell r="H2926" t="str">
            <v>Sierra Nevada Brewing Company</v>
          </cell>
          <cell r="K2926" t="str">
            <v>Package</v>
          </cell>
          <cell r="L2926" t="str">
            <v>No</v>
          </cell>
        </row>
        <row r="2927">
          <cell r="G2927" t="str">
            <v>Sierra Nevada</v>
          </cell>
          <cell r="H2927" t="str">
            <v>Sierra Nevada Brewing Company</v>
          </cell>
          <cell r="K2927" t="str">
            <v>Package</v>
          </cell>
          <cell r="L2927" t="str">
            <v>Yes</v>
          </cell>
        </row>
        <row r="2928">
          <cell r="G2928" t="str">
            <v>Sierra Nevada</v>
          </cell>
          <cell r="H2928" t="str">
            <v>Sierra Nevada Brewing Company</v>
          </cell>
          <cell r="K2928" t="str">
            <v>Package</v>
          </cell>
          <cell r="L2928" t="str">
            <v>No</v>
          </cell>
        </row>
        <row r="2929">
          <cell r="G2929" t="str">
            <v>Sierra Nevada</v>
          </cell>
          <cell r="H2929" t="str">
            <v>Sierra Nevada Brewing Company</v>
          </cell>
          <cell r="K2929" t="str">
            <v>Package</v>
          </cell>
          <cell r="L2929" t="str">
            <v>Yes</v>
          </cell>
        </row>
        <row r="2930">
          <cell r="G2930" t="str">
            <v>Sierra Nevada</v>
          </cell>
          <cell r="H2930" t="str">
            <v>Sierra Nevada Brewing Company</v>
          </cell>
          <cell r="K2930" t="str">
            <v>Package</v>
          </cell>
          <cell r="L2930" t="str">
            <v>Yes</v>
          </cell>
        </row>
        <row r="2931">
          <cell r="G2931" t="str">
            <v>Sierra Nevada</v>
          </cell>
          <cell r="H2931" t="str">
            <v>Sierra Nevada Brewing Company</v>
          </cell>
          <cell r="K2931" t="str">
            <v>Package</v>
          </cell>
          <cell r="L2931" t="str">
            <v>Yes</v>
          </cell>
        </row>
        <row r="2932">
          <cell r="G2932" t="str">
            <v>Sierra Nevada</v>
          </cell>
          <cell r="H2932" t="str">
            <v>Sierra Nevada Brewing Company</v>
          </cell>
          <cell r="K2932" t="str">
            <v>Package</v>
          </cell>
          <cell r="L2932" t="str">
            <v>Yes</v>
          </cell>
        </row>
        <row r="2933">
          <cell r="G2933" t="str">
            <v>Sierra Nevada</v>
          </cell>
          <cell r="H2933" t="str">
            <v>Sierra Nevada Brewing Company</v>
          </cell>
          <cell r="K2933" t="str">
            <v>Package</v>
          </cell>
          <cell r="L2933" t="str">
            <v>Yes</v>
          </cell>
        </row>
        <row r="2934">
          <cell r="G2934" t="str">
            <v>Sierra Nevada</v>
          </cell>
          <cell r="H2934" t="str">
            <v>Sierra Nevada Brewing Company</v>
          </cell>
          <cell r="K2934" t="str">
            <v>Package</v>
          </cell>
          <cell r="L2934" t="str">
            <v>Yes</v>
          </cell>
        </row>
        <row r="2935">
          <cell r="G2935" t="str">
            <v>Sierra Nevada</v>
          </cell>
          <cell r="H2935" t="str">
            <v>Sierra Nevada Brewing Company</v>
          </cell>
          <cell r="K2935" t="str">
            <v>Package</v>
          </cell>
          <cell r="L2935" t="str">
            <v>Yes</v>
          </cell>
        </row>
        <row r="2936">
          <cell r="G2936" t="str">
            <v>Sierra Nevada</v>
          </cell>
          <cell r="H2936" t="str">
            <v>Sierra Nevada Brewing Company</v>
          </cell>
          <cell r="K2936" t="str">
            <v>Draft</v>
          </cell>
          <cell r="L2936" t="str">
            <v>Yes</v>
          </cell>
        </row>
        <row r="2937">
          <cell r="G2937" t="str">
            <v>Sierra Nevada</v>
          </cell>
          <cell r="H2937" t="str">
            <v>Sierra Nevada Brewing Company</v>
          </cell>
          <cell r="K2937" t="str">
            <v>Draft</v>
          </cell>
          <cell r="L2937" t="str">
            <v>Yes</v>
          </cell>
        </row>
        <row r="2938">
          <cell r="G2938" t="str">
            <v>Sierra Nevada</v>
          </cell>
          <cell r="H2938" t="str">
            <v>Sierra Nevada Brewing Company</v>
          </cell>
          <cell r="K2938" t="str">
            <v>Package</v>
          </cell>
          <cell r="L2938" t="str">
            <v>Yes</v>
          </cell>
        </row>
        <row r="2939">
          <cell r="G2939" t="str">
            <v>Sierra Nevada</v>
          </cell>
          <cell r="H2939" t="str">
            <v>Sierra Nevada Brewing Company</v>
          </cell>
          <cell r="K2939" t="str">
            <v>Package</v>
          </cell>
          <cell r="L2939" t="str">
            <v>Yes</v>
          </cell>
        </row>
        <row r="2940">
          <cell r="G2940" t="str">
            <v>Sierra Nevada</v>
          </cell>
          <cell r="H2940" t="str">
            <v>Sierra Nevada Brewing Company</v>
          </cell>
          <cell r="K2940" t="str">
            <v>Package</v>
          </cell>
          <cell r="L2940" t="str">
            <v>Yes</v>
          </cell>
        </row>
        <row r="2941">
          <cell r="G2941" t="str">
            <v>Sierra Nevada</v>
          </cell>
          <cell r="H2941" t="str">
            <v>Sierra Nevada Brewing Company</v>
          </cell>
          <cell r="K2941" t="str">
            <v>Package</v>
          </cell>
          <cell r="L2941" t="str">
            <v>Yes</v>
          </cell>
        </row>
        <row r="2942">
          <cell r="G2942" t="str">
            <v>Sierra Nevada</v>
          </cell>
          <cell r="H2942" t="str">
            <v>Sierra Nevada Brewing Company</v>
          </cell>
          <cell r="K2942" t="str">
            <v>Package</v>
          </cell>
          <cell r="L2942" t="str">
            <v>Yes</v>
          </cell>
        </row>
        <row r="2943">
          <cell r="G2943" t="str">
            <v>Sierra Nevada</v>
          </cell>
          <cell r="H2943" t="str">
            <v>Sierra Nevada Brewing Company</v>
          </cell>
          <cell r="K2943" t="str">
            <v>Package</v>
          </cell>
          <cell r="L2943" t="str">
            <v>Yes</v>
          </cell>
        </row>
        <row r="2944">
          <cell r="G2944" t="str">
            <v>Sierra Nevada</v>
          </cell>
          <cell r="H2944" t="str">
            <v>Sierra Nevada Brewing Company</v>
          </cell>
          <cell r="K2944" t="str">
            <v>Package</v>
          </cell>
          <cell r="L2944" t="str">
            <v>Yes</v>
          </cell>
        </row>
        <row r="2945">
          <cell r="G2945" t="str">
            <v>Sierra Nevada</v>
          </cell>
          <cell r="H2945" t="str">
            <v>Sierra Nevada Brewing Company</v>
          </cell>
          <cell r="K2945" t="str">
            <v>Package</v>
          </cell>
          <cell r="L2945" t="str">
            <v>Yes</v>
          </cell>
        </row>
        <row r="2946">
          <cell r="G2946" t="str">
            <v>Sierra Nevada</v>
          </cell>
          <cell r="H2946" t="str">
            <v>Sierra Nevada Brewing Company</v>
          </cell>
          <cell r="K2946" t="str">
            <v>Package</v>
          </cell>
          <cell r="L2946" t="str">
            <v>Yes</v>
          </cell>
        </row>
        <row r="2947">
          <cell r="G2947" t="str">
            <v>Sierra Nevada</v>
          </cell>
          <cell r="H2947" t="str">
            <v>Sierra Nevada Brewing Company</v>
          </cell>
          <cell r="K2947" t="str">
            <v>Package</v>
          </cell>
          <cell r="L2947" t="str">
            <v>Yes</v>
          </cell>
        </row>
        <row r="2948">
          <cell r="G2948" t="str">
            <v>Sierra Nevada</v>
          </cell>
          <cell r="H2948" t="str">
            <v>Sierra Nevada Brewing Company</v>
          </cell>
          <cell r="K2948" t="str">
            <v>Package</v>
          </cell>
          <cell r="L2948" t="str">
            <v>No</v>
          </cell>
        </row>
        <row r="2949">
          <cell r="G2949" t="str">
            <v>Evil Genius</v>
          </cell>
          <cell r="H2949" t="str">
            <v>Evil Genius</v>
          </cell>
          <cell r="K2949" t="str">
            <v>Package</v>
          </cell>
          <cell r="L2949" t="str">
            <v>No</v>
          </cell>
        </row>
        <row r="2950">
          <cell r="G2950" t="str">
            <v>Evil Genius</v>
          </cell>
          <cell r="H2950" t="str">
            <v>Evil Genius</v>
          </cell>
          <cell r="K2950" t="str">
            <v>Draft</v>
          </cell>
          <cell r="L2950" t="str">
            <v>No</v>
          </cell>
        </row>
        <row r="2951">
          <cell r="G2951" t="str">
            <v>Evil Genius</v>
          </cell>
          <cell r="H2951" t="str">
            <v>Evil Genius</v>
          </cell>
          <cell r="K2951" t="str">
            <v>Package</v>
          </cell>
          <cell r="L2951" t="str">
            <v>No</v>
          </cell>
        </row>
        <row r="2952">
          <cell r="G2952" t="str">
            <v>Evil Genius</v>
          </cell>
          <cell r="H2952" t="str">
            <v>Evil Genius</v>
          </cell>
          <cell r="K2952" t="str">
            <v>Draft</v>
          </cell>
          <cell r="L2952" t="str">
            <v>No</v>
          </cell>
        </row>
        <row r="2953">
          <cell r="G2953" t="str">
            <v>Evil Genius</v>
          </cell>
          <cell r="H2953" t="str">
            <v>Evil Genius</v>
          </cell>
          <cell r="K2953" t="str">
            <v>Draft</v>
          </cell>
          <cell r="L2953" t="str">
            <v>No</v>
          </cell>
        </row>
        <row r="2954">
          <cell r="G2954" t="str">
            <v>Evil Genius</v>
          </cell>
          <cell r="H2954" t="str">
            <v>Evil Genius</v>
          </cell>
          <cell r="K2954" t="str">
            <v>Package</v>
          </cell>
          <cell r="L2954" t="str">
            <v>No</v>
          </cell>
        </row>
        <row r="2955">
          <cell r="G2955" t="str">
            <v>Evil Genius</v>
          </cell>
          <cell r="H2955" t="str">
            <v>Evil Genius</v>
          </cell>
          <cell r="K2955" t="str">
            <v>Draft</v>
          </cell>
          <cell r="L2955" t="str">
            <v>No</v>
          </cell>
        </row>
        <row r="2956">
          <cell r="G2956" t="str">
            <v>Evil Genius</v>
          </cell>
          <cell r="H2956" t="str">
            <v>Evil Genius</v>
          </cell>
          <cell r="K2956" t="str">
            <v>Package</v>
          </cell>
          <cell r="L2956" t="str">
            <v>No</v>
          </cell>
        </row>
        <row r="2957">
          <cell r="G2957" t="str">
            <v>Evil Genius</v>
          </cell>
          <cell r="H2957" t="str">
            <v>Evil Genius</v>
          </cell>
          <cell r="K2957" t="str">
            <v>Draft</v>
          </cell>
          <cell r="L2957" t="str">
            <v>No</v>
          </cell>
        </row>
        <row r="2958">
          <cell r="G2958" t="str">
            <v>Evil Genius</v>
          </cell>
          <cell r="H2958" t="str">
            <v>Evil Genius</v>
          </cell>
          <cell r="K2958" t="str">
            <v>Draft</v>
          </cell>
          <cell r="L2958" t="str">
            <v>No</v>
          </cell>
        </row>
        <row r="2959">
          <cell r="G2959" t="str">
            <v>Evil Genius</v>
          </cell>
          <cell r="H2959" t="str">
            <v>Evil Genius</v>
          </cell>
          <cell r="K2959" t="str">
            <v>Draft</v>
          </cell>
          <cell r="L2959" t="str">
            <v>No</v>
          </cell>
        </row>
        <row r="2960">
          <cell r="G2960" t="str">
            <v>Evil Genius</v>
          </cell>
          <cell r="H2960" t="str">
            <v>Evil Genius</v>
          </cell>
          <cell r="K2960" t="str">
            <v>Draft</v>
          </cell>
          <cell r="L2960" t="str">
            <v>No</v>
          </cell>
        </row>
        <row r="2961">
          <cell r="G2961" t="str">
            <v>Evil Genius</v>
          </cell>
          <cell r="H2961" t="str">
            <v>Evil Genius</v>
          </cell>
          <cell r="K2961" t="str">
            <v>Package</v>
          </cell>
          <cell r="L2961" t="str">
            <v>Yes</v>
          </cell>
        </row>
        <row r="2962">
          <cell r="G2962" t="str">
            <v>Evil Genius</v>
          </cell>
          <cell r="H2962" t="str">
            <v>Evil Genius</v>
          </cell>
          <cell r="K2962" t="str">
            <v>Package</v>
          </cell>
          <cell r="L2962" t="str">
            <v>Yes</v>
          </cell>
        </row>
        <row r="2963">
          <cell r="G2963" t="str">
            <v>Evil Genius</v>
          </cell>
          <cell r="H2963" t="str">
            <v>Evil Genius</v>
          </cell>
          <cell r="K2963" t="str">
            <v>Draft</v>
          </cell>
          <cell r="L2963" t="str">
            <v>Yes</v>
          </cell>
        </row>
        <row r="2964">
          <cell r="G2964" t="str">
            <v>Evil Genius</v>
          </cell>
          <cell r="H2964" t="str">
            <v>Evil Genius</v>
          </cell>
          <cell r="K2964" t="str">
            <v>Package</v>
          </cell>
          <cell r="L2964" t="str">
            <v>Yes</v>
          </cell>
        </row>
        <row r="2965">
          <cell r="G2965" t="str">
            <v>Bell's</v>
          </cell>
          <cell r="H2965" t="str">
            <v>Bell's</v>
          </cell>
          <cell r="K2965" t="str">
            <v>Package</v>
          </cell>
          <cell r="L2965" t="str">
            <v>Yes</v>
          </cell>
        </row>
        <row r="2966">
          <cell r="G2966" t="str">
            <v>Bell's</v>
          </cell>
          <cell r="H2966" t="str">
            <v>Bell's</v>
          </cell>
          <cell r="K2966" t="str">
            <v>Draft</v>
          </cell>
          <cell r="L2966" t="str">
            <v>Yes</v>
          </cell>
        </row>
        <row r="2967">
          <cell r="G2967" t="str">
            <v>Bell's</v>
          </cell>
          <cell r="H2967" t="str">
            <v>Bell's</v>
          </cell>
          <cell r="K2967" t="str">
            <v>Draft</v>
          </cell>
          <cell r="L2967" t="str">
            <v>Yes</v>
          </cell>
        </row>
        <row r="2968">
          <cell r="G2968" t="str">
            <v>Bell's</v>
          </cell>
          <cell r="H2968" t="str">
            <v>Bell's</v>
          </cell>
          <cell r="K2968" t="str">
            <v>Package</v>
          </cell>
          <cell r="L2968" t="str">
            <v>Yes</v>
          </cell>
        </row>
        <row r="2969">
          <cell r="G2969" t="str">
            <v>Bell's Hearted Family</v>
          </cell>
          <cell r="H2969" t="str">
            <v>Bell's</v>
          </cell>
          <cell r="K2969" t="str">
            <v>Draft</v>
          </cell>
          <cell r="L2969" t="str">
            <v>Yes</v>
          </cell>
        </row>
        <row r="2970">
          <cell r="G2970" t="str">
            <v>Bell's Hearted Family</v>
          </cell>
          <cell r="H2970" t="str">
            <v>Bell's</v>
          </cell>
          <cell r="K2970" t="str">
            <v>Package</v>
          </cell>
          <cell r="L2970" t="str">
            <v>Yes</v>
          </cell>
        </row>
        <row r="2971">
          <cell r="G2971" t="str">
            <v>Bell's Hearted Family</v>
          </cell>
          <cell r="H2971" t="str">
            <v>Bell's</v>
          </cell>
          <cell r="K2971" t="str">
            <v>Package</v>
          </cell>
          <cell r="L2971" t="str">
            <v>Yes</v>
          </cell>
        </row>
        <row r="2972">
          <cell r="G2972" t="str">
            <v>Bell's</v>
          </cell>
          <cell r="H2972" t="str">
            <v>Bell's</v>
          </cell>
          <cell r="K2972" t="str">
            <v>Package</v>
          </cell>
          <cell r="L2972" t="str">
            <v>No</v>
          </cell>
        </row>
        <row r="2973">
          <cell r="G2973" t="str">
            <v>Bell's</v>
          </cell>
          <cell r="H2973" t="str">
            <v>Bell's</v>
          </cell>
          <cell r="K2973" t="str">
            <v>Package</v>
          </cell>
          <cell r="L2973" t="str">
            <v>Yes</v>
          </cell>
        </row>
        <row r="2974">
          <cell r="G2974" t="str">
            <v>Bell's</v>
          </cell>
          <cell r="H2974" t="str">
            <v>Bell's</v>
          </cell>
          <cell r="K2974" t="str">
            <v>Package</v>
          </cell>
          <cell r="L2974" t="str">
            <v>Yes</v>
          </cell>
        </row>
        <row r="2975">
          <cell r="G2975" t="str">
            <v>Cape May</v>
          </cell>
          <cell r="H2975" t="str">
            <v>Cape May</v>
          </cell>
          <cell r="K2975" t="str">
            <v>Package</v>
          </cell>
          <cell r="L2975" t="str">
            <v>No</v>
          </cell>
        </row>
        <row r="2976">
          <cell r="G2976" t="str">
            <v>Southern Tier</v>
          </cell>
          <cell r="H2976" t="str">
            <v>Southern Tier Brewing Company</v>
          </cell>
          <cell r="K2976" t="str">
            <v>Package</v>
          </cell>
          <cell r="L2976" t="str">
            <v>Yes</v>
          </cell>
        </row>
        <row r="2977">
          <cell r="G2977" t="str">
            <v>Southern Tier</v>
          </cell>
          <cell r="H2977" t="str">
            <v>Southern Tier Brewing Company</v>
          </cell>
          <cell r="K2977" t="str">
            <v>Package</v>
          </cell>
          <cell r="L2977" t="str">
            <v>Yes</v>
          </cell>
        </row>
        <row r="2978">
          <cell r="G2978" t="str">
            <v>Southern Tier</v>
          </cell>
          <cell r="H2978" t="str">
            <v>Southern Tier Brewing Company</v>
          </cell>
          <cell r="K2978" t="str">
            <v>Draft</v>
          </cell>
          <cell r="L2978" t="str">
            <v>Yes</v>
          </cell>
        </row>
        <row r="2979">
          <cell r="G2979" t="str">
            <v>Strongbow</v>
          </cell>
          <cell r="H2979" t="str">
            <v>Heineken USA</v>
          </cell>
          <cell r="K2979" t="str">
            <v>Draft</v>
          </cell>
          <cell r="L2979" t="str">
            <v>No</v>
          </cell>
        </row>
        <row r="2980">
          <cell r="G2980" t="str">
            <v>Strongbow</v>
          </cell>
          <cell r="H2980" t="str">
            <v>Heineken USA</v>
          </cell>
          <cell r="K2980" t="str">
            <v>Package</v>
          </cell>
          <cell r="L2980" t="str">
            <v>Yes</v>
          </cell>
        </row>
        <row r="2981">
          <cell r="G2981" t="str">
            <v>Strongbow</v>
          </cell>
          <cell r="H2981" t="str">
            <v>Heineken USA</v>
          </cell>
          <cell r="K2981" t="str">
            <v>Package</v>
          </cell>
          <cell r="L2981" t="str">
            <v>No</v>
          </cell>
        </row>
        <row r="2982">
          <cell r="G2982" t="str">
            <v>Southern Tier</v>
          </cell>
          <cell r="H2982" t="str">
            <v>Southern Tier Brewing Company</v>
          </cell>
          <cell r="K2982" t="str">
            <v>Package</v>
          </cell>
          <cell r="L2982" t="str">
            <v>No</v>
          </cell>
        </row>
        <row r="2983">
          <cell r="G2983" t="str">
            <v>Woodchuck</v>
          </cell>
          <cell r="H2983" t="str">
            <v>Vermont Hard Cider</v>
          </cell>
          <cell r="K2983" t="str">
            <v>Package</v>
          </cell>
          <cell r="L2983" t="str">
            <v>Yes</v>
          </cell>
        </row>
        <row r="2984">
          <cell r="G2984" t="str">
            <v>Woodchuck</v>
          </cell>
          <cell r="H2984" t="str">
            <v>Vermont Hard Cider</v>
          </cell>
          <cell r="K2984" t="str">
            <v>Package</v>
          </cell>
          <cell r="L2984" t="str">
            <v>No</v>
          </cell>
        </row>
        <row r="2985">
          <cell r="G2985" t="str">
            <v>Woodchuck</v>
          </cell>
          <cell r="H2985" t="str">
            <v>Vermont Hard Cider</v>
          </cell>
          <cell r="K2985" t="str">
            <v>Package</v>
          </cell>
          <cell r="L2985" t="str">
            <v>Yes</v>
          </cell>
        </row>
        <row r="2986">
          <cell r="G2986" t="str">
            <v>Woodchuck</v>
          </cell>
          <cell r="H2986" t="str">
            <v>Vermont Hard Cider</v>
          </cell>
          <cell r="K2986" t="str">
            <v>Package</v>
          </cell>
          <cell r="L2986" t="str">
            <v>No</v>
          </cell>
        </row>
        <row r="2987">
          <cell r="G2987" t="str">
            <v>Woodchuck</v>
          </cell>
          <cell r="H2987" t="str">
            <v>Vermont Hard Cider</v>
          </cell>
          <cell r="K2987" t="str">
            <v>Package</v>
          </cell>
          <cell r="L2987" t="str">
            <v>Yes</v>
          </cell>
        </row>
        <row r="2988">
          <cell r="G2988" t="str">
            <v>Woodchuck</v>
          </cell>
          <cell r="H2988" t="str">
            <v>Vermont Hard Cider</v>
          </cell>
          <cell r="K2988" t="str">
            <v>Package</v>
          </cell>
          <cell r="L2988" t="str">
            <v>Yes</v>
          </cell>
        </row>
        <row r="2989">
          <cell r="G2989" t="str">
            <v>Woodchuck</v>
          </cell>
          <cell r="H2989" t="str">
            <v>Vermont Hard Cider</v>
          </cell>
          <cell r="K2989" t="str">
            <v>Package</v>
          </cell>
          <cell r="L2989" t="str">
            <v>No</v>
          </cell>
        </row>
        <row r="2990">
          <cell r="G2990" t="str">
            <v>Woodchuck</v>
          </cell>
          <cell r="H2990" t="str">
            <v>Vermont Hard Cider</v>
          </cell>
          <cell r="K2990" t="str">
            <v>Package</v>
          </cell>
          <cell r="L2990" t="str">
            <v>Yes</v>
          </cell>
        </row>
        <row r="2991">
          <cell r="G2991" t="str">
            <v>Woodchuck</v>
          </cell>
          <cell r="H2991" t="str">
            <v>Vermont Hard Cider</v>
          </cell>
          <cell r="K2991" t="str">
            <v>Package</v>
          </cell>
          <cell r="L2991" t="str">
            <v>Yes</v>
          </cell>
        </row>
        <row r="2992">
          <cell r="G2992" t="str">
            <v>Woodchuck</v>
          </cell>
          <cell r="H2992" t="str">
            <v>Vermont Hard Cider</v>
          </cell>
          <cell r="K2992" t="str">
            <v>Package</v>
          </cell>
          <cell r="L2992" t="str">
            <v>Yes</v>
          </cell>
        </row>
        <row r="2993">
          <cell r="G2993" t="str">
            <v>Woodchuck</v>
          </cell>
          <cell r="H2993" t="str">
            <v>Vermont Hard Cider</v>
          </cell>
          <cell r="K2993" t="str">
            <v>Package</v>
          </cell>
          <cell r="L2993" t="str">
            <v>Yes</v>
          </cell>
        </row>
        <row r="2994">
          <cell r="G2994" t="str">
            <v>Woodchuck</v>
          </cell>
          <cell r="H2994" t="str">
            <v>Vermont Hard Cider</v>
          </cell>
          <cell r="K2994" t="str">
            <v>Package</v>
          </cell>
          <cell r="L2994" t="str">
            <v>Yes</v>
          </cell>
        </row>
        <row r="2995">
          <cell r="G2995" t="str">
            <v>Woodchuck</v>
          </cell>
          <cell r="H2995" t="str">
            <v>Vermont Hard Cider</v>
          </cell>
          <cell r="K2995" t="str">
            <v>Package</v>
          </cell>
          <cell r="L2995" t="str">
            <v>Yes</v>
          </cell>
        </row>
        <row r="2996">
          <cell r="G2996" t="str">
            <v>Woodchuck</v>
          </cell>
          <cell r="H2996" t="str">
            <v>Vermont Hard Cider</v>
          </cell>
          <cell r="K2996" t="str">
            <v>Package</v>
          </cell>
          <cell r="L2996" t="str">
            <v>Yes</v>
          </cell>
        </row>
        <row r="2997">
          <cell r="G2997" t="str">
            <v>Woodchuck</v>
          </cell>
          <cell r="H2997" t="str">
            <v>Vermont Hard Cider</v>
          </cell>
          <cell r="K2997" t="str">
            <v>Package</v>
          </cell>
          <cell r="L2997" t="str">
            <v>Yes</v>
          </cell>
        </row>
        <row r="2998">
          <cell r="G2998" t="str">
            <v>Woodchuck</v>
          </cell>
          <cell r="H2998" t="str">
            <v>Vermont Hard Cider</v>
          </cell>
          <cell r="K2998" t="str">
            <v>Package</v>
          </cell>
          <cell r="L2998" t="str">
            <v>Yes</v>
          </cell>
        </row>
        <row r="2999">
          <cell r="G2999" t="str">
            <v>Woodchuck</v>
          </cell>
          <cell r="H2999" t="str">
            <v>Vermont Hard Cider</v>
          </cell>
          <cell r="K2999" t="str">
            <v>Package</v>
          </cell>
          <cell r="L2999" t="str">
            <v>Yes</v>
          </cell>
        </row>
        <row r="3000">
          <cell r="G3000" t="str">
            <v>Woodchuck</v>
          </cell>
          <cell r="H3000" t="str">
            <v>Vermont Hard Cider</v>
          </cell>
          <cell r="K3000" t="str">
            <v>Draft</v>
          </cell>
          <cell r="L3000" t="str">
            <v>Yes</v>
          </cell>
        </row>
        <row r="3001">
          <cell r="G3001" t="str">
            <v>Woodchuck</v>
          </cell>
          <cell r="H3001" t="str">
            <v>Vermont Hard Cider</v>
          </cell>
          <cell r="K3001" t="str">
            <v>Draft</v>
          </cell>
          <cell r="L3001" t="str">
            <v>Yes</v>
          </cell>
        </row>
        <row r="3002">
          <cell r="G3002" t="str">
            <v>Woodchuck</v>
          </cell>
          <cell r="H3002" t="str">
            <v>Vermont Hard Cider</v>
          </cell>
          <cell r="K3002" t="str">
            <v>Draft</v>
          </cell>
          <cell r="L3002" t="str">
            <v>Yes</v>
          </cell>
        </row>
        <row r="3003">
          <cell r="G3003" t="str">
            <v>Angry Orchard</v>
          </cell>
          <cell r="H3003" t="str">
            <v>Boston Beer Company</v>
          </cell>
          <cell r="K3003" t="str">
            <v>Draft</v>
          </cell>
          <cell r="L3003" t="str">
            <v>Yes</v>
          </cell>
        </row>
        <row r="3004">
          <cell r="G3004" t="str">
            <v>Angry Orchard</v>
          </cell>
          <cell r="H3004" t="str">
            <v>Boston Beer Company</v>
          </cell>
          <cell r="K3004" t="str">
            <v>Draft</v>
          </cell>
          <cell r="L3004" t="str">
            <v>Yes</v>
          </cell>
        </row>
        <row r="3005">
          <cell r="G3005" t="str">
            <v>Angry Orchard</v>
          </cell>
          <cell r="H3005" t="str">
            <v>Boston Beer Company</v>
          </cell>
          <cell r="K3005" t="str">
            <v>Draft</v>
          </cell>
          <cell r="L3005" t="str">
            <v>Yes</v>
          </cell>
        </row>
        <row r="3006">
          <cell r="G3006" t="str">
            <v>Angry Orchard</v>
          </cell>
          <cell r="H3006" t="str">
            <v>Boston Beer Company</v>
          </cell>
          <cell r="K3006" t="str">
            <v>Draft</v>
          </cell>
          <cell r="L3006" t="str">
            <v>Yes</v>
          </cell>
        </row>
        <row r="3007">
          <cell r="G3007" t="str">
            <v>Angry Orchard</v>
          </cell>
          <cell r="H3007" t="str">
            <v>Boston Beer Company</v>
          </cell>
          <cell r="K3007" t="str">
            <v>Draft</v>
          </cell>
          <cell r="L3007" t="str">
            <v>Yes</v>
          </cell>
        </row>
        <row r="3008">
          <cell r="G3008" t="str">
            <v>Angry Orchard</v>
          </cell>
          <cell r="H3008" t="str">
            <v>Boston Beer Company</v>
          </cell>
          <cell r="K3008" t="str">
            <v>Draft</v>
          </cell>
          <cell r="L3008" t="str">
            <v>Yes</v>
          </cell>
        </row>
        <row r="3009">
          <cell r="G3009" t="str">
            <v>Angry Orchard</v>
          </cell>
          <cell r="H3009" t="str">
            <v>Boston Beer Company</v>
          </cell>
          <cell r="K3009" t="str">
            <v>Package</v>
          </cell>
          <cell r="L3009" t="str">
            <v>Yes</v>
          </cell>
        </row>
        <row r="3010">
          <cell r="G3010" t="str">
            <v>Angry Orchard</v>
          </cell>
          <cell r="H3010" t="str">
            <v>Boston Beer Company</v>
          </cell>
          <cell r="K3010" t="str">
            <v>Package</v>
          </cell>
          <cell r="L3010" t="str">
            <v>Yes</v>
          </cell>
        </row>
        <row r="3011">
          <cell r="G3011" t="str">
            <v>Angry Orchard</v>
          </cell>
          <cell r="H3011" t="str">
            <v>Boston Beer Company</v>
          </cell>
          <cell r="K3011" t="str">
            <v>Package</v>
          </cell>
          <cell r="L3011" t="str">
            <v>Yes</v>
          </cell>
        </row>
        <row r="3012">
          <cell r="G3012" t="str">
            <v>Angry Orchard</v>
          </cell>
          <cell r="H3012" t="str">
            <v>Boston Beer Company</v>
          </cell>
          <cell r="K3012" t="str">
            <v>Package</v>
          </cell>
          <cell r="L3012" t="str">
            <v>Yes</v>
          </cell>
        </row>
        <row r="3013">
          <cell r="G3013" t="str">
            <v>Angry Orchard</v>
          </cell>
          <cell r="H3013" t="str">
            <v>Boston Beer Company</v>
          </cell>
          <cell r="K3013" t="str">
            <v>Package</v>
          </cell>
          <cell r="L3013" t="str">
            <v>Yes</v>
          </cell>
        </row>
        <row r="3014">
          <cell r="G3014" t="str">
            <v>Angry Orchard</v>
          </cell>
          <cell r="H3014" t="str">
            <v>Boston Beer Company</v>
          </cell>
          <cell r="K3014" t="str">
            <v>Package</v>
          </cell>
          <cell r="L3014" t="str">
            <v>Yes</v>
          </cell>
        </row>
        <row r="3015">
          <cell r="G3015" t="str">
            <v>Angry Orchard</v>
          </cell>
          <cell r="H3015" t="str">
            <v>Boston Beer Company</v>
          </cell>
          <cell r="K3015" t="str">
            <v>Package</v>
          </cell>
          <cell r="L3015" t="str">
            <v>Yes</v>
          </cell>
        </row>
        <row r="3016">
          <cell r="G3016" t="str">
            <v>Angry Orchard</v>
          </cell>
          <cell r="H3016" t="str">
            <v>Boston Beer Company</v>
          </cell>
          <cell r="K3016" t="str">
            <v>Package</v>
          </cell>
          <cell r="L3016" t="str">
            <v>Yes</v>
          </cell>
        </row>
        <row r="3017">
          <cell r="G3017" t="str">
            <v>Angry Orchard</v>
          </cell>
          <cell r="H3017" t="str">
            <v>Boston Beer Company</v>
          </cell>
          <cell r="K3017" t="str">
            <v>Package</v>
          </cell>
          <cell r="L3017" t="str">
            <v>Yes</v>
          </cell>
        </row>
        <row r="3018">
          <cell r="G3018" t="str">
            <v>Angry Orchard</v>
          </cell>
          <cell r="H3018" t="str">
            <v>Boston Beer Company</v>
          </cell>
          <cell r="K3018" t="str">
            <v>Package</v>
          </cell>
          <cell r="L3018" t="str">
            <v>Yes</v>
          </cell>
        </row>
        <row r="3019">
          <cell r="G3019" t="str">
            <v>Angry Orchard</v>
          </cell>
          <cell r="H3019" t="str">
            <v>Boston Beer Company</v>
          </cell>
          <cell r="K3019" t="str">
            <v>Package</v>
          </cell>
          <cell r="L3019" t="str">
            <v>Yes</v>
          </cell>
        </row>
        <row r="3020">
          <cell r="G3020" t="str">
            <v>Angry Orchard</v>
          </cell>
          <cell r="H3020" t="str">
            <v>Boston Beer Company</v>
          </cell>
          <cell r="K3020" t="str">
            <v>Package</v>
          </cell>
          <cell r="L3020" t="str">
            <v>Yes</v>
          </cell>
        </row>
        <row r="3021">
          <cell r="G3021" t="str">
            <v>Angry Orchard</v>
          </cell>
          <cell r="H3021" t="str">
            <v>Boston Beer Company</v>
          </cell>
          <cell r="K3021" t="str">
            <v>Package</v>
          </cell>
          <cell r="L3021" t="str">
            <v>Yes</v>
          </cell>
        </row>
        <row r="3022">
          <cell r="G3022" t="str">
            <v>Angry Orchard</v>
          </cell>
          <cell r="H3022" t="str">
            <v>Boston Beer Company</v>
          </cell>
          <cell r="K3022" t="str">
            <v>Package</v>
          </cell>
          <cell r="L3022" t="str">
            <v>Yes</v>
          </cell>
        </row>
        <row r="3023">
          <cell r="G3023" t="str">
            <v>Angry Orchard</v>
          </cell>
          <cell r="H3023" t="str">
            <v>Boston Beer Company</v>
          </cell>
          <cell r="K3023" t="str">
            <v>Package</v>
          </cell>
          <cell r="L3023" t="str">
            <v>Yes</v>
          </cell>
        </row>
        <row r="3024">
          <cell r="G3024" t="str">
            <v>Angry Orchard</v>
          </cell>
          <cell r="H3024" t="str">
            <v>Boston Beer Company</v>
          </cell>
          <cell r="K3024" t="str">
            <v>Package</v>
          </cell>
          <cell r="L3024" t="str">
            <v>Yes</v>
          </cell>
        </row>
        <row r="3025">
          <cell r="G3025" t="str">
            <v>Angry Orchard</v>
          </cell>
          <cell r="H3025" t="str">
            <v>Boston Beer Company</v>
          </cell>
          <cell r="K3025" t="str">
            <v>Package</v>
          </cell>
          <cell r="L3025" t="str">
            <v>Yes</v>
          </cell>
        </row>
        <row r="3026">
          <cell r="G3026" t="str">
            <v>Angry Orchard</v>
          </cell>
          <cell r="H3026" t="str">
            <v>Boston Beer Company</v>
          </cell>
          <cell r="K3026" t="str">
            <v>Package</v>
          </cell>
          <cell r="L3026" t="str">
            <v>Yes</v>
          </cell>
        </row>
        <row r="3027">
          <cell r="G3027" t="str">
            <v>Angry Orchard</v>
          </cell>
          <cell r="H3027" t="str">
            <v>Boston Beer Company</v>
          </cell>
          <cell r="K3027" t="str">
            <v>Package</v>
          </cell>
          <cell r="L3027" t="str">
            <v>Yes</v>
          </cell>
        </row>
        <row r="3028">
          <cell r="G3028" t="str">
            <v>Angry Orchard</v>
          </cell>
          <cell r="H3028" t="str">
            <v>Boston Beer Company</v>
          </cell>
          <cell r="K3028" t="str">
            <v>Package</v>
          </cell>
          <cell r="L3028" t="str">
            <v>Yes</v>
          </cell>
        </row>
        <row r="3029">
          <cell r="G3029" t="str">
            <v>Angry Orchard</v>
          </cell>
          <cell r="H3029" t="str">
            <v>Boston Beer Company</v>
          </cell>
          <cell r="K3029" t="str">
            <v>Package</v>
          </cell>
          <cell r="L3029" t="str">
            <v>No</v>
          </cell>
        </row>
        <row r="3030">
          <cell r="G3030" t="str">
            <v>Angry Orchard</v>
          </cell>
          <cell r="H3030" t="str">
            <v>Boston Beer Company</v>
          </cell>
          <cell r="K3030" t="str">
            <v>Package</v>
          </cell>
          <cell r="L3030" t="str">
            <v>Yes</v>
          </cell>
        </row>
        <row r="3031">
          <cell r="G3031" t="str">
            <v>Angry Orchard</v>
          </cell>
          <cell r="H3031" t="str">
            <v>Boston Beer Company</v>
          </cell>
          <cell r="K3031" t="str">
            <v>Package</v>
          </cell>
          <cell r="L3031" t="str">
            <v>Yes</v>
          </cell>
        </row>
        <row r="3032">
          <cell r="G3032" t="str">
            <v>Angry Orchard</v>
          </cell>
          <cell r="H3032" t="str">
            <v>Boston Beer Company</v>
          </cell>
          <cell r="K3032" t="str">
            <v>Draft</v>
          </cell>
          <cell r="L3032" t="str">
            <v>Yes</v>
          </cell>
        </row>
        <row r="3033">
          <cell r="G3033" t="str">
            <v>Angry Orchard</v>
          </cell>
          <cell r="H3033" t="str">
            <v>Boston Beer Company</v>
          </cell>
          <cell r="K3033" t="str">
            <v>Package</v>
          </cell>
          <cell r="L3033" t="str">
            <v>Yes</v>
          </cell>
        </row>
        <row r="3034">
          <cell r="G3034" t="str">
            <v>Angry Orchard</v>
          </cell>
          <cell r="H3034" t="str">
            <v>Boston Beer Company</v>
          </cell>
          <cell r="K3034" t="str">
            <v>Draft</v>
          </cell>
          <cell r="L3034" t="str">
            <v>Yes</v>
          </cell>
        </row>
        <row r="3035">
          <cell r="G3035" t="str">
            <v>Angry Orchard</v>
          </cell>
          <cell r="H3035" t="str">
            <v>Boston Beer Company</v>
          </cell>
          <cell r="K3035" t="str">
            <v>Package</v>
          </cell>
          <cell r="L3035" t="str">
            <v>Yes</v>
          </cell>
        </row>
        <row r="3036">
          <cell r="G3036" t="str">
            <v>Angry Orchard</v>
          </cell>
          <cell r="H3036" t="str">
            <v>Boston Beer Company</v>
          </cell>
          <cell r="K3036" t="str">
            <v>Package</v>
          </cell>
          <cell r="L3036" t="str">
            <v>Yes</v>
          </cell>
        </row>
        <row r="3037">
          <cell r="G3037" t="str">
            <v>Angry Orchard</v>
          </cell>
          <cell r="H3037" t="str">
            <v>Boston Beer Company</v>
          </cell>
          <cell r="K3037" t="str">
            <v>Package</v>
          </cell>
          <cell r="L3037" t="str">
            <v>Yes</v>
          </cell>
        </row>
        <row r="3038">
          <cell r="G3038" t="str">
            <v>Angry Orchard</v>
          </cell>
          <cell r="H3038" t="str">
            <v>Boston Beer Company</v>
          </cell>
          <cell r="K3038" t="str">
            <v>Package</v>
          </cell>
          <cell r="L3038" t="str">
            <v>Yes</v>
          </cell>
        </row>
        <row r="3039">
          <cell r="G3039" t="str">
            <v>Doc's</v>
          </cell>
          <cell r="H3039" t="str">
            <v>Warwick Valley</v>
          </cell>
          <cell r="K3039" t="str">
            <v>Draft</v>
          </cell>
          <cell r="L3039" t="str">
            <v>Yes</v>
          </cell>
        </row>
        <row r="3040">
          <cell r="G3040" t="str">
            <v>Doc's</v>
          </cell>
          <cell r="H3040" t="str">
            <v>Warwick Valley</v>
          </cell>
          <cell r="K3040" t="str">
            <v>Draft</v>
          </cell>
          <cell r="L3040" t="str">
            <v>Yes</v>
          </cell>
        </row>
        <row r="3041">
          <cell r="G3041" t="str">
            <v>Doc's</v>
          </cell>
          <cell r="H3041" t="str">
            <v>Warwick Valley</v>
          </cell>
          <cell r="K3041" t="str">
            <v>Draft</v>
          </cell>
          <cell r="L3041" t="str">
            <v>Yes</v>
          </cell>
        </row>
        <row r="3042">
          <cell r="G3042" t="str">
            <v>Doc's</v>
          </cell>
          <cell r="H3042" t="str">
            <v>Warwick Valley</v>
          </cell>
          <cell r="K3042" t="str">
            <v>Draft</v>
          </cell>
          <cell r="L3042" t="str">
            <v>Yes</v>
          </cell>
        </row>
        <row r="3043">
          <cell r="G3043" t="str">
            <v>Doc's</v>
          </cell>
          <cell r="H3043" t="str">
            <v>Warwick Valley</v>
          </cell>
          <cell r="K3043" t="str">
            <v>Draft</v>
          </cell>
          <cell r="L3043" t="str">
            <v>Yes</v>
          </cell>
        </row>
        <row r="3044">
          <cell r="G3044" t="str">
            <v>Doc's</v>
          </cell>
          <cell r="H3044" t="str">
            <v>Warwick Valley</v>
          </cell>
          <cell r="K3044" t="str">
            <v>Draft</v>
          </cell>
          <cell r="L3044" t="str">
            <v>No</v>
          </cell>
        </row>
        <row r="3045">
          <cell r="G3045" t="str">
            <v>Doc's</v>
          </cell>
          <cell r="H3045" t="str">
            <v>Warwick Valley</v>
          </cell>
          <cell r="K3045" t="str">
            <v>Package</v>
          </cell>
          <cell r="L3045" t="str">
            <v>Yes</v>
          </cell>
        </row>
        <row r="3046">
          <cell r="G3046" t="str">
            <v>Doc's</v>
          </cell>
          <cell r="H3046" t="str">
            <v>Warwick Valley</v>
          </cell>
          <cell r="K3046" t="str">
            <v>Package</v>
          </cell>
          <cell r="L3046" t="str">
            <v>Yes</v>
          </cell>
        </row>
        <row r="3047">
          <cell r="G3047" t="str">
            <v>Doc's</v>
          </cell>
          <cell r="H3047" t="str">
            <v>Warwick Valley</v>
          </cell>
          <cell r="K3047" t="str">
            <v>Package</v>
          </cell>
          <cell r="L3047" t="str">
            <v>Yes</v>
          </cell>
        </row>
        <row r="3048">
          <cell r="G3048" t="str">
            <v>Doc's</v>
          </cell>
          <cell r="H3048" t="str">
            <v>Warwick Valley</v>
          </cell>
          <cell r="K3048" t="str">
            <v>Package</v>
          </cell>
          <cell r="L3048" t="str">
            <v>No</v>
          </cell>
        </row>
        <row r="3049">
          <cell r="G3049" t="str">
            <v>Doc's</v>
          </cell>
          <cell r="H3049" t="str">
            <v>Warwick Valley</v>
          </cell>
          <cell r="K3049" t="str">
            <v>Package</v>
          </cell>
          <cell r="L3049" t="str">
            <v>Yes</v>
          </cell>
        </row>
        <row r="3050">
          <cell r="G3050" t="str">
            <v>Doc's</v>
          </cell>
          <cell r="H3050" t="str">
            <v>Warwick Valley</v>
          </cell>
          <cell r="K3050" t="str">
            <v>Package</v>
          </cell>
          <cell r="L3050" t="str">
            <v>No</v>
          </cell>
        </row>
        <row r="3051">
          <cell r="G3051" t="str">
            <v>Doc's</v>
          </cell>
          <cell r="H3051" t="str">
            <v>Warwick Valley</v>
          </cell>
          <cell r="K3051" t="str">
            <v>Package</v>
          </cell>
          <cell r="L3051" t="str">
            <v>No</v>
          </cell>
        </row>
        <row r="3052">
          <cell r="G3052" t="str">
            <v>Doc's</v>
          </cell>
          <cell r="H3052" t="str">
            <v>Warwick Valley</v>
          </cell>
          <cell r="K3052" t="str">
            <v>Package</v>
          </cell>
          <cell r="L3052" t="str">
            <v>Yes</v>
          </cell>
        </row>
        <row r="3053">
          <cell r="G3053" t="str">
            <v>Doc's</v>
          </cell>
          <cell r="H3053" t="str">
            <v>Warwick Valley</v>
          </cell>
          <cell r="K3053" t="str">
            <v>Package</v>
          </cell>
          <cell r="L3053" t="str">
            <v>No</v>
          </cell>
        </row>
        <row r="3054">
          <cell r="G3054" t="str">
            <v>Doc's</v>
          </cell>
          <cell r="H3054" t="str">
            <v>Warwick Valley</v>
          </cell>
          <cell r="K3054" t="str">
            <v>Draft</v>
          </cell>
          <cell r="L3054" t="str">
            <v>Yes</v>
          </cell>
        </row>
        <row r="3055">
          <cell r="G3055" t="str">
            <v>Doc's</v>
          </cell>
          <cell r="H3055" t="str">
            <v>Warwick Valley</v>
          </cell>
          <cell r="K3055" t="str">
            <v>Draft</v>
          </cell>
          <cell r="L3055" t="str">
            <v>Yes</v>
          </cell>
        </row>
        <row r="3056">
          <cell r="G3056" t="str">
            <v>Doc's</v>
          </cell>
          <cell r="H3056" t="str">
            <v>Warwick Valley</v>
          </cell>
          <cell r="K3056" t="str">
            <v>Draft</v>
          </cell>
          <cell r="L3056" t="str">
            <v>No</v>
          </cell>
        </row>
        <row r="3057">
          <cell r="G3057" t="str">
            <v>Doc's</v>
          </cell>
          <cell r="H3057" t="str">
            <v>Warwick Valley</v>
          </cell>
          <cell r="K3057" t="str">
            <v>Draft</v>
          </cell>
          <cell r="L3057" t="str">
            <v>No</v>
          </cell>
        </row>
        <row r="3058">
          <cell r="G3058" t="str">
            <v>Doc's</v>
          </cell>
          <cell r="H3058" t="str">
            <v>Warwick Valley</v>
          </cell>
          <cell r="K3058" t="str">
            <v>Package</v>
          </cell>
          <cell r="L3058" t="str">
            <v>No</v>
          </cell>
        </row>
        <row r="3059">
          <cell r="G3059" t="str">
            <v>Doc's</v>
          </cell>
          <cell r="H3059" t="str">
            <v>Warwick Valley</v>
          </cell>
          <cell r="K3059" t="str">
            <v>Draft</v>
          </cell>
          <cell r="L3059" t="str">
            <v>Yes</v>
          </cell>
        </row>
        <row r="3060">
          <cell r="G3060" t="str">
            <v>Doc's</v>
          </cell>
          <cell r="H3060" t="str">
            <v>Warwick Valley</v>
          </cell>
          <cell r="K3060" t="str">
            <v>Package</v>
          </cell>
          <cell r="L3060" t="str">
            <v>Yes</v>
          </cell>
        </row>
        <row r="3061">
          <cell r="G3061" t="str">
            <v>Doc's</v>
          </cell>
          <cell r="H3061" t="str">
            <v>Warwick Valley</v>
          </cell>
          <cell r="K3061" t="str">
            <v>Package</v>
          </cell>
          <cell r="L3061" t="str">
            <v>Yes</v>
          </cell>
        </row>
        <row r="3062">
          <cell r="G3062" t="str">
            <v>Doc's</v>
          </cell>
          <cell r="H3062" t="str">
            <v>Warwick Valley</v>
          </cell>
          <cell r="K3062" t="str">
            <v>Package</v>
          </cell>
          <cell r="L3062" t="str">
            <v>Yes</v>
          </cell>
        </row>
        <row r="3063">
          <cell r="G3063" t="str">
            <v>Doc's</v>
          </cell>
          <cell r="H3063" t="str">
            <v>Warwick Valley</v>
          </cell>
          <cell r="K3063" t="str">
            <v>Package</v>
          </cell>
          <cell r="L3063" t="str">
            <v>Yes</v>
          </cell>
        </row>
        <row r="3064">
          <cell r="G3064" t="str">
            <v>Doc's</v>
          </cell>
          <cell r="H3064" t="str">
            <v>Warwick Valley</v>
          </cell>
          <cell r="K3064" t="str">
            <v>Package</v>
          </cell>
          <cell r="L3064" t="str">
            <v>Yes</v>
          </cell>
        </row>
        <row r="3065">
          <cell r="G3065" t="str">
            <v>Doc's</v>
          </cell>
          <cell r="H3065" t="str">
            <v>Warwick Valley</v>
          </cell>
          <cell r="K3065" t="str">
            <v>Package</v>
          </cell>
          <cell r="L3065" t="str">
            <v>Yes</v>
          </cell>
        </row>
        <row r="3066">
          <cell r="G3066" t="str">
            <v>Doc's</v>
          </cell>
          <cell r="H3066" t="str">
            <v>Warwick Valley</v>
          </cell>
          <cell r="K3066" t="str">
            <v>Package</v>
          </cell>
          <cell r="L3066" t="str">
            <v>Yes</v>
          </cell>
        </row>
        <row r="3067">
          <cell r="G3067" t="str">
            <v>Doc's</v>
          </cell>
          <cell r="H3067" t="str">
            <v>Warwick Valley</v>
          </cell>
          <cell r="K3067" t="str">
            <v>Package</v>
          </cell>
          <cell r="L3067" t="str">
            <v>Yes</v>
          </cell>
        </row>
        <row r="3068">
          <cell r="G3068" t="str">
            <v>Doc's</v>
          </cell>
          <cell r="H3068" t="str">
            <v>Warwick Valley</v>
          </cell>
          <cell r="K3068" t="str">
            <v>Draft</v>
          </cell>
          <cell r="L3068" t="str">
            <v>Yes</v>
          </cell>
        </row>
        <row r="3069">
          <cell r="G3069" t="str">
            <v>Doc's</v>
          </cell>
          <cell r="H3069" t="str">
            <v>Warwick Valley</v>
          </cell>
          <cell r="K3069" t="str">
            <v>Package</v>
          </cell>
          <cell r="L3069" t="str">
            <v>Yes</v>
          </cell>
        </row>
        <row r="3070">
          <cell r="G3070" t="str">
            <v>Doc's</v>
          </cell>
          <cell r="H3070" t="str">
            <v>Warwick Valley</v>
          </cell>
          <cell r="K3070" t="str">
            <v>Draft</v>
          </cell>
          <cell r="L3070" t="str">
            <v>Yes</v>
          </cell>
        </row>
        <row r="3071">
          <cell r="G3071" t="str">
            <v>Doc's</v>
          </cell>
          <cell r="H3071" t="str">
            <v>Warwick Valley</v>
          </cell>
          <cell r="K3071" t="str">
            <v>Draft</v>
          </cell>
          <cell r="L3071" t="str">
            <v>Yes</v>
          </cell>
        </row>
        <row r="3072">
          <cell r="G3072" t="str">
            <v>Doc's</v>
          </cell>
          <cell r="H3072" t="str">
            <v>Warwick Valley</v>
          </cell>
          <cell r="K3072" t="str">
            <v>Draft</v>
          </cell>
          <cell r="L3072" t="str">
            <v>Yes</v>
          </cell>
        </row>
        <row r="3073">
          <cell r="G3073" t="str">
            <v>Rekorderlig</v>
          </cell>
          <cell r="H3073" t="str">
            <v>Total Beverage Solutions</v>
          </cell>
          <cell r="K3073" t="str">
            <v>Package</v>
          </cell>
          <cell r="L3073" t="str">
            <v>Yes</v>
          </cell>
        </row>
        <row r="3074">
          <cell r="G3074" t="str">
            <v>Rekorderlig</v>
          </cell>
          <cell r="H3074" t="str">
            <v>Total Beverage Solutions</v>
          </cell>
          <cell r="K3074" t="str">
            <v>Package</v>
          </cell>
          <cell r="L3074" t="str">
            <v>Yes</v>
          </cell>
        </row>
        <row r="3075">
          <cell r="G3075" t="str">
            <v>Rekorderlig</v>
          </cell>
          <cell r="H3075" t="str">
            <v>Total Beverage Solutions</v>
          </cell>
          <cell r="K3075" t="str">
            <v>Package</v>
          </cell>
          <cell r="L3075" t="str">
            <v>Yes</v>
          </cell>
        </row>
        <row r="3076">
          <cell r="G3076" t="str">
            <v>Rekorderlig</v>
          </cell>
          <cell r="H3076" t="str">
            <v>Total Beverage Solutions</v>
          </cell>
          <cell r="K3076" t="str">
            <v>Package</v>
          </cell>
          <cell r="L3076" t="str">
            <v>No</v>
          </cell>
        </row>
        <row r="3077">
          <cell r="G3077" t="str">
            <v>Rekorderlig</v>
          </cell>
          <cell r="H3077" t="str">
            <v>Total Beverage Solutions</v>
          </cell>
          <cell r="K3077" t="str">
            <v>Package</v>
          </cell>
          <cell r="L3077" t="str">
            <v>No</v>
          </cell>
        </row>
        <row r="3078">
          <cell r="G3078" t="str">
            <v>Rekorderlig</v>
          </cell>
          <cell r="H3078" t="str">
            <v>Total Beverage Solutions</v>
          </cell>
          <cell r="K3078" t="str">
            <v>Package</v>
          </cell>
          <cell r="L3078" t="str">
            <v>No</v>
          </cell>
        </row>
        <row r="3079">
          <cell r="G3079" t="str">
            <v>Rekorderlig</v>
          </cell>
          <cell r="H3079" t="str">
            <v>Total Beverage Solutions</v>
          </cell>
          <cell r="K3079" t="str">
            <v>Package</v>
          </cell>
          <cell r="L3079" t="str">
            <v>No</v>
          </cell>
        </row>
        <row r="3080">
          <cell r="G3080" t="str">
            <v>Magners</v>
          </cell>
          <cell r="H3080" t="str">
            <v>Total Beverage Solutions</v>
          </cell>
          <cell r="K3080" t="str">
            <v>Draft</v>
          </cell>
          <cell r="L3080" t="str">
            <v>Yes</v>
          </cell>
        </row>
        <row r="3081">
          <cell r="G3081" t="str">
            <v>Magners</v>
          </cell>
          <cell r="H3081" t="str">
            <v>Total Beverage Solutions</v>
          </cell>
          <cell r="K3081" t="str">
            <v>Package</v>
          </cell>
          <cell r="L3081" t="str">
            <v>Yes</v>
          </cell>
        </row>
        <row r="3082">
          <cell r="G3082" t="str">
            <v>Magners</v>
          </cell>
          <cell r="H3082" t="str">
            <v>Total Beverage Solutions</v>
          </cell>
          <cell r="K3082" t="str">
            <v>Package</v>
          </cell>
          <cell r="L3082" t="str">
            <v>Yes</v>
          </cell>
        </row>
        <row r="3083">
          <cell r="G3083" t="str">
            <v>Magners</v>
          </cell>
          <cell r="H3083" t="str">
            <v>Total Beverage Solutions</v>
          </cell>
          <cell r="K3083" t="str">
            <v>Package</v>
          </cell>
          <cell r="L3083" t="str">
            <v>Yes</v>
          </cell>
        </row>
        <row r="3084">
          <cell r="G3084" t="str">
            <v>Magners</v>
          </cell>
          <cell r="H3084" t="str">
            <v>Total Beverage Solutions</v>
          </cell>
          <cell r="K3084" t="str">
            <v>Package</v>
          </cell>
          <cell r="L3084" t="str">
            <v>Yes</v>
          </cell>
        </row>
        <row r="3085">
          <cell r="G3085" t="str">
            <v>Wyder's</v>
          </cell>
          <cell r="H3085" t="str">
            <v>Vermont Hard Cider</v>
          </cell>
          <cell r="K3085" t="str">
            <v>Draft</v>
          </cell>
          <cell r="L3085" t="str">
            <v>Yes</v>
          </cell>
        </row>
        <row r="3086">
          <cell r="G3086" t="str">
            <v>Mckenzie's</v>
          </cell>
          <cell r="H3086" t="str">
            <v>FX Matt</v>
          </cell>
          <cell r="K3086" t="str">
            <v>Package</v>
          </cell>
          <cell r="L3086" t="str">
            <v>Yes</v>
          </cell>
        </row>
        <row r="3087">
          <cell r="G3087" t="str">
            <v>Mckenzie's</v>
          </cell>
          <cell r="H3087" t="str">
            <v>FX Matt</v>
          </cell>
          <cell r="K3087" t="str">
            <v>Package</v>
          </cell>
          <cell r="L3087" t="str">
            <v>Yes</v>
          </cell>
        </row>
        <row r="3088">
          <cell r="G3088" t="str">
            <v>Mckenzie's</v>
          </cell>
          <cell r="H3088" t="str">
            <v>FX Matt</v>
          </cell>
          <cell r="K3088" t="str">
            <v>Package</v>
          </cell>
          <cell r="L3088" t="str">
            <v>No</v>
          </cell>
        </row>
        <row r="3089">
          <cell r="G3089" t="str">
            <v>Mckenzie's</v>
          </cell>
          <cell r="H3089" t="str">
            <v>FX Matt</v>
          </cell>
          <cell r="K3089" t="str">
            <v>Package</v>
          </cell>
          <cell r="L3089" t="str">
            <v>No</v>
          </cell>
        </row>
        <row r="3090">
          <cell r="G3090" t="str">
            <v>Mckenzie's</v>
          </cell>
          <cell r="H3090" t="str">
            <v>FX Matt</v>
          </cell>
          <cell r="K3090" t="str">
            <v>Package</v>
          </cell>
          <cell r="L3090" t="str">
            <v>No</v>
          </cell>
        </row>
        <row r="3091">
          <cell r="G3091" t="str">
            <v>Mckenzie's</v>
          </cell>
          <cell r="H3091" t="str">
            <v>FX Matt</v>
          </cell>
          <cell r="K3091" t="str">
            <v>Package</v>
          </cell>
          <cell r="L3091" t="str">
            <v>No</v>
          </cell>
        </row>
        <row r="3092">
          <cell r="G3092" t="str">
            <v>Mckenzie's</v>
          </cell>
          <cell r="H3092" t="str">
            <v>FX Matt</v>
          </cell>
          <cell r="K3092" t="str">
            <v>Package</v>
          </cell>
          <cell r="L3092" t="str">
            <v>Yes</v>
          </cell>
        </row>
        <row r="3093">
          <cell r="G3093" t="str">
            <v>Citizen Cider</v>
          </cell>
          <cell r="H3093" t="str">
            <v>Citizen Cider</v>
          </cell>
          <cell r="K3093" t="str">
            <v>Package</v>
          </cell>
          <cell r="L3093" t="str">
            <v>No</v>
          </cell>
        </row>
        <row r="3094">
          <cell r="G3094" t="str">
            <v>Citizen Cider</v>
          </cell>
          <cell r="H3094" t="str">
            <v>Citizen Cider</v>
          </cell>
          <cell r="K3094" t="str">
            <v>Package</v>
          </cell>
          <cell r="L3094" t="str">
            <v>No</v>
          </cell>
        </row>
        <row r="3095">
          <cell r="G3095" t="str">
            <v>Citizen Cider</v>
          </cell>
          <cell r="H3095" t="str">
            <v>Citizen Cider</v>
          </cell>
          <cell r="K3095" t="str">
            <v>Package</v>
          </cell>
          <cell r="L3095" t="str">
            <v>No</v>
          </cell>
        </row>
        <row r="3096">
          <cell r="G3096" t="str">
            <v>Citizen Cider</v>
          </cell>
          <cell r="H3096" t="str">
            <v>Citizen Cider</v>
          </cell>
          <cell r="K3096" t="str">
            <v>Package</v>
          </cell>
          <cell r="L3096" t="str">
            <v>No</v>
          </cell>
        </row>
        <row r="3097">
          <cell r="G3097" t="str">
            <v>Citizen Cider</v>
          </cell>
          <cell r="H3097" t="str">
            <v>Citizen Cider</v>
          </cell>
          <cell r="K3097" t="str">
            <v>Package</v>
          </cell>
          <cell r="L3097" t="str">
            <v>No</v>
          </cell>
        </row>
        <row r="3098">
          <cell r="G3098" t="str">
            <v>Citizen Cider</v>
          </cell>
          <cell r="H3098" t="str">
            <v>Citizen Cider</v>
          </cell>
          <cell r="K3098" t="str">
            <v>Package</v>
          </cell>
          <cell r="L3098" t="str">
            <v>Yes</v>
          </cell>
        </row>
        <row r="3099">
          <cell r="G3099" t="str">
            <v>Citizen Cider</v>
          </cell>
          <cell r="H3099" t="str">
            <v>Citizen Cider</v>
          </cell>
          <cell r="K3099" t="str">
            <v>Package</v>
          </cell>
          <cell r="L3099" t="str">
            <v>No</v>
          </cell>
        </row>
        <row r="3100">
          <cell r="G3100" t="str">
            <v>Citizen Cider</v>
          </cell>
          <cell r="H3100" t="str">
            <v>Citizen Cider</v>
          </cell>
          <cell r="K3100" t="str">
            <v>Package</v>
          </cell>
          <cell r="L3100" t="str">
            <v>No</v>
          </cell>
        </row>
        <row r="3101">
          <cell r="G3101" t="str">
            <v>Citizen Cider</v>
          </cell>
          <cell r="H3101" t="str">
            <v>Citizen Cider</v>
          </cell>
          <cell r="K3101" t="str">
            <v>Package</v>
          </cell>
          <cell r="L3101" t="str">
            <v>No</v>
          </cell>
        </row>
        <row r="3102">
          <cell r="G3102" t="str">
            <v>Citizen Cider</v>
          </cell>
          <cell r="H3102" t="str">
            <v>Citizen Cider</v>
          </cell>
          <cell r="K3102" t="str">
            <v>Package</v>
          </cell>
          <cell r="L3102" t="str">
            <v>No</v>
          </cell>
        </row>
        <row r="3103">
          <cell r="G3103" t="str">
            <v>Citizen Cider</v>
          </cell>
          <cell r="H3103" t="str">
            <v>Citizen Cider</v>
          </cell>
          <cell r="K3103" t="str">
            <v>Package</v>
          </cell>
          <cell r="L3103" t="str">
            <v>No</v>
          </cell>
        </row>
        <row r="3104">
          <cell r="G3104" t="str">
            <v>Bold Rock</v>
          </cell>
          <cell r="H3104" t="str">
            <v>Bold Rock Hard Cider</v>
          </cell>
          <cell r="K3104" t="str">
            <v>Package</v>
          </cell>
          <cell r="L3104" t="str">
            <v>Yes</v>
          </cell>
        </row>
        <row r="3105">
          <cell r="G3105" t="str">
            <v>1911 Hard Cider</v>
          </cell>
          <cell r="H3105" t="str">
            <v>Beak &amp; Skiff</v>
          </cell>
          <cell r="K3105" t="str">
            <v>Draft</v>
          </cell>
          <cell r="L3105" t="str">
            <v>No</v>
          </cell>
        </row>
        <row r="3106">
          <cell r="G3106" t="str">
            <v>1911 Hard Cider</v>
          </cell>
          <cell r="H3106" t="str">
            <v>Beak &amp; Skiff</v>
          </cell>
          <cell r="K3106" t="str">
            <v>Draft</v>
          </cell>
          <cell r="L3106" t="str">
            <v>Yes</v>
          </cell>
        </row>
        <row r="3107">
          <cell r="G3107" t="str">
            <v>1911 Hard Cider</v>
          </cell>
          <cell r="H3107" t="str">
            <v>Beak &amp; Skiff</v>
          </cell>
          <cell r="K3107" t="str">
            <v>Package</v>
          </cell>
          <cell r="L3107" t="str">
            <v>Yes</v>
          </cell>
        </row>
        <row r="3108">
          <cell r="G3108" t="str">
            <v>1911 Hard Cider</v>
          </cell>
          <cell r="H3108" t="str">
            <v>Beak &amp; Skiff</v>
          </cell>
          <cell r="K3108" t="str">
            <v>Package</v>
          </cell>
          <cell r="L3108" t="str">
            <v>Yes</v>
          </cell>
        </row>
        <row r="3109">
          <cell r="G3109" t="str">
            <v>1911 Hard Cider</v>
          </cell>
          <cell r="H3109" t="str">
            <v>Beak &amp; Skiff</v>
          </cell>
          <cell r="K3109" t="str">
            <v>Package</v>
          </cell>
          <cell r="L3109" t="str">
            <v>Yes</v>
          </cell>
        </row>
        <row r="3110">
          <cell r="G3110" t="str">
            <v>1911 Hard Cider</v>
          </cell>
          <cell r="H3110" t="str">
            <v>Beak &amp; Skiff</v>
          </cell>
          <cell r="K3110" t="str">
            <v>Package</v>
          </cell>
          <cell r="L3110" t="str">
            <v>Yes</v>
          </cell>
        </row>
        <row r="3111">
          <cell r="G3111" t="str">
            <v>1911 Hard Cider</v>
          </cell>
          <cell r="H3111" t="str">
            <v>Beak &amp; Skiff</v>
          </cell>
          <cell r="K3111" t="str">
            <v>Package</v>
          </cell>
          <cell r="L3111" t="str">
            <v>Yes</v>
          </cell>
        </row>
        <row r="3112">
          <cell r="G3112" t="str">
            <v>1911 Hard Cider</v>
          </cell>
          <cell r="H3112" t="str">
            <v>Beak &amp; Skiff</v>
          </cell>
          <cell r="K3112" t="str">
            <v>Package</v>
          </cell>
          <cell r="L3112" t="str">
            <v>Yes</v>
          </cell>
        </row>
        <row r="3113">
          <cell r="G3113" t="str">
            <v>1911 Hard Cider</v>
          </cell>
          <cell r="H3113" t="str">
            <v>Beak &amp; Skiff</v>
          </cell>
          <cell r="K3113" t="str">
            <v>Package</v>
          </cell>
          <cell r="L3113" t="str">
            <v>Yes</v>
          </cell>
        </row>
        <row r="3114">
          <cell r="G3114" t="str">
            <v>1911 Hard Cider</v>
          </cell>
          <cell r="H3114" t="str">
            <v>Beak &amp; Skiff</v>
          </cell>
          <cell r="K3114" t="str">
            <v>Package</v>
          </cell>
          <cell r="L3114" t="str">
            <v>Yes</v>
          </cell>
        </row>
        <row r="3115">
          <cell r="G3115" t="str">
            <v>1911 Hard Cider</v>
          </cell>
          <cell r="H3115" t="str">
            <v>Beak &amp; Skiff</v>
          </cell>
          <cell r="K3115" t="str">
            <v>Package</v>
          </cell>
          <cell r="L3115" t="str">
            <v>Yes</v>
          </cell>
        </row>
        <row r="3116">
          <cell r="G3116" t="str">
            <v>1911 Hard Cider</v>
          </cell>
          <cell r="H3116" t="str">
            <v>Beak &amp; Skiff</v>
          </cell>
          <cell r="K3116" t="str">
            <v>Package</v>
          </cell>
          <cell r="L3116" t="str">
            <v>Yes</v>
          </cell>
        </row>
        <row r="3117">
          <cell r="G3117" t="str">
            <v>1911 Hard Cider</v>
          </cell>
          <cell r="H3117" t="str">
            <v>Beak &amp; Skiff</v>
          </cell>
          <cell r="K3117" t="str">
            <v>Package</v>
          </cell>
          <cell r="L3117" t="str">
            <v>Yes</v>
          </cell>
        </row>
        <row r="3118">
          <cell r="G3118" t="str">
            <v>1911 Hard Cider</v>
          </cell>
          <cell r="H3118" t="str">
            <v>Beak &amp; Skiff</v>
          </cell>
          <cell r="K3118" t="str">
            <v>Draft</v>
          </cell>
          <cell r="L3118" t="str">
            <v>Yes</v>
          </cell>
        </row>
        <row r="3119">
          <cell r="G3119" t="str">
            <v>1911 Hard Cider</v>
          </cell>
          <cell r="H3119" t="str">
            <v>Beak &amp; Skiff</v>
          </cell>
          <cell r="K3119" t="str">
            <v>Package</v>
          </cell>
          <cell r="L3119" t="str">
            <v>Yes</v>
          </cell>
        </row>
        <row r="3120">
          <cell r="G3120" t="str">
            <v>1911 Hard Cider</v>
          </cell>
          <cell r="H3120" t="str">
            <v>Beak &amp; Skiff</v>
          </cell>
          <cell r="K3120" t="str">
            <v>Package</v>
          </cell>
          <cell r="L3120" t="str">
            <v>Yes</v>
          </cell>
        </row>
        <row r="3121">
          <cell r="G3121" t="str">
            <v>1911 Hard Cider</v>
          </cell>
          <cell r="H3121" t="str">
            <v>Beak &amp; Skiff</v>
          </cell>
          <cell r="K3121" t="str">
            <v>Package</v>
          </cell>
          <cell r="L3121" t="str">
            <v>No</v>
          </cell>
        </row>
        <row r="3122">
          <cell r="G3122" t="str">
            <v>1911 Hard Cider</v>
          </cell>
          <cell r="H3122" t="str">
            <v>Beak &amp; Skiff</v>
          </cell>
          <cell r="K3122" t="str">
            <v>Package</v>
          </cell>
          <cell r="L3122" t="str">
            <v>Yes</v>
          </cell>
        </row>
        <row r="3123">
          <cell r="G3123" t="str">
            <v>1911 Hard Cider</v>
          </cell>
          <cell r="H3123" t="str">
            <v>Beak &amp; Skiff</v>
          </cell>
          <cell r="K3123" t="str">
            <v>Package</v>
          </cell>
          <cell r="L3123" t="str">
            <v>Yes</v>
          </cell>
        </row>
        <row r="3124">
          <cell r="G3124" t="str">
            <v>1911 Hard Cider</v>
          </cell>
          <cell r="H3124" t="str">
            <v>Beak &amp; Skiff</v>
          </cell>
          <cell r="K3124" t="str">
            <v>Package</v>
          </cell>
          <cell r="L3124" t="str">
            <v>Yes</v>
          </cell>
        </row>
        <row r="3125">
          <cell r="G3125" t="str">
            <v>1911 Hard Cider</v>
          </cell>
          <cell r="H3125" t="str">
            <v>Beak &amp; Skiff</v>
          </cell>
          <cell r="K3125" t="str">
            <v>Package</v>
          </cell>
          <cell r="L3125" t="str">
            <v>Yes</v>
          </cell>
        </row>
        <row r="3126">
          <cell r="G3126" t="str">
            <v>1911 Hard Cider</v>
          </cell>
          <cell r="H3126" t="str">
            <v>Beak &amp; Skiff</v>
          </cell>
          <cell r="K3126" t="str">
            <v>Package</v>
          </cell>
          <cell r="L3126" t="str">
            <v>Yes</v>
          </cell>
        </row>
        <row r="3127">
          <cell r="G3127" t="str">
            <v>1911 Hard Cider</v>
          </cell>
          <cell r="H3127" t="str">
            <v>Beak &amp; Skiff</v>
          </cell>
          <cell r="K3127" t="str">
            <v>Package</v>
          </cell>
          <cell r="L3127" t="str">
            <v>Yes</v>
          </cell>
        </row>
        <row r="3128">
          <cell r="G3128" t="str">
            <v>1911 Hard Cider</v>
          </cell>
          <cell r="H3128" t="str">
            <v>Beak &amp; Skiff</v>
          </cell>
          <cell r="K3128" t="str">
            <v>Package</v>
          </cell>
          <cell r="L3128" t="str">
            <v>Yes</v>
          </cell>
        </row>
        <row r="3129">
          <cell r="G3129" t="str">
            <v>1911 Hard Cider</v>
          </cell>
          <cell r="H3129" t="str">
            <v>Beak &amp; Skiff</v>
          </cell>
          <cell r="K3129" t="str">
            <v>Package</v>
          </cell>
          <cell r="L3129" t="str">
            <v>Yes</v>
          </cell>
        </row>
        <row r="3130">
          <cell r="G3130" t="str">
            <v>1911 Hard Cider</v>
          </cell>
          <cell r="H3130" t="str">
            <v>Beak &amp; Skiff</v>
          </cell>
          <cell r="K3130" t="str">
            <v>Package</v>
          </cell>
          <cell r="L3130" t="str">
            <v>Yes</v>
          </cell>
        </row>
        <row r="3131">
          <cell r="G3131" t="str">
            <v>1911 Hard Cider</v>
          </cell>
          <cell r="H3131" t="str">
            <v>Beak &amp; Skiff</v>
          </cell>
          <cell r="K3131" t="str">
            <v>Package</v>
          </cell>
          <cell r="L3131" t="str">
            <v>Yes</v>
          </cell>
        </row>
        <row r="3132">
          <cell r="G3132" t="str">
            <v>1911 Hard Cider</v>
          </cell>
          <cell r="H3132" t="str">
            <v>Beak &amp; Skiff</v>
          </cell>
          <cell r="K3132" t="str">
            <v>Package</v>
          </cell>
          <cell r="L3132" t="str">
            <v>Yes</v>
          </cell>
        </row>
        <row r="3133">
          <cell r="G3133" t="str">
            <v>1911 Hard Cider</v>
          </cell>
          <cell r="H3133" t="str">
            <v>Beak &amp; Skiff</v>
          </cell>
          <cell r="K3133" t="str">
            <v>Package</v>
          </cell>
          <cell r="L3133" t="str">
            <v>Yes</v>
          </cell>
        </row>
        <row r="3134">
          <cell r="G3134" t="str">
            <v>1911 Hard Cider</v>
          </cell>
          <cell r="H3134" t="str">
            <v>Beak &amp; Skiff</v>
          </cell>
          <cell r="K3134" t="str">
            <v>Package</v>
          </cell>
          <cell r="L3134" t="str">
            <v>Yes</v>
          </cell>
        </row>
        <row r="3135">
          <cell r="G3135" t="str">
            <v>1911 Hard Cider</v>
          </cell>
          <cell r="H3135" t="str">
            <v>Beak &amp; Skiff</v>
          </cell>
          <cell r="K3135" t="str">
            <v>Package</v>
          </cell>
          <cell r="L3135" t="str">
            <v>Yes</v>
          </cell>
        </row>
        <row r="3136">
          <cell r="G3136" t="str">
            <v>1911 Hard Cider</v>
          </cell>
          <cell r="H3136" t="str">
            <v>Beak &amp; Skiff</v>
          </cell>
          <cell r="K3136" t="str">
            <v>Package</v>
          </cell>
          <cell r="L3136" t="str">
            <v>Yes</v>
          </cell>
        </row>
        <row r="3137">
          <cell r="G3137" t="str">
            <v>1911 Hard Cider</v>
          </cell>
          <cell r="H3137" t="str">
            <v>Beak &amp; Skiff</v>
          </cell>
          <cell r="K3137" t="str">
            <v>Draft</v>
          </cell>
          <cell r="L3137" t="str">
            <v>Yes</v>
          </cell>
        </row>
        <row r="3138">
          <cell r="G3138" t="str">
            <v>1911 Hard Cider</v>
          </cell>
          <cell r="H3138" t="str">
            <v>Beak &amp; Skiff</v>
          </cell>
          <cell r="K3138" t="str">
            <v>Package</v>
          </cell>
          <cell r="L3138" t="str">
            <v>Yes</v>
          </cell>
        </row>
        <row r="3139">
          <cell r="G3139" t="str">
            <v>Bold Rock</v>
          </cell>
          <cell r="H3139" t="str">
            <v>Bold Rock Hard Cider</v>
          </cell>
          <cell r="K3139" t="str">
            <v>Package</v>
          </cell>
          <cell r="L3139" t="str">
            <v>No</v>
          </cell>
        </row>
        <row r="3140">
          <cell r="G3140" t="str">
            <v>Bold Rock</v>
          </cell>
          <cell r="H3140" t="str">
            <v>Bold Rock Hard Cider</v>
          </cell>
          <cell r="K3140" t="str">
            <v>Package</v>
          </cell>
          <cell r="L3140" t="str">
            <v>No</v>
          </cell>
        </row>
        <row r="3141">
          <cell r="G3141" t="str">
            <v>Bold Rock</v>
          </cell>
          <cell r="H3141" t="str">
            <v>Bold Rock Hard Cider</v>
          </cell>
          <cell r="K3141" t="str">
            <v>Package</v>
          </cell>
          <cell r="L3141" t="str">
            <v>No</v>
          </cell>
        </row>
        <row r="3142">
          <cell r="G3142" t="str">
            <v>Bold Rock</v>
          </cell>
          <cell r="H3142" t="str">
            <v>Bold Rock Hard Cider</v>
          </cell>
          <cell r="K3142" t="str">
            <v>Draft</v>
          </cell>
          <cell r="L3142" t="str">
            <v>Yes</v>
          </cell>
        </row>
        <row r="3143">
          <cell r="G3143" t="str">
            <v>Bold Rock</v>
          </cell>
          <cell r="H3143" t="str">
            <v>Bold Rock Hard Cider</v>
          </cell>
          <cell r="K3143" t="str">
            <v>Draft</v>
          </cell>
          <cell r="L3143" t="str">
            <v>Yes</v>
          </cell>
        </row>
        <row r="3144">
          <cell r="G3144" t="str">
            <v>Bold Rock</v>
          </cell>
          <cell r="H3144" t="str">
            <v>Bold Rock Hard Cider</v>
          </cell>
          <cell r="K3144" t="str">
            <v>Draft</v>
          </cell>
          <cell r="L3144" t="str">
            <v>Yes</v>
          </cell>
        </row>
        <row r="3145">
          <cell r="G3145" t="str">
            <v>Bold Rock</v>
          </cell>
          <cell r="H3145" t="str">
            <v>Bold Rock Hard Cider</v>
          </cell>
          <cell r="K3145" t="str">
            <v>Package</v>
          </cell>
          <cell r="L3145" t="str">
            <v>Yes</v>
          </cell>
        </row>
        <row r="3146">
          <cell r="G3146" t="str">
            <v>Bold Rock</v>
          </cell>
          <cell r="H3146" t="str">
            <v>Bold Rock Hard Cider</v>
          </cell>
          <cell r="K3146" t="str">
            <v>Package</v>
          </cell>
          <cell r="L3146" t="str">
            <v>Yes</v>
          </cell>
        </row>
        <row r="3147">
          <cell r="G3147" t="str">
            <v>Bold Rock</v>
          </cell>
          <cell r="H3147" t="str">
            <v>Bold Rock Hard Cider</v>
          </cell>
          <cell r="K3147" t="str">
            <v>Package</v>
          </cell>
          <cell r="L3147" t="str">
            <v>No</v>
          </cell>
        </row>
        <row r="3148">
          <cell r="G3148" t="str">
            <v>Bold Rock</v>
          </cell>
          <cell r="H3148" t="str">
            <v>Bold Rock Hard Cider</v>
          </cell>
          <cell r="K3148" t="str">
            <v>Package</v>
          </cell>
          <cell r="L3148" t="str">
            <v>No</v>
          </cell>
        </row>
        <row r="3149">
          <cell r="G3149" t="str">
            <v>Bold Rock</v>
          </cell>
          <cell r="H3149" t="str">
            <v>Bold Rock Hard Cider</v>
          </cell>
          <cell r="K3149" t="str">
            <v>Package</v>
          </cell>
          <cell r="L3149" t="str">
            <v>No</v>
          </cell>
        </row>
        <row r="3150">
          <cell r="G3150" t="str">
            <v>Bold Rock</v>
          </cell>
          <cell r="H3150" t="str">
            <v>Bold Rock Hard Cider</v>
          </cell>
          <cell r="K3150" t="str">
            <v>Package</v>
          </cell>
          <cell r="L3150" t="str">
            <v>No</v>
          </cell>
        </row>
        <row r="3151">
          <cell r="G3151" t="str">
            <v>Bold Rock</v>
          </cell>
          <cell r="H3151" t="str">
            <v>Bold Rock Hard Cider</v>
          </cell>
          <cell r="K3151" t="str">
            <v>Draft</v>
          </cell>
          <cell r="L3151" t="str">
            <v>No</v>
          </cell>
        </row>
        <row r="3152">
          <cell r="G3152" t="str">
            <v>Bold Rock</v>
          </cell>
          <cell r="H3152" t="str">
            <v>Bold Rock Hard Cider</v>
          </cell>
          <cell r="K3152" t="str">
            <v>Package</v>
          </cell>
          <cell r="L3152" t="str">
            <v>No</v>
          </cell>
        </row>
        <row r="3153">
          <cell r="G3153" t="str">
            <v>Bold Rock</v>
          </cell>
          <cell r="H3153" t="str">
            <v>Bold Rock Hard Cider</v>
          </cell>
          <cell r="K3153" t="str">
            <v>Package</v>
          </cell>
          <cell r="L3153" t="str">
            <v>No</v>
          </cell>
        </row>
        <row r="3154">
          <cell r="G3154" t="str">
            <v>Bold Rock</v>
          </cell>
          <cell r="H3154" t="str">
            <v>Bold Rock Hard Cider</v>
          </cell>
          <cell r="K3154" t="str">
            <v>Package</v>
          </cell>
          <cell r="L3154" t="str">
            <v>No</v>
          </cell>
        </row>
        <row r="3155">
          <cell r="G3155" t="str">
            <v>Bold Rock</v>
          </cell>
          <cell r="H3155" t="str">
            <v>Bold Rock Hard Cider</v>
          </cell>
          <cell r="K3155" t="str">
            <v>Package</v>
          </cell>
          <cell r="L3155" t="str">
            <v>No</v>
          </cell>
        </row>
        <row r="3156">
          <cell r="G3156" t="str">
            <v>Bold Rock</v>
          </cell>
          <cell r="H3156" t="str">
            <v>Bold Rock Hard Cider</v>
          </cell>
          <cell r="K3156" t="str">
            <v>Package</v>
          </cell>
          <cell r="L3156" t="str">
            <v>No</v>
          </cell>
        </row>
        <row r="3157">
          <cell r="G3157" t="str">
            <v>Bold Rock</v>
          </cell>
          <cell r="H3157" t="str">
            <v>Bold Rock Hard Cider</v>
          </cell>
          <cell r="K3157" t="str">
            <v>Draft</v>
          </cell>
          <cell r="L3157" t="str">
            <v>No</v>
          </cell>
        </row>
        <row r="3158">
          <cell r="G3158" t="str">
            <v>Bold Rock</v>
          </cell>
          <cell r="H3158" t="str">
            <v>Bold Rock Hard Cider</v>
          </cell>
          <cell r="K3158" t="str">
            <v>Package</v>
          </cell>
          <cell r="L3158" t="str">
            <v>No</v>
          </cell>
        </row>
        <row r="3159">
          <cell r="G3159" t="str">
            <v>Bold Rock</v>
          </cell>
          <cell r="H3159" t="str">
            <v>Bold Rock Hard Cider</v>
          </cell>
          <cell r="K3159" t="str">
            <v>Package</v>
          </cell>
          <cell r="L3159" t="str">
            <v>Yes</v>
          </cell>
        </row>
        <row r="3160">
          <cell r="G3160" t="str">
            <v>Bold Rock</v>
          </cell>
          <cell r="H3160" t="str">
            <v>Bold Rock Hard Cider</v>
          </cell>
          <cell r="K3160" t="str">
            <v>Draft</v>
          </cell>
          <cell r="L3160" t="str">
            <v>No</v>
          </cell>
        </row>
        <row r="3161">
          <cell r="G3161" t="str">
            <v>Bold Rock</v>
          </cell>
          <cell r="H3161" t="str">
            <v>Bold Rock Hard Cider</v>
          </cell>
          <cell r="K3161" t="str">
            <v>Package</v>
          </cell>
          <cell r="L3161" t="str">
            <v>Yes</v>
          </cell>
        </row>
        <row r="3162">
          <cell r="G3162" t="str">
            <v>Bold Rock</v>
          </cell>
          <cell r="H3162" t="str">
            <v>Bold Rock Hard Cider</v>
          </cell>
          <cell r="K3162" t="str">
            <v>Package</v>
          </cell>
          <cell r="L3162" t="str">
            <v>Yes</v>
          </cell>
        </row>
        <row r="3163">
          <cell r="G3163" t="str">
            <v>Bold Rock</v>
          </cell>
          <cell r="H3163" t="str">
            <v>Bold Rock Hard Cider</v>
          </cell>
          <cell r="K3163" t="str">
            <v>Package</v>
          </cell>
          <cell r="L3163" t="str">
            <v>No</v>
          </cell>
        </row>
        <row r="3164">
          <cell r="G3164" t="str">
            <v>Bold Rock</v>
          </cell>
          <cell r="H3164" t="str">
            <v>Bold Rock Hard Cider</v>
          </cell>
          <cell r="K3164" t="str">
            <v>Package</v>
          </cell>
          <cell r="L3164" t="str">
            <v>Yes</v>
          </cell>
        </row>
        <row r="3165">
          <cell r="G3165" t="str">
            <v>Bold Rock</v>
          </cell>
          <cell r="H3165" t="str">
            <v>Bold Rock Hard Cider</v>
          </cell>
          <cell r="K3165" t="str">
            <v>Package</v>
          </cell>
          <cell r="L3165" t="str">
            <v>No</v>
          </cell>
        </row>
        <row r="3166">
          <cell r="G3166" t="str">
            <v>Bold Rock</v>
          </cell>
          <cell r="H3166" t="str">
            <v>Bold Rock Hard Cider</v>
          </cell>
          <cell r="K3166" t="str">
            <v>Package</v>
          </cell>
          <cell r="L3166" t="str">
            <v>Yes</v>
          </cell>
        </row>
        <row r="3167">
          <cell r="G3167" t="str">
            <v>Bold Rock</v>
          </cell>
          <cell r="H3167" t="str">
            <v>Bold Rock Hard Cider</v>
          </cell>
          <cell r="K3167" t="str">
            <v>Package</v>
          </cell>
          <cell r="L3167" t="str">
            <v>Yes</v>
          </cell>
        </row>
        <row r="3168">
          <cell r="G3168" t="str">
            <v>1911 Hard Cider</v>
          </cell>
          <cell r="H3168" t="str">
            <v>Beak &amp; Skiff</v>
          </cell>
          <cell r="K3168" t="str">
            <v>Package</v>
          </cell>
          <cell r="L3168" t="str">
            <v>Yes</v>
          </cell>
        </row>
        <row r="3169">
          <cell r="G3169" t="str">
            <v>1911 Hard Cider</v>
          </cell>
          <cell r="H3169" t="str">
            <v>Beak &amp; Skiff</v>
          </cell>
          <cell r="K3169" t="str">
            <v>Package</v>
          </cell>
          <cell r="L3169" t="str">
            <v>Yes</v>
          </cell>
        </row>
        <row r="3170">
          <cell r="G3170" t="str">
            <v>Bohemia Noche</v>
          </cell>
          <cell r="H3170" t="str">
            <v>Heineken USA</v>
          </cell>
          <cell r="K3170" t="str">
            <v>Package</v>
          </cell>
          <cell r="L3170" t="str">
            <v>No</v>
          </cell>
        </row>
        <row r="3171">
          <cell r="G3171" t="str">
            <v>Great Lakes</v>
          </cell>
          <cell r="H3171" t="str">
            <v>Great Lakes</v>
          </cell>
          <cell r="K3171" t="str">
            <v>Package</v>
          </cell>
          <cell r="L3171" t="str">
            <v>No</v>
          </cell>
        </row>
        <row r="3172">
          <cell r="G3172" t="str">
            <v>Great Lakes</v>
          </cell>
          <cell r="H3172" t="str">
            <v>Great Lakes</v>
          </cell>
          <cell r="K3172" t="str">
            <v>Package</v>
          </cell>
          <cell r="L3172" t="str">
            <v>No</v>
          </cell>
        </row>
        <row r="3173">
          <cell r="G3173" t="str">
            <v>New Belgium Brewing Company</v>
          </cell>
          <cell r="H3173" t="str">
            <v>New Belgium Brewing Company</v>
          </cell>
          <cell r="K3173" t="str">
            <v>Package</v>
          </cell>
          <cell r="L3173" t="str">
            <v>No</v>
          </cell>
        </row>
        <row r="3174">
          <cell r="G3174" t="str">
            <v>Southern Tier</v>
          </cell>
          <cell r="H3174" t="str">
            <v>Southern Tier Brewing Company</v>
          </cell>
          <cell r="K3174" t="str">
            <v>Package</v>
          </cell>
          <cell r="L3174" t="str">
            <v>No</v>
          </cell>
        </row>
        <row r="3175">
          <cell r="G3175" t="str">
            <v>Southern Tier</v>
          </cell>
          <cell r="H3175" t="str">
            <v>Southern Tier Brewing Company</v>
          </cell>
          <cell r="K3175" t="str">
            <v>Draft</v>
          </cell>
          <cell r="L3175" t="str">
            <v>No</v>
          </cell>
        </row>
        <row r="3176">
          <cell r="G3176" t="str">
            <v>Southern Tier</v>
          </cell>
          <cell r="H3176" t="str">
            <v>Southern Tier Brewing Company</v>
          </cell>
          <cell r="K3176" t="str">
            <v>Package</v>
          </cell>
          <cell r="L3176" t="str">
            <v>No</v>
          </cell>
        </row>
        <row r="3177">
          <cell r="G3177" t="str">
            <v>Other Half</v>
          </cell>
          <cell r="H3177" t="str">
            <v>Other Half Brewing Co</v>
          </cell>
          <cell r="K3177" t="str">
            <v>Package</v>
          </cell>
          <cell r="L3177" t="str">
            <v>No</v>
          </cell>
        </row>
        <row r="3178">
          <cell r="G3178" t="str">
            <v>Other Half</v>
          </cell>
          <cell r="H3178" t="str">
            <v>Other Half Brewing Co</v>
          </cell>
          <cell r="K3178" t="str">
            <v>Package</v>
          </cell>
          <cell r="L3178" t="str">
            <v>No</v>
          </cell>
        </row>
        <row r="3179">
          <cell r="G3179" t="str">
            <v>Other Half</v>
          </cell>
          <cell r="H3179" t="str">
            <v>Other Half Brewing Co</v>
          </cell>
          <cell r="K3179" t="str">
            <v>Package</v>
          </cell>
          <cell r="L3179" t="str">
            <v>No</v>
          </cell>
        </row>
        <row r="3180">
          <cell r="G3180" t="str">
            <v>Other Half</v>
          </cell>
          <cell r="H3180" t="str">
            <v>Other Half Brewing Co</v>
          </cell>
          <cell r="K3180" t="str">
            <v>Package</v>
          </cell>
          <cell r="L3180" t="str">
            <v>No</v>
          </cell>
        </row>
        <row r="3181">
          <cell r="G3181" t="str">
            <v>Other Half</v>
          </cell>
          <cell r="H3181" t="str">
            <v>Other Half Brewing Co</v>
          </cell>
          <cell r="K3181" t="str">
            <v>Draft</v>
          </cell>
          <cell r="L3181" t="str">
            <v>No</v>
          </cell>
        </row>
        <row r="3182">
          <cell r="G3182" t="str">
            <v>Other Half</v>
          </cell>
          <cell r="H3182" t="str">
            <v>Other Half Brewing Co</v>
          </cell>
          <cell r="K3182" t="str">
            <v>Draft</v>
          </cell>
          <cell r="L3182" t="str">
            <v>No</v>
          </cell>
        </row>
        <row r="3183">
          <cell r="G3183" t="str">
            <v>Other Half</v>
          </cell>
          <cell r="H3183" t="str">
            <v>Other Half Brewing Co</v>
          </cell>
          <cell r="K3183" t="str">
            <v>Package</v>
          </cell>
          <cell r="L3183" t="str">
            <v>No</v>
          </cell>
        </row>
        <row r="3184">
          <cell r="G3184" t="str">
            <v>Other Half</v>
          </cell>
          <cell r="H3184" t="str">
            <v>Other Half Brewing Co</v>
          </cell>
          <cell r="K3184" t="str">
            <v>Package</v>
          </cell>
          <cell r="L3184" t="str">
            <v>No</v>
          </cell>
        </row>
        <row r="3185">
          <cell r="G3185" t="str">
            <v>Other Half</v>
          </cell>
          <cell r="H3185" t="str">
            <v>Other Half Brewing Co</v>
          </cell>
          <cell r="K3185" t="str">
            <v>Package</v>
          </cell>
          <cell r="L3185" t="str">
            <v>No</v>
          </cell>
        </row>
        <row r="3186">
          <cell r="G3186" t="str">
            <v>Other Half</v>
          </cell>
          <cell r="H3186" t="str">
            <v>Other Half Brewing Co</v>
          </cell>
          <cell r="K3186" t="str">
            <v>Package</v>
          </cell>
          <cell r="L3186" t="str">
            <v>No</v>
          </cell>
        </row>
        <row r="3187">
          <cell r="G3187" t="str">
            <v>Other Half</v>
          </cell>
          <cell r="H3187" t="str">
            <v>Other Half Brewing Co</v>
          </cell>
          <cell r="K3187" t="str">
            <v>Package</v>
          </cell>
          <cell r="L3187" t="str">
            <v>No</v>
          </cell>
        </row>
        <row r="3188">
          <cell r="G3188" t="str">
            <v>Other Half</v>
          </cell>
          <cell r="H3188" t="str">
            <v>Other Half Brewing Co</v>
          </cell>
          <cell r="K3188" t="str">
            <v>Draft</v>
          </cell>
          <cell r="L3188" t="str">
            <v>No</v>
          </cell>
        </row>
        <row r="3189">
          <cell r="G3189" t="str">
            <v>Other Half</v>
          </cell>
          <cell r="H3189" t="str">
            <v>Other Half Brewing Co</v>
          </cell>
          <cell r="K3189" t="str">
            <v>Draft</v>
          </cell>
          <cell r="L3189" t="str">
            <v>No</v>
          </cell>
        </row>
        <row r="3190">
          <cell r="G3190" t="str">
            <v>Other Half</v>
          </cell>
          <cell r="H3190" t="str">
            <v>Other Half Brewing Co</v>
          </cell>
          <cell r="K3190" t="str">
            <v>Package</v>
          </cell>
          <cell r="L3190" t="str">
            <v>No</v>
          </cell>
        </row>
        <row r="3191">
          <cell r="G3191" t="str">
            <v>Other Half</v>
          </cell>
          <cell r="H3191" t="str">
            <v>Other Half Brewing Co</v>
          </cell>
          <cell r="K3191" t="str">
            <v>Draft</v>
          </cell>
          <cell r="L3191" t="str">
            <v>No</v>
          </cell>
        </row>
        <row r="3192">
          <cell r="G3192" t="str">
            <v>Other Half</v>
          </cell>
          <cell r="H3192" t="str">
            <v>Other Half Brewing Co</v>
          </cell>
          <cell r="K3192" t="str">
            <v>Draft</v>
          </cell>
          <cell r="L3192" t="str">
            <v>No</v>
          </cell>
        </row>
        <row r="3193">
          <cell r="G3193" t="str">
            <v>Other Half</v>
          </cell>
          <cell r="H3193" t="str">
            <v>Other Half Brewing Co</v>
          </cell>
          <cell r="K3193" t="str">
            <v>Package</v>
          </cell>
          <cell r="L3193" t="str">
            <v>No</v>
          </cell>
        </row>
        <row r="3194">
          <cell r="G3194" t="str">
            <v>Other Half</v>
          </cell>
          <cell r="H3194" t="str">
            <v>Other Half Brewing Co</v>
          </cell>
          <cell r="K3194" t="str">
            <v>Package</v>
          </cell>
          <cell r="L3194" t="str">
            <v>No</v>
          </cell>
        </row>
        <row r="3195">
          <cell r="G3195" t="str">
            <v>Other Half</v>
          </cell>
          <cell r="H3195" t="str">
            <v>Other Half Brewing Co</v>
          </cell>
          <cell r="K3195" t="str">
            <v>Draft</v>
          </cell>
          <cell r="L3195" t="str">
            <v>No</v>
          </cell>
        </row>
        <row r="3196">
          <cell r="G3196" t="str">
            <v>Other Half</v>
          </cell>
          <cell r="H3196" t="str">
            <v>Other Half Brewing Co</v>
          </cell>
          <cell r="K3196" t="str">
            <v>Draft</v>
          </cell>
          <cell r="L3196" t="str">
            <v>No</v>
          </cell>
        </row>
        <row r="3197">
          <cell r="G3197" t="str">
            <v>Other Half</v>
          </cell>
          <cell r="H3197" t="str">
            <v>Other Half Brewing Co</v>
          </cell>
          <cell r="K3197" t="str">
            <v>Package</v>
          </cell>
          <cell r="L3197" t="str">
            <v>No</v>
          </cell>
        </row>
        <row r="3198">
          <cell r="G3198" t="str">
            <v>Other Half</v>
          </cell>
          <cell r="H3198" t="str">
            <v>Other Half Brewing Co</v>
          </cell>
          <cell r="K3198" t="str">
            <v>Draft</v>
          </cell>
          <cell r="L3198" t="str">
            <v>No</v>
          </cell>
        </row>
        <row r="3199">
          <cell r="G3199" t="str">
            <v>Long Drink</v>
          </cell>
          <cell r="H3199" t="str">
            <v>Mark Anthony</v>
          </cell>
          <cell r="K3199" t="str">
            <v>Other Sellable</v>
          </cell>
          <cell r="L3199" t="str">
            <v>No</v>
          </cell>
        </row>
        <row r="3200">
          <cell r="G3200" t="str">
            <v>Long Drink</v>
          </cell>
          <cell r="H3200" t="str">
            <v>Mark Anthony</v>
          </cell>
          <cell r="K3200" t="str">
            <v>Other Sellable</v>
          </cell>
          <cell r="L3200" t="str">
            <v>No</v>
          </cell>
        </row>
        <row r="3201">
          <cell r="G3201" t="str">
            <v>Long Drink</v>
          </cell>
          <cell r="H3201" t="str">
            <v>Mark Anthony</v>
          </cell>
          <cell r="K3201" t="str">
            <v>Other Sellable</v>
          </cell>
          <cell r="L3201" t="str">
            <v>No</v>
          </cell>
        </row>
        <row r="3202">
          <cell r="G3202" t="str">
            <v>Long Drink</v>
          </cell>
          <cell r="H3202" t="str">
            <v>Mark Anthony</v>
          </cell>
          <cell r="K3202" t="str">
            <v>Other Sellable</v>
          </cell>
          <cell r="L3202" t="str">
            <v>No</v>
          </cell>
        </row>
        <row r="3203">
          <cell r="G3203" t="str">
            <v>Long Drink</v>
          </cell>
          <cell r="H3203" t="str">
            <v>Mark Anthony</v>
          </cell>
          <cell r="K3203" t="str">
            <v>Other Sellable</v>
          </cell>
          <cell r="L3203" t="str">
            <v>No</v>
          </cell>
        </row>
        <row r="3204">
          <cell r="G3204" t="str">
            <v>Long Drink</v>
          </cell>
          <cell r="H3204" t="str">
            <v>Mark Anthony</v>
          </cell>
          <cell r="K3204" t="str">
            <v>Other Sellable</v>
          </cell>
          <cell r="L3204" t="str">
            <v>No</v>
          </cell>
        </row>
        <row r="3205">
          <cell r="G3205" t="str">
            <v>Long Drink</v>
          </cell>
          <cell r="H3205" t="str">
            <v>Mark Anthony</v>
          </cell>
          <cell r="K3205" t="str">
            <v>Other Sellable</v>
          </cell>
          <cell r="L3205" t="str">
            <v>No</v>
          </cell>
        </row>
        <row r="3206">
          <cell r="G3206" t="str">
            <v>Long Drink</v>
          </cell>
          <cell r="H3206" t="str">
            <v>Mark Anthony</v>
          </cell>
          <cell r="K3206" t="str">
            <v>Other Sellable</v>
          </cell>
          <cell r="L3206" t="str">
            <v>No</v>
          </cell>
        </row>
        <row r="3207">
          <cell r="G3207" t="str">
            <v>Long Drink</v>
          </cell>
          <cell r="H3207" t="str">
            <v>Mark Anthony</v>
          </cell>
          <cell r="K3207" t="str">
            <v>Other Sellable</v>
          </cell>
          <cell r="L3207" t="str">
            <v>No</v>
          </cell>
        </row>
        <row r="3208">
          <cell r="G3208" t="str">
            <v>Long Drink</v>
          </cell>
          <cell r="H3208" t="str">
            <v>Mark Anthony</v>
          </cell>
          <cell r="K3208" t="str">
            <v>Other Sellable</v>
          </cell>
          <cell r="L3208" t="str">
            <v>No</v>
          </cell>
        </row>
        <row r="3209">
          <cell r="G3209" t="str">
            <v>Long Drink</v>
          </cell>
          <cell r="H3209" t="str">
            <v>Mark Anthony</v>
          </cell>
          <cell r="K3209" t="str">
            <v>Other Sellable</v>
          </cell>
          <cell r="L3209" t="str">
            <v>No</v>
          </cell>
        </row>
        <row r="3210">
          <cell r="G3210" t="str">
            <v>Long Drink</v>
          </cell>
          <cell r="H3210" t="str">
            <v>Mark Anthony</v>
          </cell>
          <cell r="K3210" t="str">
            <v>Other Sellable</v>
          </cell>
          <cell r="L3210" t="str">
            <v>No</v>
          </cell>
        </row>
        <row r="3211">
          <cell r="G3211" t="str">
            <v>Long Drink</v>
          </cell>
          <cell r="H3211" t="str">
            <v>Mark Anthony</v>
          </cell>
          <cell r="K3211" t="str">
            <v>Other Sellable</v>
          </cell>
          <cell r="L3211" t="str">
            <v>No</v>
          </cell>
        </row>
        <row r="3212">
          <cell r="G3212" t="str">
            <v>Pub Knob</v>
          </cell>
          <cell r="H3212" t="str">
            <v>Pub Nob (Pos)</v>
          </cell>
          <cell r="K3212" t="str">
            <v>Non-Product</v>
          </cell>
          <cell r="L3212" t="str">
            <v>No</v>
          </cell>
        </row>
        <row r="3213">
          <cell r="G3213" t="str">
            <v>Pub Knob</v>
          </cell>
          <cell r="H3213" t="str">
            <v>Pub Nob (Pos)</v>
          </cell>
          <cell r="K3213" t="str">
            <v>Non-Product</v>
          </cell>
          <cell r="L3213" t="str">
            <v>No</v>
          </cell>
        </row>
        <row r="3214">
          <cell r="G3214" t="str">
            <v>Pub Knob</v>
          </cell>
          <cell r="H3214" t="str">
            <v>Pub Nob (Pos)</v>
          </cell>
          <cell r="K3214" t="str">
            <v>Non-Product</v>
          </cell>
          <cell r="L3214" t="str">
            <v>No</v>
          </cell>
        </row>
        <row r="3215">
          <cell r="G3215" t="str">
            <v>Pub Knob</v>
          </cell>
          <cell r="H3215" t="str">
            <v>Pub Nob (Pos)</v>
          </cell>
          <cell r="K3215" t="str">
            <v>Non-Product</v>
          </cell>
          <cell r="L3215" t="str">
            <v>No</v>
          </cell>
        </row>
        <row r="3216">
          <cell r="G3216" t="str">
            <v>Pub Knob</v>
          </cell>
          <cell r="H3216" t="str">
            <v>Pub Nob (Pos)</v>
          </cell>
          <cell r="K3216" t="str">
            <v>Non-Product</v>
          </cell>
          <cell r="L3216" t="str">
            <v>No</v>
          </cell>
        </row>
        <row r="3217">
          <cell r="G3217" t="str">
            <v>Pub Knob</v>
          </cell>
          <cell r="H3217" t="str">
            <v>Pub Nob (Pos)</v>
          </cell>
          <cell r="K3217" t="str">
            <v>Non-Product</v>
          </cell>
          <cell r="L3217" t="str">
            <v>No</v>
          </cell>
        </row>
        <row r="3218">
          <cell r="G3218" t="str">
            <v>Other Half</v>
          </cell>
          <cell r="H3218" t="str">
            <v>Other Half Brewing Co</v>
          </cell>
          <cell r="K3218" t="str">
            <v>Draft</v>
          </cell>
          <cell r="L3218" t="str">
            <v>No</v>
          </cell>
        </row>
        <row r="3219">
          <cell r="G3219" t="str">
            <v>Other Half</v>
          </cell>
          <cell r="H3219" t="str">
            <v>Other Half Brewing Co</v>
          </cell>
          <cell r="K3219" t="str">
            <v>Package</v>
          </cell>
          <cell r="L3219" t="str">
            <v>No</v>
          </cell>
        </row>
        <row r="3220">
          <cell r="G3220" t="str">
            <v>Other Half</v>
          </cell>
          <cell r="H3220" t="str">
            <v>Other Half Brewing Co</v>
          </cell>
          <cell r="K3220" t="str">
            <v>Package</v>
          </cell>
          <cell r="L3220" t="str">
            <v>No</v>
          </cell>
        </row>
        <row r="3221">
          <cell r="G3221" t="str">
            <v>Other Half</v>
          </cell>
          <cell r="H3221" t="str">
            <v>Other Half Brewing Co</v>
          </cell>
          <cell r="K3221" t="str">
            <v>Draft</v>
          </cell>
          <cell r="L3221" t="str">
            <v>No</v>
          </cell>
        </row>
        <row r="3222">
          <cell r="G3222" t="str">
            <v>Other Half</v>
          </cell>
          <cell r="H3222" t="str">
            <v>Other Half Brewing Co</v>
          </cell>
          <cell r="K3222" t="str">
            <v>Package</v>
          </cell>
          <cell r="L3222" t="str">
            <v>No</v>
          </cell>
        </row>
        <row r="3223">
          <cell r="G3223" t="str">
            <v>Other Half</v>
          </cell>
          <cell r="H3223" t="str">
            <v>Other Half Brewing Co</v>
          </cell>
          <cell r="K3223" t="str">
            <v>Package</v>
          </cell>
          <cell r="L3223" t="str">
            <v>No</v>
          </cell>
        </row>
        <row r="3224">
          <cell r="G3224" t="str">
            <v>Other Half</v>
          </cell>
          <cell r="H3224" t="str">
            <v>Other Half Brewing Co</v>
          </cell>
          <cell r="K3224" t="str">
            <v>Draft</v>
          </cell>
          <cell r="L3224" t="str">
            <v>No</v>
          </cell>
        </row>
        <row r="3225">
          <cell r="G3225" t="str">
            <v>Other Half</v>
          </cell>
          <cell r="H3225" t="str">
            <v>Other Half Brewing Co</v>
          </cell>
          <cell r="K3225" t="str">
            <v>Draft</v>
          </cell>
          <cell r="L3225" t="str">
            <v>No</v>
          </cell>
        </row>
        <row r="3226">
          <cell r="G3226" t="str">
            <v>Other Half</v>
          </cell>
          <cell r="H3226" t="str">
            <v>Other Half Brewing Co</v>
          </cell>
          <cell r="K3226" t="str">
            <v>Package</v>
          </cell>
          <cell r="L3226" t="str">
            <v>No</v>
          </cell>
        </row>
        <row r="3227">
          <cell r="G3227" t="str">
            <v>Other Half</v>
          </cell>
          <cell r="H3227" t="str">
            <v>Other Half Brewing Co</v>
          </cell>
          <cell r="K3227" t="str">
            <v>Package</v>
          </cell>
          <cell r="L3227" t="str">
            <v>No</v>
          </cell>
        </row>
        <row r="3228">
          <cell r="G3228" t="str">
            <v>Other Half</v>
          </cell>
          <cell r="H3228" t="str">
            <v>Other Half Brewing Co</v>
          </cell>
          <cell r="K3228" t="str">
            <v>Draft</v>
          </cell>
          <cell r="L3228" t="str">
            <v>No</v>
          </cell>
        </row>
        <row r="3229">
          <cell r="G3229" t="str">
            <v>Other Half</v>
          </cell>
          <cell r="H3229" t="str">
            <v>Other Half Brewing Co</v>
          </cell>
          <cell r="K3229" t="str">
            <v>Draft</v>
          </cell>
          <cell r="L3229" t="str">
            <v>No</v>
          </cell>
        </row>
        <row r="3230">
          <cell r="G3230" t="str">
            <v>Other Half</v>
          </cell>
          <cell r="H3230" t="str">
            <v>Other Half Brewing Co</v>
          </cell>
          <cell r="K3230" t="str">
            <v>Package</v>
          </cell>
          <cell r="L3230" t="str">
            <v>No</v>
          </cell>
        </row>
        <row r="3231">
          <cell r="G3231" t="str">
            <v>Other Half</v>
          </cell>
          <cell r="H3231" t="str">
            <v>Other Half Brewing Co</v>
          </cell>
          <cell r="K3231" t="str">
            <v>Package</v>
          </cell>
          <cell r="L3231" t="str">
            <v>No</v>
          </cell>
        </row>
        <row r="3232">
          <cell r="G3232" t="str">
            <v>Chateau Diana</v>
          </cell>
          <cell r="H3232" t="str">
            <v>Chateau Diana Winery</v>
          </cell>
          <cell r="K3232" t="str">
            <v>Other Sellable</v>
          </cell>
          <cell r="L3232" t="str">
            <v>No</v>
          </cell>
        </row>
        <row r="3233">
          <cell r="G3233" t="str">
            <v>NAMI Sake</v>
          </cell>
          <cell r="H3233" t="str">
            <v>Primos Imports LLC</v>
          </cell>
          <cell r="K3233" t="str">
            <v>Other Sellable</v>
          </cell>
          <cell r="L3233" t="str">
            <v>No</v>
          </cell>
        </row>
        <row r="3234">
          <cell r="G3234" t="str">
            <v>NAMI Sake</v>
          </cell>
          <cell r="H3234" t="str">
            <v>Primos Imports LLC</v>
          </cell>
          <cell r="K3234" t="str">
            <v>Other Sellable</v>
          </cell>
          <cell r="L3234" t="str">
            <v>No</v>
          </cell>
        </row>
        <row r="3235">
          <cell r="G3235" t="str">
            <v>NAMI Sake</v>
          </cell>
          <cell r="H3235" t="str">
            <v>Primos Imports LLC</v>
          </cell>
          <cell r="K3235" t="str">
            <v>Other Sellable</v>
          </cell>
          <cell r="L3235" t="str">
            <v>No</v>
          </cell>
        </row>
        <row r="3236">
          <cell r="G3236" t="str">
            <v>NAMI Sake</v>
          </cell>
          <cell r="H3236" t="str">
            <v>Primos Imports LLC</v>
          </cell>
          <cell r="K3236" t="str">
            <v>Other Sellable</v>
          </cell>
          <cell r="L3236" t="str">
            <v>No</v>
          </cell>
        </row>
        <row r="3237">
          <cell r="G3237" t="str">
            <v>NAMI Sake</v>
          </cell>
          <cell r="H3237" t="str">
            <v>Primos Imports LLC</v>
          </cell>
          <cell r="K3237" t="str">
            <v>Other Sellable</v>
          </cell>
          <cell r="L3237" t="str">
            <v>No</v>
          </cell>
        </row>
        <row r="3238">
          <cell r="G3238" t="str">
            <v>NAMI Sake</v>
          </cell>
          <cell r="H3238" t="str">
            <v>Primos Imports LLC</v>
          </cell>
          <cell r="K3238" t="str">
            <v>Other Sellable</v>
          </cell>
          <cell r="L3238" t="str">
            <v>No</v>
          </cell>
        </row>
        <row r="3239">
          <cell r="G3239" t="str">
            <v>Happy Thursday Spiked Refresher</v>
          </cell>
          <cell r="H3239" t="str">
            <v>MolsonCoors Beverage Company</v>
          </cell>
          <cell r="K3239" t="str">
            <v>Package</v>
          </cell>
          <cell r="L3239" t="str">
            <v>No</v>
          </cell>
        </row>
        <row r="3240">
          <cell r="G3240" t="str">
            <v>Happy Thursday Spiked Refresher</v>
          </cell>
          <cell r="H3240" t="str">
            <v>MolsonCoors Beverage Company</v>
          </cell>
          <cell r="K3240" t="str">
            <v>Package</v>
          </cell>
          <cell r="L3240" t="str">
            <v>Yes</v>
          </cell>
        </row>
        <row r="3241">
          <cell r="G3241" t="str">
            <v>Happy Thursday Spiked Refresher</v>
          </cell>
          <cell r="H3241" t="str">
            <v>MolsonCoors Beverage Company</v>
          </cell>
          <cell r="K3241" t="str">
            <v>Package</v>
          </cell>
          <cell r="L3241" t="str">
            <v>Yes</v>
          </cell>
        </row>
        <row r="3242">
          <cell r="G3242" t="str">
            <v>Happy Thursday Spiked Refresher</v>
          </cell>
          <cell r="H3242" t="str">
            <v>MolsonCoors Beverage Company</v>
          </cell>
          <cell r="K3242" t="str">
            <v>Package</v>
          </cell>
          <cell r="L3242" t="str">
            <v>Yes</v>
          </cell>
        </row>
        <row r="3243">
          <cell r="G3243" t="str">
            <v>Topo Chico</v>
          </cell>
          <cell r="H3243" t="str">
            <v>MolsonCoors Beverage Company</v>
          </cell>
          <cell r="K3243" t="str">
            <v>Package</v>
          </cell>
          <cell r="L3243" t="str">
            <v>Yes</v>
          </cell>
        </row>
        <row r="3244">
          <cell r="G3244" t="str">
            <v>Topo Chico</v>
          </cell>
          <cell r="H3244" t="str">
            <v>MolsonCoors Beverage Company</v>
          </cell>
          <cell r="K3244" t="str">
            <v>Package</v>
          </cell>
          <cell r="L3244" t="str">
            <v>No</v>
          </cell>
        </row>
        <row r="3245">
          <cell r="G3245" t="str">
            <v>Topo Chico</v>
          </cell>
          <cell r="H3245" t="str">
            <v>MolsonCoors Beverage Company</v>
          </cell>
          <cell r="K3245" t="str">
            <v>Package</v>
          </cell>
          <cell r="L3245" t="str">
            <v>Yes</v>
          </cell>
        </row>
        <row r="3246">
          <cell r="G3246" t="str">
            <v>Topo Chico</v>
          </cell>
          <cell r="H3246" t="str">
            <v>MolsonCoors Beverage Company</v>
          </cell>
          <cell r="K3246" t="str">
            <v>Package</v>
          </cell>
          <cell r="L3246" t="str">
            <v>No</v>
          </cell>
        </row>
        <row r="3247">
          <cell r="G3247" t="str">
            <v>Topo Chico</v>
          </cell>
          <cell r="H3247" t="str">
            <v>MolsonCoors Beverage Company</v>
          </cell>
          <cell r="K3247" t="str">
            <v>Package</v>
          </cell>
          <cell r="L3247" t="str">
            <v>No</v>
          </cell>
        </row>
        <row r="3248">
          <cell r="G3248" t="str">
            <v>Topo Chico</v>
          </cell>
          <cell r="H3248" t="str">
            <v>MolsonCoors Beverage Company</v>
          </cell>
          <cell r="K3248" t="str">
            <v>Package</v>
          </cell>
          <cell r="L3248" t="str">
            <v>Yes</v>
          </cell>
        </row>
        <row r="3249">
          <cell r="G3249" t="str">
            <v>Topo Chico</v>
          </cell>
          <cell r="H3249" t="str">
            <v>MolsonCoors Beverage Company</v>
          </cell>
          <cell r="K3249" t="str">
            <v>Package</v>
          </cell>
          <cell r="L3249" t="str">
            <v>Yes</v>
          </cell>
        </row>
        <row r="3250">
          <cell r="G3250" t="str">
            <v>Topo Chico</v>
          </cell>
          <cell r="H3250" t="str">
            <v>MolsonCoors Beverage Company</v>
          </cell>
          <cell r="K3250" t="str">
            <v>Package</v>
          </cell>
          <cell r="L3250" t="str">
            <v>Yes</v>
          </cell>
        </row>
        <row r="3251">
          <cell r="G3251" t="str">
            <v>Redd's</v>
          </cell>
          <cell r="H3251" t="str">
            <v>MolsonCoors Beverage Company</v>
          </cell>
          <cell r="K3251" t="str">
            <v>Package</v>
          </cell>
          <cell r="L3251" t="str">
            <v>Yes</v>
          </cell>
        </row>
        <row r="3252">
          <cell r="G3252" t="str">
            <v>Redd's</v>
          </cell>
          <cell r="H3252" t="str">
            <v>MolsonCoors Beverage Company</v>
          </cell>
          <cell r="K3252" t="str">
            <v>Package</v>
          </cell>
          <cell r="L3252" t="str">
            <v>Yes</v>
          </cell>
        </row>
        <row r="3253">
          <cell r="G3253" t="str">
            <v>Redd's</v>
          </cell>
          <cell r="H3253" t="str">
            <v>MolsonCoors Beverage Company</v>
          </cell>
          <cell r="K3253" t="str">
            <v>Package</v>
          </cell>
          <cell r="L3253" t="str">
            <v>No</v>
          </cell>
        </row>
        <row r="3254">
          <cell r="G3254" t="str">
            <v>Redd's</v>
          </cell>
          <cell r="H3254" t="str">
            <v>MolsonCoors Beverage Company</v>
          </cell>
          <cell r="K3254" t="str">
            <v>Package</v>
          </cell>
          <cell r="L3254" t="str">
            <v>No</v>
          </cell>
        </row>
        <row r="3255">
          <cell r="G3255" t="str">
            <v>Redd's Wicked</v>
          </cell>
          <cell r="H3255" t="str">
            <v>MolsonCoors Beverage Company</v>
          </cell>
          <cell r="K3255" t="str">
            <v>Package</v>
          </cell>
          <cell r="L3255" t="str">
            <v>Yes</v>
          </cell>
        </row>
        <row r="3256">
          <cell r="G3256" t="str">
            <v>Redd's Wicked</v>
          </cell>
          <cell r="H3256" t="str">
            <v>MolsonCoors Beverage Company</v>
          </cell>
          <cell r="K3256" t="str">
            <v>Package</v>
          </cell>
          <cell r="L3256" t="str">
            <v>Yes</v>
          </cell>
        </row>
        <row r="3257">
          <cell r="G3257" t="str">
            <v>Redd's Wicked</v>
          </cell>
          <cell r="H3257" t="str">
            <v>MolsonCoors Beverage Company</v>
          </cell>
          <cell r="K3257" t="str">
            <v>Package</v>
          </cell>
          <cell r="L3257" t="str">
            <v>Yes</v>
          </cell>
        </row>
        <row r="3258">
          <cell r="G3258" t="str">
            <v>Simply Spiked</v>
          </cell>
          <cell r="H3258" t="str">
            <v>MolsonCoors Beverage Company</v>
          </cell>
          <cell r="K3258" t="str">
            <v>Package</v>
          </cell>
          <cell r="L3258" t="str">
            <v>Yes</v>
          </cell>
        </row>
        <row r="3259">
          <cell r="G3259" t="str">
            <v>Simply Spiked</v>
          </cell>
          <cell r="H3259" t="str">
            <v>MolsonCoors Beverage Company</v>
          </cell>
          <cell r="K3259" t="str">
            <v>Package</v>
          </cell>
          <cell r="L3259" t="str">
            <v>No</v>
          </cell>
        </row>
        <row r="3260">
          <cell r="G3260" t="str">
            <v>Simply Spiked</v>
          </cell>
          <cell r="H3260" t="str">
            <v>MolsonCoors Beverage Company</v>
          </cell>
          <cell r="K3260" t="str">
            <v>Package</v>
          </cell>
          <cell r="L3260" t="str">
            <v>No</v>
          </cell>
        </row>
        <row r="3261">
          <cell r="G3261" t="str">
            <v>Simply Spiked</v>
          </cell>
          <cell r="H3261" t="str">
            <v>MolsonCoors Beverage Company</v>
          </cell>
          <cell r="K3261" t="str">
            <v>Package</v>
          </cell>
          <cell r="L3261" t="str">
            <v>Yes</v>
          </cell>
        </row>
        <row r="3262">
          <cell r="G3262" t="str">
            <v>Simply Spiked</v>
          </cell>
          <cell r="H3262" t="str">
            <v>MolsonCoors Beverage Company</v>
          </cell>
          <cell r="K3262" t="str">
            <v>Package</v>
          </cell>
          <cell r="L3262" t="str">
            <v>Yes</v>
          </cell>
        </row>
        <row r="3263">
          <cell r="G3263" t="str">
            <v>Simply Spiked</v>
          </cell>
          <cell r="H3263" t="str">
            <v>MolsonCoors Beverage Company</v>
          </cell>
          <cell r="K3263" t="str">
            <v>Package</v>
          </cell>
          <cell r="L3263" t="str">
            <v>Yes</v>
          </cell>
        </row>
        <row r="3264">
          <cell r="G3264" t="str">
            <v>Simply Spiked</v>
          </cell>
          <cell r="H3264" t="str">
            <v>MolsonCoors Beverage Company</v>
          </cell>
          <cell r="K3264" t="str">
            <v>Package</v>
          </cell>
          <cell r="L3264" t="str">
            <v>Yes</v>
          </cell>
        </row>
        <row r="3265">
          <cell r="G3265" t="str">
            <v>Vizzy</v>
          </cell>
          <cell r="H3265" t="str">
            <v>MolsonCoors Beverage Company</v>
          </cell>
          <cell r="K3265" t="str">
            <v>Package</v>
          </cell>
          <cell r="L3265" t="str">
            <v>Yes</v>
          </cell>
        </row>
        <row r="3266">
          <cell r="G3266" t="str">
            <v>Vizzy</v>
          </cell>
          <cell r="H3266" t="str">
            <v>MolsonCoors Beverage Company</v>
          </cell>
          <cell r="K3266" t="str">
            <v>Package</v>
          </cell>
          <cell r="L3266" t="str">
            <v>Yes</v>
          </cell>
        </row>
        <row r="3267">
          <cell r="G3267" t="str">
            <v>Vizzy</v>
          </cell>
          <cell r="H3267" t="str">
            <v>MolsonCoors Beverage Company</v>
          </cell>
          <cell r="K3267" t="str">
            <v>Package</v>
          </cell>
          <cell r="L3267" t="str">
            <v>Yes</v>
          </cell>
        </row>
        <row r="3268">
          <cell r="G3268" t="str">
            <v>Vizzy</v>
          </cell>
          <cell r="H3268" t="str">
            <v>MolsonCoors Beverage Company</v>
          </cell>
          <cell r="K3268" t="str">
            <v>Package</v>
          </cell>
          <cell r="L3268" t="str">
            <v>No</v>
          </cell>
        </row>
        <row r="3269">
          <cell r="G3269" t="str">
            <v>Arnold Palmer</v>
          </cell>
          <cell r="H3269" t="str">
            <v>MolsonCoors Beverage Company</v>
          </cell>
          <cell r="K3269" t="str">
            <v>Package</v>
          </cell>
          <cell r="L3269" t="str">
            <v>Yes</v>
          </cell>
        </row>
        <row r="3270">
          <cell r="G3270" t="str">
            <v>Arnold Palmer</v>
          </cell>
          <cell r="H3270" t="str">
            <v>MolsonCoors Beverage Company</v>
          </cell>
          <cell r="K3270" t="str">
            <v>Package</v>
          </cell>
          <cell r="L3270" t="str">
            <v>Yes</v>
          </cell>
        </row>
        <row r="3271">
          <cell r="G3271" t="str">
            <v>Arnold Palmer</v>
          </cell>
          <cell r="H3271" t="str">
            <v>MolsonCoors Beverage Company</v>
          </cell>
          <cell r="K3271" t="str">
            <v>Package</v>
          </cell>
          <cell r="L3271" t="str">
            <v>Yes</v>
          </cell>
        </row>
        <row r="3272">
          <cell r="G3272" t="str">
            <v>Arnold Palmer</v>
          </cell>
          <cell r="H3272" t="str">
            <v>MolsonCoors Beverage Company</v>
          </cell>
          <cell r="K3272" t="str">
            <v>Package</v>
          </cell>
          <cell r="L3272" t="str">
            <v>No</v>
          </cell>
        </row>
        <row r="3273">
          <cell r="G3273" t="str">
            <v>Arnold Palmer</v>
          </cell>
          <cell r="H3273" t="str">
            <v>MolsonCoors Beverage Company</v>
          </cell>
          <cell r="K3273" t="str">
            <v>Package</v>
          </cell>
          <cell r="L3273" t="str">
            <v>No</v>
          </cell>
        </row>
        <row r="3274">
          <cell r="G3274" t="str">
            <v>Arnold Palmer</v>
          </cell>
          <cell r="H3274" t="str">
            <v>MolsonCoors Beverage Company</v>
          </cell>
          <cell r="K3274" t="str">
            <v>Package</v>
          </cell>
          <cell r="L3274" t="str">
            <v>No</v>
          </cell>
        </row>
        <row r="3275">
          <cell r="G3275" t="str">
            <v>Arnold Palmer</v>
          </cell>
          <cell r="H3275" t="str">
            <v>MolsonCoors Beverage Company</v>
          </cell>
          <cell r="K3275" t="str">
            <v>Package</v>
          </cell>
          <cell r="L3275" t="str">
            <v>Yes</v>
          </cell>
        </row>
        <row r="3276">
          <cell r="G3276" t="str">
            <v>Arnold Palmer</v>
          </cell>
          <cell r="H3276" t="str">
            <v>MolsonCoors Beverage Company</v>
          </cell>
          <cell r="K3276" t="str">
            <v>Package</v>
          </cell>
          <cell r="L3276" t="str">
            <v>Yes</v>
          </cell>
        </row>
        <row r="3277">
          <cell r="G3277" t="str">
            <v>Arnold Palmer</v>
          </cell>
          <cell r="H3277" t="str">
            <v>MolsonCoors Beverage Company</v>
          </cell>
          <cell r="K3277" t="str">
            <v>Package</v>
          </cell>
          <cell r="L3277" t="str">
            <v>No</v>
          </cell>
        </row>
        <row r="3278">
          <cell r="G3278" t="str">
            <v>Arnold Palmer</v>
          </cell>
          <cell r="H3278" t="str">
            <v>MolsonCoors Beverage Company</v>
          </cell>
          <cell r="K3278" t="str">
            <v>Package</v>
          </cell>
          <cell r="L3278" t="str">
            <v>Yes</v>
          </cell>
        </row>
        <row r="3279">
          <cell r="G3279" t="str">
            <v>Arnold Palmer</v>
          </cell>
          <cell r="H3279" t="str">
            <v>MolsonCoors Beverage Company</v>
          </cell>
          <cell r="K3279" t="str">
            <v>Package</v>
          </cell>
          <cell r="L3279" t="str">
            <v>Yes</v>
          </cell>
        </row>
        <row r="3280">
          <cell r="G3280" t="str">
            <v>Simply Spiked</v>
          </cell>
          <cell r="H3280" t="str">
            <v>MolsonCoors Beverage Company</v>
          </cell>
          <cell r="K3280" t="str">
            <v>Package</v>
          </cell>
          <cell r="L3280" t="str">
            <v>Yes</v>
          </cell>
        </row>
        <row r="3281">
          <cell r="G3281" t="str">
            <v>Simply Spiked</v>
          </cell>
          <cell r="H3281" t="str">
            <v>MolsonCoors Beverage Company</v>
          </cell>
          <cell r="K3281" t="str">
            <v>Package</v>
          </cell>
          <cell r="L3281" t="str">
            <v>Yes</v>
          </cell>
        </row>
        <row r="3282">
          <cell r="G3282" t="str">
            <v>Simply Spiked</v>
          </cell>
          <cell r="H3282" t="str">
            <v>MolsonCoors Beverage Company</v>
          </cell>
          <cell r="K3282" t="str">
            <v>Package</v>
          </cell>
          <cell r="L3282" t="str">
            <v>Yes</v>
          </cell>
        </row>
        <row r="3283">
          <cell r="G3283" t="str">
            <v>Simply Spiked</v>
          </cell>
          <cell r="H3283" t="str">
            <v>MolsonCoors Beverage Company</v>
          </cell>
          <cell r="K3283" t="str">
            <v>Package</v>
          </cell>
          <cell r="L3283" t="str">
            <v>No</v>
          </cell>
        </row>
        <row r="3284">
          <cell r="G3284" t="str">
            <v>Simply Spiked</v>
          </cell>
          <cell r="H3284" t="str">
            <v>MolsonCoors Beverage Company</v>
          </cell>
          <cell r="K3284" t="str">
            <v>Package</v>
          </cell>
          <cell r="L3284" t="str">
            <v>Yes</v>
          </cell>
        </row>
        <row r="3285">
          <cell r="G3285" t="str">
            <v>Simply Spiked</v>
          </cell>
          <cell r="H3285" t="str">
            <v>MolsonCoors Beverage Company</v>
          </cell>
          <cell r="K3285" t="str">
            <v>Package</v>
          </cell>
          <cell r="L3285" t="str">
            <v>Yes</v>
          </cell>
        </row>
        <row r="3286">
          <cell r="G3286" t="str">
            <v>Simply Spiked</v>
          </cell>
          <cell r="H3286" t="str">
            <v>MolsonCoors Beverage Company</v>
          </cell>
          <cell r="K3286" t="str">
            <v>Package</v>
          </cell>
          <cell r="L3286" t="str">
            <v>Yes</v>
          </cell>
        </row>
        <row r="3287">
          <cell r="G3287" t="str">
            <v>Dos Equis</v>
          </cell>
          <cell r="H3287" t="str">
            <v>Heineken USA</v>
          </cell>
          <cell r="K3287" t="str">
            <v>Other Sellable</v>
          </cell>
          <cell r="L3287" t="str">
            <v>No</v>
          </cell>
        </row>
        <row r="3288">
          <cell r="G3288" t="str">
            <v>Modelo Aquas Frescas</v>
          </cell>
          <cell r="H3288" t="str">
            <v>Constellation Brands</v>
          </cell>
          <cell r="K3288" t="str">
            <v>Package</v>
          </cell>
          <cell r="L3288" t="str">
            <v>Yes</v>
          </cell>
        </row>
        <row r="3289">
          <cell r="G3289" t="str">
            <v>Noca</v>
          </cell>
          <cell r="H3289" t="str">
            <v>Noca Beverages</v>
          </cell>
          <cell r="K3289" t="str">
            <v>Package</v>
          </cell>
          <cell r="L3289" t="str">
            <v>Yes</v>
          </cell>
        </row>
        <row r="3290">
          <cell r="G3290" t="str">
            <v>Noca</v>
          </cell>
          <cell r="H3290" t="str">
            <v>Noca Beverages</v>
          </cell>
          <cell r="K3290" t="str">
            <v>Package</v>
          </cell>
          <cell r="L3290" t="str">
            <v>Yes</v>
          </cell>
        </row>
        <row r="3291">
          <cell r="G3291" t="str">
            <v>Noca</v>
          </cell>
          <cell r="H3291" t="str">
            <v>Noca Beverages</v>
          </cell>
          <cell r="K3291" t="str">
            <v>Package</v>
          </cell>
          <cell r="L3291" t="str">
            <v>Yes</v>
          </cell>
        </row>
        <row r="3292">
          <cell r="G3292" t="str">
            <v>Noca</v>
          </cell>
          <cell r="H3292" t="str">
            <v>Noca Beverages</v>
          </cell>
          <cell r="K3292" t="str">
            <v>Package</v>
          </cell>
          <cell r="L3292" t="str">
            <v>Yes</v>
          </cell>
        </row>
        <row r="3293">
          <cell r="G3293" t="str">
            <v>Noca</v>
          </cell>
          <cell r="H3293" t="str">
            <v>Noca Beverages</v>
          </cell>
          <cell r="K3293" t="str">
            <v>Package</v>
          </cell>
          <cell r="L3293" t="str">
            <v>Yes</v>
          </cell>
        </row>
        <row r="3294">
          <cell r="G3294" t="str">
            <v>Noca</v>
          </cell>
          <cell r="H3294" t="str">
            <v>Noca Beverages</v>
          </cell>
          <cell r="K3294" t="str">
            <v>Package</v>
          </cell>
          <cell r="L3294" t="str">
            <v>Yes</v>
          </cell>
        </row>
        <row r="3295">
          <cell r="G3295" t="str">
            <v>Noca</v>
          </cell>
          <cell r="H3295" t="str">
            <v>Noca Beverages</v>
          </cell>
          <cell r="K3295" t="str">
            <v>Package</v>
          </cell>
          <cell r="L3295" t="str">
            <v>Yes</v>
          </cell>
        </row>
        <row r="3296">
          <cell r="G3296" t="str">
            <v>Noca</v>
          </cell>
          <cell r="H3296" t="str">
            <v>Noca Beverages</v>
          </cell>
          <cell r="K3296" t="str">
            <v>Package</v>
          </cell>
          <cell r="L3296" t="str">
            <v>Yes</v>
          </cell>
        </row>
        <row r="3297">
          <cell r="G3297" t="str">
            <v>Pabst Blue Ribbon</v>
          </cell>
          <cell r="H3297" t="str">
            <v>Pabst Brewing Company</v>
          </cell>
          <cell r="K3297" t="str">
            <v>Package</v>
          </cell>
          <cell r="L3297" t="str">
            <v>No</v>
          </cell>
        </row>
        <row r="3298">
          <cell r="G3298" t="str">
            <v>Pabst Blue Ribbon</v>
          </cell>
          <cell r="H3298" t="str">
            <v>Pabst Brewing Company</v>
          </cell>
          <cell r="K3298" t="str">
            <v>Package</v>
          </cell>
          <cell r="L3298" t="str">
            <v>No</v>
          </cell>
        </row>
        <row r="3299">
          <cell r="G3299" t="str">
            <v>Pabst Blue Ribbon</v>
          </cell>
          <cell r="H3299" t="str">
            <v>Pabst Brewing Company</v>
          </cell>
          <cell r="K3299" t="str">
            <v>Package</v>
          </cell>
          <cell r="L3299" t="str">
            <v>No</v>
          </cell>
        </row>
        <row r="3300">
          <cell r="G3300" t="str">
            <v>Pabst Blue Ribbon</v>
          </cell>
          <cell r="H3300" t="str">
            <v>Pabst Brewing Company</v>
          </cell>
          <cell r="K3300" t="str">
            <v>Package</v>
          </cell>
          <cell r="L3300" t="str">
            <v>No</v>
          </cell>
        </row>
        <row r="3301">
          <cell r="G3301" t="str">
            <v>Pabst Blue Ribbon</v>
          </cell>
          <cell r="H3301" t="str">
            <v>Pabst Brewing Company</v>
          </cell>
          <cell r="K3301" t="str">
            <v>Package</v>
          </cell>
          <cell r="L3301" t="str">
            <v>No</v>
          </cell>
        </row>
        <row r="3302">
          <cell r="G3302" t="str">
            <v>Jack Daniels Country Cocktails</v>
          </cell>
          <cell r="H3302" t="str">
            <v>Pabst Brewing Company</v>
          </cell>
          <cell r="K3302" t="str">
            <v>Package</v>
          </cell>
          <cell r="L3302" t="str">
            <v>Yes</v>
          </cell>
        </row>
        <row r="3303">
          <cell r="G3303" t="str">
            <v>Jack Daniels Country Cocktails</v>
          </cell>
          <cell r="H3303" t="str">
            <v>Pabst Brewing Company</v>
          </cell>
          <cell r="K3303" t="str">
            <v>Package</v>
          </cell>
          <cell r="L3303" t="str">
            <v>No</v>
          </cell>
        </row>
        <row r="3304">
          <cell r="G3304" t="str">
            <v>Jack Daniels Country Cocktails</v>
          </cell>
          <cell r="H3304" t="str">
            <v>Pabst Brewing Company</v>
          </cell>
          <cell r="K3304" t="str">
            <v>Package</v>
          </cell>
          <cell r="L3304" t="str">
            <v>Yes</v>
          </cell>
        </row>
        <row r="3305">
          <cell r="G3305" t="str">
            <v>Jack Daniels Country Cocktails</v>
          </cell>
          <cell r="H3305" t="str">
            <v>Pabst Brewing Company</v>
          </cell>
          <cell r="K3305" t="str">
            <v>Package</v>
          </cell>
          <cell r="L3305" t="str">
            <v>Yes</v>
          </cell>
        </row>
        <row r="3306">
          <cell r="G3306" t="str">
            <v>Jack Daniels Country Cocktails</v>
          </cell>
          <cell r="H3306" t="str">
            <v>Pabst Brewing Company</v>
          </cell>
          <cell r="K3306" t="str">
            <v>Package</v>
          </cell>
          <cell r="L3306" t="str">
            <v>Yes</v>
          </cell>
        </row>
        <row r="3307">
          <cell r="G3307" t="str">
            <v>Jack Daniels Country Cocktails</v>
          </cell>
          <cell r="H3307" t="str">
            <v>Pabst Brewing Company</v>
          </cell>
          <cell r="K3307" t="str">
            <v>Package</v>
          </cell>
          <cell r="L3307" t="str">
            <v>Yes</v>
          </cell>
        </row>
        <row r="3308">
          <cell r="G3308" t="str">
            <v>Jack Daniels Country Cocktails</v>
          </cell>
          <cell r="H3308" t="str">
            <v>Pabst Brewing Company</v>
          </cell>
          <cell r="K3308" t="str">
            <v>Package</v>
          </cell>
          <cell r="L3308" t="str">
            <v>Yes</v>
          </cell>
        </row>
        <row r="3309">
          <cell r="G3309" t="str">
            <v>Jack Daniels Country Cocktails</v>
          </cell>
          <cell r="H3309" t="str">
            <v>Pabst Brewing Company</v>
          </cell>
          <cell r="K3309" t="str">
            <v>Package</v>
          </cell>
          <cell r="L3309" t="str">
            <v>No</v>
          </cell>
        </row>
        <row r="3310">
          <cell r="G3310" t="str">
            <v>Jack Daniels Country Cocktails</v>
          </cell>
          <cell r="H3310" t="str">
            <v>Pabst Brewing Company</v>
          </cell>
          <cell r="K3310" t="str">
            <v>Package</v>
          </cell>
          <cell r="L3310" t="str">
            <v>No</v>
          </cell>
        </row>
        <row r="3311">
          <cell r="G3311" t="str">
            <v>Jack Daniels Country Cocktails</v>
          </cell>
          <cell r="H3311" t="str">
            <v>Pabst Brewing Company</v>
          </cell>
          <cell r="K3311" t="str">
            <v>Package</v>
          </cell>
          <cell r="L3311" t="str">
            <v>Yes</v>
          </cell>
        </row>
        <row r="3312">
          <cell r="G3312" t="str">
            <v>Jack Daniels Country Cocktails</v>
          </cell>
          <cell r="H3312" t="str">
            <v>Pabst Brewing Company</v>
          </cell>
          <cell r="K3312" t="str">
            <v>Package</v>
          </cell>
          <cell r="L3312" t="str">
            <v>Yes</v>
          </cell>
        </row>
        <row r="3313">
          <cell r="G3313" t="str">
            <v>Jack Daniels Country Cocktails</v>
          </cell>
          <cell r="H3313" t="str">
            <v>Pabst Brewing Company</v>
          </cell>
          <cell r="K3313" t="str">
            <v>Package</v>
          </cell>
          <cell r="L3313" t="str">
            <v>No</v>
          </cell>
        </row>
        <row r="3314">
          <cell r="G3314" t="str">
            <v>Jack Daniels Country Cocktails</v>
          </cell>
          <cell r="H3314" t="str">
            <v>Pabst Brewing Company</v>
          </cell>
          <cell r="K3314" t="str">
            <v>Package</v>
          </cell>
          <cell r="L3314" t="str">
            <v>No</v>
          </cell>
        </row>
        <row r="3315">
          <cell r="G3315" t="str">
            <v>Jack Daniels Country Cocktails</v>
          </cell>
          <cell r="H3315" t="str">
            <v>Pabst Brewing Company</v>
          </cell>
          <cell r="K3315" t="str">
            <v>Package</v>
          </cell>
          <cell r="L3315" t="str">
            <v>No</v>
          </cell>
        </row>
        <row r="3316">
          <cell r="G3316" t="str">
            <v>Jack Daniels Country Cocktails</v>
          </cell>
          <cell r="H3316" t="str">
            <v>Pabst Brewing Company</v>
          </cell>
          <cell r="K3316" t="str">
            <v>Package</v>
          </cell>
          <cell r="L3316" t="str">
            <v>No</v>
          </cell>
        </row>
        <row r="3317">
          <cell r="G3317" t="str">
            <v>Jack Daniels Country Cocktails</v>
          </cell>
          <cell r="H3317" t="str">
            <v>Pabst Brewing Company</v>
          </cell>
          <cell r="K3317" t="str">
            <v>Package</v>
          </cell>
          <cell r="L3317" t="str">
            <v>No</v>
          </cell>
        </row>
        <row r="3318">
          <cell r="G3318" t="str">
            <v>Jack Daniels Country Cocktails</v>
          </cell>
          <cell r="H3318" t="str">
            <v>Pabst Brewing Company</v>
          </cell>
          <cell r="K3318" t="str">
            <v>Package</v>
          </cell>
          <cell r="L3318" t="str">
            <v>Yes</v>
          </cell>
        </row>
        <row r="3319">
          <cell r="G3319" t="str">
            <v>Jack Daniels Country Cocktails</v>
          </cell>
          <cell r="H3319" t="str">
            <v>Pabst Brewing Company</v>
          </cell>
          <cell r="K3319" t="str">
            <v>Package</v>
          </cell>
          <cell r="L3319" t="str">
            <v>No</v>
          </cell>
        </row>
        <row r="3320">
          <cell r="G3320" t="str">
            <v>Jack Daniels Country Cocktails</v>
          </cell>
          <cell r="H3320" t="str">
            <v>Pabst Brewing Company</v>
          </cell>
          <cell r="K3320" t="str">
            <v>Package</v>
          </cell>
          <cell r="L3320" t="str">
            <v>Yes</v>
          </cell>
        </row>
        <row r="3321">
          <cell r="G3321" t="str">
            <v>Jack Daniels Country Cocktails</v>
          </cell>
          <cell r="H3321" t="str">
            <v>Pabst Brewing Company</v>
          </cell>
          <cell r="K3321" t="str">
            <v>Package</v>
          </cell>
          <cell r="L3321" t="str">
            <v>Yes</v>
          </cell>
        </row>
        <row r="3322">
          <cell r="G3322" t="str">
            <v>Jack Daniels Country Cocktails</v>
          </cell>
          <cell r="H3322" t="str">
            <v>Pabst Brewing Company</v>
          </cell>
          <cell r="K3322" t="str">
            <v>Package</v>
          </cell>
          <cell r="L3322" t="str">
            <v>No</v>
          </cell>
        </row>
        <row r="3323">
          <cell r="G3323" t="str">
            <v>Jack Daniels Country Cocktails</v>
          </cell>
          <cell r="H3323" t="str">
            <v>Pabst Brewing Company</v>
          </cell>
          <cell r="K3323" t="str">
            <v>Package</v>
          </cell>
          <cell r="L3323" t="str">
            <v>No</v>
          </cell>
        </row>
        <row r="3324">
          <cell r="G3324" t="str">
            <v>Jack Daniels Country Cocktails</v>
          </cell>
          <cell r="H3324" t="str">
            <v>Pabst Brewing Company</v>
          </cell>
          <cell r="K3324" t="str">
            <v>Package</v>
          </cell>
          <cell r="L3324" t="str">
            <v>Yes</v>
          </cell>
        </row>
        <row r="3325">
          <cell r="G3325" t="str">
            <v>Jack Daniels Country Cocktails</v>
          </cell>
          <cell r="H3325" t="str">
            <v>Pabst Brewing Company</v>
          </cell>
          <cell r="K3325" t="str">
            <v>Package</v>
          </cell>
          <cell r="L3325" t="str">
            <v>Yes</v>
          </cell>
        </row>
        <row r="3326">
          <cell r="G3326" t="str">
            <v>Four Loko</v>
          </cell>
          <cell r="H3326" t="str">
            <v>Phusion Projects</v>
          </cell>
          <cell r="K3326" t="str">
            <v>Package</v>
          </cell>
          <cell r="L3326" t="str">
            <v>Yes</v>
          </cell>
        </row>
        <row r="3327">
          <cell r="G3327" t="str">
            <v>Four Loko</v>
          </cell>
          <cell r="H3327" t="str">
            <v>Phusion Projects</v>
          </cell>
          <cell r="K3327" t="str">
            <v>Package</v>
          </cell>
          <cell r="L3327" t="str">
            <v>Yes</v>
          </cell>
        </row>
        <row r="3328">
          <cell r="G3328" t="str">
            <v>Four Loko</v>
          </cell>
          <cell r="H3328" t="str">
            <v>Phusion Projects</v>
          </cell>
          <cell r="K3328" t="str">
            <v>Package</v>
          </cell>
          <cell r="L3328" t="str">
            <v>Yes</v>
          </cell>
        </row>
        <row r="3329">
          <cell r="G3329" t="str">
            <v>Four Loko</v>
          </cell>
          <cell r="H3329" t="str">
            <v>Phusion Projects</v>
          </cell>
          <cell r="K3329" t="str">
            <v>Package</v>
          </cell>
          <cell r="L3329" t="str">
            <v>Yes</v>
          </cell>
        </row>
        <row r="3330">
          <cell r="G3330" t="str">
            <v>Four Loko</v>
          </cell>
          <cell r="H3330" t="str">
            <v>Phusion Projects</v>
          </cell>
          <cell r="K3330" t="str">
            <v>Package</v>
          </cell>
          <cell r="L3330" t="str">
            <v>Yes</v>
          </cell>
        </row>
        <row r="3331">
          <cell r="G3331" t="str">
            <v>Four Loko</v>
          </cell>
          <cell r="H3331" t="str">
            <v>Phusion Projects</v>
          </cell>
          <cell r="K3331" t="str">
            <v>Package</v>
          </cell>
          <cell r="L3331" t="str">
            <v>Yes</v>
          </cell>
        </row>
        <row r="3332">
          <cell r="G3332" t="str">
            <v>Four Loko</v>
          </cell>
          <cell r="H3332" t="str">
            <v>Phusion Projects</v>
          </cell>
          <cell r="K3332" t="str">
            <v>Package</v>
          </cell>
          <cell r="L3332" t="str">
            <v>Yes</v>
          </cell>
        </row>
        <row r="3333">
          <cell r="G3333" t="str">
            <v>Four Loko</v>
          </cell>
          <cell r="H3333" t="str">
            <v>Phusion Projects</v>
          </cell>
          <cell r="K3333" t="str">
            <v>Package</v>
          </cell>
          <cell r="L3333" t="str">
            <v>Yes</v>
          </cell>
        </row>
        <row r="3334">
          <cell r="G3334" t="str">
            <v>Four Loko</v>
          </cell>
          <cell r="H3334" t="str">
            <v>Phusion Projects</v>
          </cell>
          <cell r="K3334" t="str">
            <v>Package</v>
          </cell>
          <cell r="L3334" t="str">
            <v>No</v>
          </cell>
        </row>
        <row r="3335">
          <cell r="G3335" t="str">
            <v>Four Loko</v>
          </cell>
          <cell r="H3335" t="str">
            <v>Phusion Projects</v>
          </cell>
          <cell r="K3335" t="str">
            <v>Package</v>
          </cell>
          <cell r="L3335" t="str">
            <v>No</v>
          </cell>
        </row>
        <row r="3336">
          <cell r="G3336" t="str">
            <v>Four Loko</v>
          </cell>
          <cell r="H3336" t="str">
            <v>Phusion Projects</v>
          </cell>
          <cell r="K3336" t="str">
            <v>Package</v>
          </cell>
          <cell r="L3336" t="str">
            <v>Yes</v>
          </cell>
        </row>
        <row r="3337">
          <cell r="G3337" t="str">
            <v>Four Loko</v>
          </cell>
          <cell r="H3337" t="str">
            <v>Phusion Projects</v>
          </cell>
          <cell r="K3337" t="str">
            <v>Package</v>
          </cell>
          <cell r="L3337" t="str">
            <v>Yes</v>
          </cell>
        </row>
        <row r="3338">
          <cell r="G3338" t="str">
            <v>Four Loko</v>
          </cell>
          <cell r="H3338" t="str">
            <v>Phusion Projects</v>
          </cell>
          <cell r="K3338" t="str">
            <v>Package</v>
          </cell>
          <cell r="L3338" t="str">
            <v>Yes</v>
          </cell>
        </row>
        <row r="3339">
          <cell r="G3339" t="str">
            <v>Four Loko</v>
          </cell>
          <cell r="H3339" t="str">
            <v>Phusion Projects</v>
          </cell>
          <cell r="K3339" t="str">
            <v>Package</v>
          </cell>
          <cell r="L3339" t="str">
            <v>Yes</v>
          </cell>
        </row>
        <row r="3340">
          <cell r="G3340" t="str">
            <v>Four Loko</v>
          </cell>
          <cell r="H3340" t="str">
            <v>Phusion Projects</v>
          </cell>
          <cell r="K3340" t="str">
            <v>Package</v>
          </cell>
          <cell r="L3340" t="str">
            <v>Yes</v>
          </cell>
        </row>
        <row r="3341">
          <cell r="G3341" t="str">
            <v>Four Loko</v>
          </cell>
          <cell r="H3341" t="str">
            <v>Phusion Projects</v>
          </cell>
          <cell r="K3341" t="str">
            <v>Package</v>
          </cell>
          <cell r="L3341" t="str">
            <v>Yes</v>
          </cell>
        </row>
        <row r="3342">
          <cell r="G3342" t="str">
            <v>Pirate Water</v>
          </cell>
          <cell r="H3342" t="str">
            <v>Phusion Projects</v>
          </cell>
          <cell r="K3342" t="str">
            <v>Package</v>
          </cell>
          <cell r="L3342" t="str">
            <v>No</v>
          </cell>
        </row>
        <row r="3343">
          <cell r="G3343" t="str">
            <v>Pirate Water</v>
          </cell>
          <cell r="H3343" t="str">
            <v>Phusion Projects</v>
          </cell>
          <cell r="K3343" t="str">
            <v>Package</v>
          </cell>
          <cell r="L3343" t="str">
            <v>No</v>
          </cell>
        </row>
        <row r="3344">
          <cell r="G3344" t="str">
            <v>Pirate Water</v>
          </cell>
          <cell r="H3344" t="str">
            <v>Phusion Projects</v>
          </cell>
          <cell r="K3344" t="str">
            <v>Package</v>
          </cell>
          <cell r="L3344" t="str">
            <v>No</v>
          </cell>
        </row>
        <row r="3345">
          <cell r="G3345" t="str">
            <v>Pirate Water</v>
          </cell>
          <cell r="H3345" t="str">
            <v>Phusion Projects</v>
          </cell>
          <cell r="K3345" t="str">
            <v>Package</v>
          </cell>
          <cell r="L3345" t="str">
            <v>No</v>
          </cell>
        </row>
        <row r="3346">
          <cell r="G3346" t="str">
            <v>Four Loko</v>
          </cell>
          <cell r="H3346" t="str">
            <v>Phusion Projects</v>
          </cell>
          <cell r="K3346" t="str">
            <v>Package</v>
          </cell>
          <cell r="L3346" t="str">
            <v>Yes</v>
          </cell>
        </row>
        <row r="3347">
          <cell r="G3347" t="str">
            <v>Wild Leaf</v>
          </cell>
          <cell r="H3347" t="str">
            <v>Boston Beer Company</v>
          </cell>
          <cell r="K3347" t="str">
            <v>Package</v>
          </cell>
          <cell r="L3347" t="str">
            <v>Yes</v>
          </cell>
        </row>
        <row r="3348">
          <cell r="G3348" t="str">
            <v>Wild Leaf</v>
          </cell>
          <cell r="H3348" t="str">
            <v>Boston Beer Company</v>
          </cell>
          <cell r="K3348" t="str">
            <v>Package</v>
          </cell>
          <cell r="L3348" t="str">
            <v>Yes</v>
          </cell>
        </row>
        <row r="3349">
          <cell r="G3349" t="str">
            <v>Wild Leaf</v>
          </cell>
          <cell r="H3349" t="str">
            <v>Boston Beer Company</v>
          </cell>
          <cell r="K3349" t="str">
            <v>Package</v>
          </cell>
          <cell r="L3349" t="str">
            <v>Yes</v>
          </cell>
        </row>
        <row r="3350">
          <cell r="G3350" t="str">
            <v>Jim Beam Kentucky</v>
          </cell>
          <cell r="H3350" t="str">
            <v>Boston Beer Company</v>
          </cell>
          <cell r="K3350" t="str">
            <v>Package</v>
          </cell>
          <cell r="L3350" t="str">
            <v>Yes</v>
          </cell>
        </row>
        <row r="3351">
          <cell r="G3351" t="str">
            <v>Jim Beam Kentucky</v>
          </cell>
          <cell r="H3351" t="str">
            <v>Boston Beer Company</v>
          </cell>
          <cell r="K3351" t="str">
            <v>Package</v>
          </cell>
          <cell r="L3351" t="str">
            <v>Yes</v>
          </cell>
        </row>
        <row r="3352">
          <cell r="G3352" t="str">
            <v>Jim Beam Kentucky</v>
          </cell>
          <cell r="H3352" t="str">
            <v>Boston Beer Company</v>
          </cell>
          <cell r="K3352" t="str">
            <v>Package</v>
          </cell>
          <cell r="L3352" t="str">
            <v>Yes</v>
          </cell>
        </row>
        <row r="3353">
          <cell r="G3353" t="str">
            <v>Twisted Tea</v>
          </cell>
          <cell r="H3353" t="str">
            <v>Boston Beer Company</v>
          </cell>
          <cell r="K3353" t="str">
            <v>Package</v>
          </cell>
          <cell r="L3353" t="str">
            <v>Yes</v>
          </cell>
        </row>
        <row r="3354">
          <cell r="G3354" t="str">
            <v>Twisted Tea</v>
          </cell>
          <cell r="H3354" t="str">
            <v>Boston Beer Company</v>
          </cell>
          <cell r="K3354" t="str">
            <v>Package</v>
          </cell>
          <cell r="L3354" t="str">
            <v>Yes</v>
          </cell>
        </row>
        <row r="3355">
          <cell r="G3355" t="str">
            <v>Twisted Tea</v>
          </cell>
          <cell r="H3355" t="str">
            <v>Boston Beer Company</v>
          </cell>
          <cell r="K3355" t="str">
            <v>Package</v>
          </cell>
          <cell r="L3355" t="str">
            <v>Yes</v>
          </cell>
        </row>
        <row r="3356">
          <cell r="G3356" t="str">
            <v>Twisted Tea</v>
          </cell>
          <cell r="H3356" t="str">
            <v>Boston Beer Company</v>
          </cell>
          <cell r="K3356" t="str">
            <v>Draft</v>
          </cell>
          <cell r="L3356" t="str">
            <v>Yes</v>
          </cell>
        </row>
        <row r="3357">
          <cell r="G3357" t="str">
            <v>Twisted Tea</v>
          </cell>
          <cell r="H3357" t="str">
            <v>Boston Beer Company</v>
          </cell>
          <cell r="K3357" t="str">
            <v>Package</v>
          </cell>
          <cell r="L3357" t="str">
            <v>Yes</v>
          </cell>
        </row>
        <row r="3358">
          <cell r="G3358" t="str">
            <v>Twisted Tea</v>
          </cell>
          <cell r="H3358" t="str">
            <v>Boston Beer Company</v>
          </cell>
          <cell r="K3358" t="str">
            <v>Package</v>
          </cell>
          <cell r="L3358" t="str">
            <v>Yes</v>
          </cell>
        </row>
        <row r="3359">
          <cell r="G3359" t="str">
            <v>Twisted Tea</v>
          </cell>
          <cell r="H3359" t="str">
            <v>Boston Beer Company</v>
          </cell>
          <cell r="K3359" t="str">
            <v>Package</v>
          </cell>
          <cell r="L3359" t="str">
            <v>Yes</v>
          </cell>
        </row>
        <row r="3360">
          <cell r="G3360" t="str">
            <v>Twisted Tea</v>
          </cell>
          <cell r="H3360" t="str">
            <v>Boston Beer Company</v>
          </cell>
          <cell r="K3360" t="str">
            <v>Package</v>
          </cell>
          <cell r="L3360" t="str">
            <v>Yes</v>
          </cell>
        </row>
        <row r="3361">
          <cell r="G3361" t="str">
            <v>Twisted Tea</v>
          </cell>
          <cell r="H3361" t="str">
            <v>Boston Beer Company</v>
          </cell>
          <cell r="K3361" t="str">
            <v>Package</v>
          </cell>
          <cell r="L3361" t="str">
            <v>Yes</v>
          </cell>
        </row>
        <row r="3362">
          <cell r="G3362" t="str">
            <v>Twisted Tea</v>
          </cell>
          <cell r="H3362" t="str">
            <v>Boston Beer Company</v>
          </cell>
          <cell r="K3362" t="str">
            <v>Package</v>
          </cell>
          <cell r="L3362" t="str">
            <v>Yes</v>
          </cell>
        </row>
        <row r="3363">
          <cell r="G3363" t="str">
            <v>Twisted Tea</v>
          </cell>
          <cell r="H3363" t="str">
            <v>Boston Beer Company</v>
          </cell>
          <cell r="K3363" t="str">
            <v>Package</v>
          </cell>
          <cell r="L3363" t="str">
            <v>Yes</v>
          </cell>
        </row>
        <row r="3364">
          <cell r="G3364" t="str">
            <v>Twisted Tea</v>
          </cell>
          <cell r="H3364" t="str">
            <v>Boston Beer Company</v>
          </cell>
          <cell r="K3364" t="str">
            <v>Package</v>
          </cell>
          <cell r="L3364" t="str">
            <v>Yes</v>
          </cell>
        </row>
        <row r="3365">
          <cell r="G3365" t="str">
            <v>Twisted Tea</v>
          </cell>
          <cell r="H3365" t="str">
            <v>Boston Beer Company</v>
          </cell>
          <cell r="K3365" t="str">
            <v>Package</v>
          </cell>
          <cell r="L3365" t="str">
            <v>Yes</v>
          </cell>
        </row>
        <row r="3366">
          <cell r="G3366" t="str">
            <v>Twisted Tea</v>
          </cell>
          <cell r="H3366" t="str">
            <v>Boston Beer Company</v>
          </cell>
          <cell r="K3366" t="str">
            <v>Package</v>
          </cell>
          <cell r="L3366" t="str">
            <v>Yes</v>
          </cell>
        </row>
        <row r="3367">
          <cell r="G3367" t="str">
            <v>Twisted Tea</v>
          </cell>
          <cell r="H3367" t="str">
            <v>Boston Beer Company</v>
          </cell>
          <cell r="K3367" t="str">
            <v>Package</v>
          </cell>
          <cell r="L3367" t="str">
            <v>Yes</v>
          </cell>
        </row>
        <row r="3368">
          <cell r="G3368" t="str">
            <v>Twisted Tea</v>
          </cell>
          <cell r="H3368" t="str">
            <v>Boston Beer Company</v>
          </cell>
          <cell r="K3368" t="str">
            <v>Package</v>
          </cell>
          <cell r="L3368" t="str">
            <v>Yes</v>
          </cell>
        </row>
        <row r="3369">
          <cell r="G3369" t="str">
            <v>Twisted Tea</v>
          </cell>
          <cell r="H3369" t="str">
            <v>Boston Beer Company</v>
          </cell>
          <cell r="K3369" t="str">
            <v>Package</v>
          </cell>
          <cell r="L3369" t="str">
            <v>Yes</v>
          </cell>
        </row>
        <row r="3370">
          <cell r="G3370" t="str">
            <v>Twisted Tea</v>
          </cell>
          <cell r="H3370" t="str">
            <v>Boston Beer Company</v>
          </cell>
          <cell r="K3370" t="str">
            <v>Package</v>
          </cell>
          <cell r="L3370" t="str">
            <v>Yes</v>
          </cell>
        </row>
        <row r="3371">
          <cell r="G3371" t="str">
            <v>Twisted Tea</v>
          </cell>
          <cell r="H3371" t="str">
            <v>Boston Beer Company</v>
          </cell>
          <cell r="K3371" t="str">
            <v>Package</v>
          </cell>
          <cell r="L3371" t="str">
            <v>Yes</v>
          </cell>
        </row>
        <row r="3372">
          <cell r="G3372" t="str">
            <v>Twisted Tea</v>
          </cell>
          <cell r="H3372" t="str">
            <v>Boston Beer Company</v>
          </cell>
          <cell r="K3372" t="str">
            <v>Package</v>
          </cell>
          <cell r="L3372" t="str">
            <v>Yes</v>
          </cell>
        </row>
        <row r="3373">
          <cell r="G3373" t="str">
            <v>Twisted Tea</v>
          </cell>
          <cell r="H3373" t="str">
            <v>Boston Beer Company</v>
          </cell>
          <cell r="K3373" t="str">
            <v>Package</v>
          </cell>
          <cell r="L3373" t="str">
            <v>Yes</v>
          </cell>
        </row>
        <row r="3374">
          <cell r="G3374" t="str">
            <v>Twisted Tea</v>
          </cell>
          <cell r="H3374" t="str">
            <v>Boston Beer Company</v>
          </cell>
          <cell r="K3374" t="str">
            <v>Package</v>
          </cell>
          <cell r="L3374" t="str">
            <v>Yes</v>
          </cell>
        </row>
        <row r="3375">
          <cell r="G3375" t="str">
            <v>Twisted Tea</v>
          </cell>
          <cell r="H3375" t="str">
            <v>Boston Beer Company</v>
          </cell>
          <cell r="K3375" t="str">
            <v>Package</v>
          </cell>
          <cell r="L3375" t="str">
            <v>Yes</v>
          </cell>
        </row>
        <row r="3376">
          <cell r="G3376" t="str">
            <v>Twisted Tea</v>
          </cell>
          <cell r="H3376" t="str">
            <v>Boston Beer Company</v>
          </cell>
          <cell r="K3376" t="str">
            <v>Package</v>
          </cell>
          <cell r="L3376" t="str">
            <v>Yes</v>
          </cell>
        </row>
        <row r="3377">
          <cell r="G3377" t="str">
            <v>Twisted Tea</v>
          </cell>
          <cell r="H3377" t="str">
            <v>Boston Beer Company</v>
          </cell>
          <cell r="K3377" t="str">
            <v>Package</v>
          </cell>
          <cell r="L3377" t="str">
            <v>Yes</v>
          </cell>
        </row>
        <row r="3378">
          <cell r="G3378" t="str">
            <v>Twisted Tea</v>
          </cell>
          <cell r="H3378" t="str">
            <v>Boston Beer Company</v>
          </cell>
          <cell r="K3378" t="str">
            <v>Draft</v>
          </cell>
          <cell r="L3378" t="str">
            <v>Yes</v>
          </cell>
        </row>
        <row r="3379">
          <cell r="G3379" t="str">
            <v>Twisted Tea</v>
          </cell>
          <cell r="H3379" t="str">
            <v>Boston Beer Company</v>
          </cell>
          <cell r="K3379" t="str">
            <v>Package</v>
          </cell>
          <cell r="L3379" t="str">
            <v>Yes</v>
          </cell>
        </row>
        <row r="3380">
          <cell r="G3380" t="str">
            <v>Twisted Tea</v>
          </cell>
          <cell r="H3380" t="str">
            <v>Boston Beer Company</v>
          </cell>
          <cell r="K3380" t="str">
            <v>Package</v>
          </cell>
          <cell r="L3380" t="str">
            <v>Yes</v>
          </cell>
        </row>
        <row r="3381">
          <cell r="G3381" t="str">
            <v>Twisted Tea</v>
          </cell>
          <cell r="H3381" t="str">
            <v>Boston Beer Company</v>
          </cell>
          <cell r="K3381" t="str">
            <v>Package</v>
          </cell>
          <cell r="L3381" t="str">
            <v>Yes</v>
          </cell>
        </row>
        <row r="3382">
          <cell r="G3382" t="str">
            <v>Twisted Tea</v>
          </cell>
          <cell r="H3382" t="str">
            <v>Boston Beer Company</v>
          </cell>
          <cell r="K3382" t="str">
            <v>Package</v>
          </cell>
          <cell r="L3382" t="str">
            <v>Yes</v>
          </cell>
        </row>
        <row r="3383">
          <cell r="G3383" t="str">
            <v>Twisted Tea</v>
          </cell>
          <cell r="H3383" t="str">
            <v>Boston Beer Company</v>
          </cell>
          <cell r="K3383" t="str">
            <v>Package</v>
          </cell>
          <cell r="L3383" t="str">
            <v>Yes</v>
          </cell>
        </row>
        <row r="3384">
          <cell r="G3384" t="str">
            <v>Twisted Tea</v>
          </cell>
          <cell r="H3384" t="str">
            <v>Boston Beer Company</v>
          </cell>
          <cell r="K3384" t="str">
            <v>Package</v>
          </cell>
          <cell r="L3384" t="str">
            <v>Yes</v>
          </cell>
        </row>
        <row r="3385">
          <cell r="G3385" t="str">
            <v>Twisted Tea</v>
          </cell>
          <cell r="H3385" t="str">
            <v>Boston Beer Company</v>
          </cell>
          <cell r="K3385" t="str">
            <v>Package</v>
          </cell>
          <cell r="L3385" t="str">
            <v>Yes</v>
          </cell>
        </row>
        <row r="3386">
          <cell r="G3386" t="str">
            <v>Twisted Tea</v>
          </cell>
          <cell r="H3386" t="str">
            <v>Boston Beer Company</v>
          </cell>
          <cell r="K3386" t="str">
            <v>Package</v>
          </cell>
          <cell r="L3386" t="str">
            <v>Yes</v>
          </cell>
        </row>
        <row r="3387">
          <cell r="G3387" t="str">
            <v>Twisted Tea</v>
          </cell>
          <cell r="H3387" t="str">
            <v>Boston Beer Company</v>
          </cell>
          <cell r="K3387" t="str">
            <v>Package</v>
          </cell>
          <cell r="L3387" t="str">
            <v>Yes</v>
          </cell>
        </row>
        <row r="3388">
          <cell r="G3388" t="str">
            <v>Twisted Tea</v>
          </cell>
          <cell r="H3388" t="str">
            <v>Boston Beer Company</v>
          </cell>
          <cell r="K3388" t="str">
            <v>Package</v>
          </cell>
          <cell r="L3388" t="str">
            <v>Yes</v>
          </cell>
        </row>
        <row r="3389">
          <cell r="G3389" t="str">
            <v>Twisted Tea</v>
          </cell>
          <cell r="H3389" t="str">
            <v>Boston Beer Company</v>
          </cell>
          <cell r="K3389" t="str">
            <v>Package</v>
          </cell>
          <cell r="L3389" t="str">
            <v>Yes</v>
          </cell>
        </row>
        <row r="3390">
          <cell r="G3390" t="str">
            <v>Twisted Tea</v>
          </cell>
          <cell r="H3390" t="str">
            <v>Boston Beer Company</v>
          </cell>
          <cell r="K3390" t="str">
            <v>Package</v>
          </cell>
          <cell r="L3390" t="str">
            <v>Yes</v>
          </cell>
        </row>
        <row r="3391">
          <cell r="G3391" t="str">
            <v>Twisted Tea</v>
          </cell>
          <cell r="H3391" t="str">
            <v>Boston Beer Company</v>
          </cell>
          <cell r="K3391" t="str">
            <v>Package</v>
          </cell>
          <cell r="L3391" t="str">
            <v>Yes</v>
          </cell>
        </row>
        <row r="3392">
          <cell r="G3392" t="str">
            <v>Twisted Tea</v>
          </cell>
          <cell r="H3392" t="str">
            <v>Boston Beer Company</v>
          </cell>
          <cell r="K3392" t="str">
            <v>Package</v>
          </cell>
          <cell r="L3392" t="str">
            <v>Yes</v>
          </cell>
        </row>
        <row r="3393">
          <cell r="G3393" t="str">
            <v>Twisted Tea</v>
          </cell>
          <cell r="H3393" t="str">
            <v>Boston Beer Company</v>
          </cell>
          <cell r="K3393" t="str">
            <v>Package</v>
          </cell>
          <cell r="L3393" t="str">
            <v>Yes</v>
          </cell>
        </row>
        <row r="3394">
          <cell r="G3394" t="str">
            <v>Twisted Tea</v>
          </cell>
          <cell r="H3394" t="str">
            <v>Boston Beer Company</v>
          </cell>
          <cell r="K3394" t="str">
            <v>Package</v>
          </cell>
          <cell r="L3394" t="str">
            <v>Yes</v>
          </cell>
        </row>
        <row r="3395">
          <cell r="G3395" t="str">
            <v>Mike's Harder</v>
          </cell>
          <cell r="H3395" t="str">
            <v>Mark Anthony</v>
          </cell>
          <cell r="K3395" t="str">
            <v>Package</v>
          </cell>
          <cell r="L3395" t="str">
            <v>Yes</v>
          </cell>
        </row>
        <row r="3396">
          <cell r="G3396" t="str">
            <v>Mike's Hard Lemonade</v>
          </cell>
          <cell r="H3396" t="str">
            <v>Mark Anthony</v>
          </cell>
          <cell r="K3396" t="str">
            <v>Package</v>
          </cell>
          <cell r="L3396" t="str">
            <v>Yes</v>
          </cell>
        </row>
        <row r="3397">
          <cell r="G3397" t="str">
            <v>Mike's Hard Lemonade</v>
          </cell>
          <cell r="H3397" t="str">
            <v>Mark Anthony</v>
          </cell>
          <cell r="K3397" t="str">
            <v>Package</v>
          </cell>
          <cell r="L3397" t="str">
            <v>Yes</v>
          </cell>
        </row>
        <row r="3398">
          <cell r="G3398" t="str">
            <v>Mike's Harder</v>
          </cell>
          <cell r="H3398" t="str">
            <v>Mark Anthony</v>
          </cell>
          <cell r="K3398" t="str">
            <v>Package</v>
          </cell>
          <cell r="L3398" t="str">
            <v>Yes</v>
          </cell>
        </row>
        <row r="3399">
          <cell r="G3399" t="str">
            <v>Mike's Harder</v>
          </cell>
          <cell r="H3399" t="str">
            <v>Mark Anthony</v>
          </cell>
          <cell r="K3399" t="str">
            <v>Package</v>
          </cell>
          <cell r="L3399" t="str">
            <v>Yes</v>
          </cell>
        </row>
        <row r="3400">
          <cell r="G3400" t="str">
            <v>Mike's Hard Lemonade</v>
          </cell>
          <cell r="H3400" t="str">
            <v>Mark Anthony</v>
          </cell>
          <cell r="K3400" t="str">
            <v>Package</v>
          </cell>
          <cell r="L3400" t="str">
            <v>Yes</v>
          </cell>
        </row>
        <row r="3401">
          <cell r="G3401" t="str">
            <v>Mike's Harder</v>
          </cell>
          <cell r="H3401" t="str">
            <v>Mark Anthony</v>
          </cell>
          <cell r="K3401" t="str">
            <v>Package</v>
          </cell>
          <cell r="L3401" t="str">
            <v>Yes</v>
          </cell>
        </row>
        <row r="3402">
          <cell r="G3402" t="str">
            <v>Mike's Hard Lemonade</v>
          </cell>
          <cell r="H3402" t="str">
            <v>Mark Anthony</v>
          </cell>
          <cell r="K3402" t="str">
            <v>Package</v>
          </cell>
          <cell r="L3402" t="str">
            <v>Yes</v>
          </cell>
        </row>
        <row r="3403">
          <cell r="G3403" t="str">
            <v>Mike's Hard Lemonade</v>
          </cell>
          <cell r="H3403" t="str">
            <v>Mark Anthony</v>
          </cell>
          <cell r="K3403" t="str">
            <v>Package</v>
          </cell>
          <cell r="L3403" t="str">
            <v>Yes</v>
          </cell>
        </row>
        <row r="3404">
          <cell r="G3404" t="str">
            <v>Mike's Hard Lemonade</v>
          </cell>
          <cell r="H3404" t="str">
            <v>Mark Anthony</v>
          </cell>
          <cell r="K3404" t="str">
            <v>Package</v>
          </cell>
          <cell r="L3404" t="str">
            <v>Yes</v>
          </cell>
        </row>
        <row r="3405">
          <cell r="G3405" t="str">
            <v>Mike's Hard Lemonade</v>
          </cell>
          <cell r="H3405" t="str">
            <v>Mark Anthony</v>
          </cell>
          <cell r="K3405" t="str">
            <v>Package</v>
          </cell>
          <cell r="L3405" t="str">
            <v>Yes</v>
          </cell>
        </row>
        <row r="3406">
          <cell r="G3406" t="str">
            <v>Mike's Hard Lemonade</v>
          </cell>
          <cell r="H3406" t="str">
            <v>Mark Anthony</v>
          </cell>
          <cell r="K3406" t="str">
            <v>Package</v>
          </cell>
          <cell r="L3406" t="str">
            <v>Yes</v>
          </cell>
        </row>
        <row r="3407">
          <cell r="G3407" t="str">
            <v>Mike's Harder</v>
          </cell>
          <cell r="H3407" t="str">
            <v>Mark Anthony</v>
          </cell>
          <cell r="K3407" t="str">
            <v>Package</v>
          </cell>
          <cell r="L3407" t="str">
            <v>Yes</v>
          </cell>
        </row>
        <row r="3408">
          <cell r="G3408" t="str">
            <v>Mike's Harder</v>
          </cell>
          <cell r="H3408" t="str">
            <v>Mark Anthony</v>
          </cell>
          <cell r="K3408" t="str">
            <v>Package</v>
          </cell>
          <cell r="L3408" t="str">
            <v>Yes</v>
          </cell>
        </row>
        <row r="3409">
          <cell r="G3409" t="str">
            <v>Mike's Harder</v>
          </cell>
          <cell r="H3409" t="str">
            <v>Mark Anthony</v>
          </cell>
          <cell r="K3409" t="str">
            <v>Package</v>
          </cell>
          <cell r="L3409" t="str">
            <v>Yes</v>
          </cell>
        </row>
        <row r="3410">
          <cell r="G3410" t="str">
            <v>Mike's Harder</v>
          </cell>
          <cell r="H3410" t="str">
            <v>Mark Anthony</v>
          </cell>
          <cell r="K3410" t="str">
            <v>Package</v>
          </cell>
          <cell r="L3410" t="str">
            <v>No</v>
          </cell>
        </row>
        <row r="3411">
          <cell r="G3411" t="str">
            <v>Mike's Harder</v>
          </cell>
          <cell r="H3411" t="str">
            <v>Mark Anthony</v>
          </cell>
          <cell r="K3411" t="str">
            <v>Package</v>
          </cell>
          <cell r="L3411" t="str">
            <v>Yes</v>
          </cell>
        </row>
        <row r="3412">
          <cell r="G3412" t="str">
            <v>Mike's Hard Lemonade</v>
          </cell>
          <cell r="H3412" t="str">
            <v>Mark Anthony</v>
          </cell>
          <cell r="K3412" t="str">
            <v>Package</v>
          </cell>
          <cell r="L3412" t="str">
            <v>Yes</v>
          </cell>
        </row>
        <row r="3413">
          <cell r="G3413" t="str">
            <v>Mike's Harder</v>
          </cell>
          <cell r="H3413" t="str">
            <v>Mark Anthony</v>
          </cell>
          <cell r="K3413" t="str">
            <v>Package</v>
          </cell>
          <cell r="L3413" t="str">
            <v>Yes</v>
          </cell>
        </row>
        <row r="3414">
          <cell r="G3414" t="str">
            <v>Mike's Harder</v>
          </cell>
          <cell r="H3414" t="str">
            <v>Mark Anthony</v>
          </cell>
          <cell r="K3414" t="str">
            <v>Package</v>
          </cell>
          <cell r="L3414" t="str">
            <v>Yes</v>
          </cell>
        </row>
        <row r="3415">
          <cell r="G3415" t="str">
            <v>Mike's Harder</v>
          </cell>
          <cell r="H3415" t="str">
            <v>Mark Anthony</v>
          </cell>
          <cell r="K3415" t="str">
            <v>Package</v>
          </cell>
          <cell r="L3415" t="str">
            <v>No</v>
          </cell>
        </row>
        <row r="3416">
          <cell r="G3416" t="str">
            <v>Mike's Hard Lemonade</v>
          </cell>
          <cell r="H3416" t="str">
            <v>Mark Anthony</v>
          </cell>
          <cell r="K3416" t="str">
            <v>Package</v>
          </cell>
          <cell r="L3416" t="str">
            <v>Yes</v>
          </cell>
        </row>
        <row r="3417">
          <cell r="G3417" t="str">
            <v>Mike's Hard Lemonade</v>
          </cell>
          <cell r="H3417" t="str">
            <v>Mark Anthony</v>
          </cell>
          <cell r="K3417" t="str">
            <v>Package</v>
          </cell>
          <cell r="L3417" t="str">
            <v>Yes</v>
          </cell>
        </row>
        <row r="3418">
          <cell r="G3418" t="str">
            <v>Mike's Harder</v>
          </cell>
          <cell r="H3418" t="str">
            <v>Mark Anthony</v>
          </cell>
          <cell r="K3418" t="str">
            <v>Package</v>
          </cell>
          <cell r="L3418" t="str">
            <v>No</v>
          </cell>
        </row>
        <row r="3419">
          <cell r="G3419" t="str">
            <v>Mike's Hard Lemonade</v>
          </cell>
          <cell r="H3419" t="str">
            <v>Mark Anthony</v>
          </cell>
          <cell r="K3419" t="str">
            <v>Package</v>
          </cell>
          <cell r="L3419" t="str">
            <v>No</v>
          </cell>
        </row>
        <row r="3420">
          <cell r="G3420" t="str">
            <v>Mike's Hard Lemonade</v>
          </cell>
          <cell r="H3420" t="str">
            <v>Mark Anthony</v>
          </cell>
          <cell r="K3420" t="str">
            <v>Package</v>
          </cell>
          <cell r="L3420" t="str">
            <v>Yes</v>
          </cell>
        </row>
        <row r="3421">
          <cell r="G3421" t="str">
            <v>Mike's Hard Lemonade</v>
          </cell>
          <cell r="H3421" t="str">
            <v>Mark Anthony</v>
          </cell>
          <cell r="K3421" t="str">
            <v>Package</v>
          </cell>
          <cell r="L3421" t="str">
            <v>No</v>
          </cell>
        </row>
        <row r="3422">
          <cell r="G3422" t="str">
            <v>Mike's Hard Lemonade</v>
          </cell>
          <cell r="H3422" t="str">
            <v>Mark Anthony</v>
          </cell>
          <cell r="K3422" t="str">
            <v>Package</v>
          </cell>
          <cell r="L3422" t="str">
            <v>Yes</v>
          </cell>
        </row>
        <row r="3423">
          <cell r="G3423" t="str">
            <v>Mike's Hard Lemonade</v>
          </cell>
          <cell r="H3423" t="str">
            <v>Mark Anthony</v>
          </cell>
          <cell r="K3423" t="str">
            <v>Package</v>
          </cell>
          <cell r="L3423" t="str">
            <v>Yes</v>
          </cell>
        </row>
        <row r="3424">
          <cell r="G3424" t="str">
            <v>Mike's Hard Lemonade</v>
          </cell>
          <cell r="H3424" t="str">
            <v>Mark Anthony</v>
          </cell>
          <cell r="K3424" t="str">
            <v>Package</v>
          </cell>
          <cell r="L3424" t="str">
            <v>Yes</v>
          </cell>
        </row>
        <row r="3425">
          <cell r="G3425" t="str">
            <v>Mike's Hard Lemonade</v>
          </cell>
          <cell r="H3425" t="str">
            <v>Mark Anthony</v>
          </cell>
          <cell r="K3425" t="str">
            <v>Package</v>
          </cell>
          <cell r="L3425" t="str">
            <v>Yes</v>
          </cell>
        </row>
        <row r="3426">
          <cell r="G3426" t="str">
            <v>Mxd Cocktails</v>
          </cell>
          <cell r="H3426" t="str">
            <v>Mark Anthony</v>
          </cell>
          <cell r="K3426" t="str">
            <v>Package</v>
          </cell>
          <cell r="L3426" t="str">
            <v>Yes</v>
          </cell>
        </row>
        <row r="3427">
          <cell r="G3427" t="str">
            <v>Mxd Cocktails</v>
          </cell>
          <cell r="H3427" t="str">
            <v>Mark Anthony</v>
          </cell>
          <cell r="K3427" t="str">
            <v>Package</v>
          </cell>
          <cell r="L3427" t="str">
            <v>Yes</v>
          </cell>
        </row>
        <row r="3428">
          <cell r="G3428" t="str">
            <v>Mxd Cocktails</v>
          </cell>
          <cell r="H3428" t="str">
            <v>Mark Anthony</v>
          </cell>
          <cell r="K3428" t="str">
            <v>Package</v>
          </cell>
          <cell r="L3428" t="str">
            <v>Yes</v>
          </cell>
        </row>
        <row r="3429">
          <cell r="G3429" t="str">
            <v>Mxd Cocktails</v>
          </cell>
          <cell r="H3429" t="str">
            <v>Mark Anthony</v>
          </cell>
          <cell r="K3429" t="str">
            <v>Package</v>
          </cell>
          <cell r="L3429" t="str">
            <v>Yes</v>
          </cell>
        </row>
        <row r="3430">
          <cell r="G3430" t="str">
            <v>Mxd Cocktails</v>
          </cell>
          <cell r="H3430" t="str">
            <v>Mark Anthony</v>
          </cell>
          <cell r="K3430" t="str">
            <v>Package</v>
          </cell>
          <cell r="L3430" t="str">
            <v>Yes</v>
          </cell>
        </row>
        <row r="3431">
          <cell r="G3431" t="str">
            <v>Mxd Cocktails</v>
          </cell>
          <cell r="H3431" t="str">
            <v>Mark Anthony</v>
          </cell>
          <cell r="K3431" t="str">
            <v>Package</v>
          </cell>
          <cell r="L3431" t="str">
            <v>Yes</v>
          </cell>
        </row>
        <row r="3432">
          <cell r="G3432" t="str">
            <v>Mxd Cocktails</v>
          </cell>
          <cell r="H3432" t="str">
            <v>Mark Anthony</v>
          </cell>
          <cell r="K3432" t="str">
            <v>Package</v>
          </cell>
          <cell r="L3432" t="str">
            <v>Yes</v>
          </cell>
        </row>
        <row r="3433">
          <cell r="G3433" t="str">
            <v>Mxd Cocktails</v>
          </cell>
          <cell r="H3433" t="str">
            <v>Mark Anthony</v>
          </cell>
          <cell r="K3433" t="str">
            <v>Package</v>
          </cell>
          <cell r="L3433" t="str">
            <v>Yes</v>
          </cell>
        </row>
        <row r="3434">
          <cell r="G3434" t="str">
            <v>Mxd Cocktails</v>
          </cell>
          <cell r="H3434" t="str">
            <v>Mark Anthony</v>
          </cell>
          <cell r="K3434" t="str">
            <v>Package</v>
          </cell>
          <cell r="L3434" t="str">
            <v>Yes</v>
          </cell>
        </row>
        <row r="3435">
          <cell r="G3435" t="str">
            <v>White Claw</v>
          </cell>
          <cell r="H3435" t="str">
            <v>Mark Anthony</v>
          </cell>
          <cell r="K3435" t="str">
            <v>Package</v>
          </cell>
          <cell r="L3435" t="str">
            <v>Yes</v>
          </cell>
        </row>
        <row r="3436">
          <cell r="G3436" t="str">
            <v>White Claw</v>
          </cell>
          <cell r="H3436" t="str">
            <v>Mark Anthony</v>
          </cell>
          <cell r="K3436" t="str">
            <v>Package</v>
          </cell>
          <cell r="L3436" t="str">
            <v>Yes</v>
          </cell>
        </row>
        <row r="3437">
          <cell r="G3437" t="str">
            <v>White Claw</v>
          </cell>
          <cell r="H3437" t="str">
            <v>Mark Anthony</v>
          </cell>
          <cell r="K3437" t="str">
            <v>Package</v>
          </cell>
          <cell r="L3437" t="str">
            <v>Yes</v>
          </cell>
        </row>
        <row r="3438">
          <cell r="G3438" t="str">
            <v>Bevy Long Drink</v>
          </cell>
          <cell r="H3438" t="str">
            <v>Boston Beer Company</v>
          </cell>
          <cell r="K3438" t="str">
            <v>Package</v>
          </cell>
          <cell r="L3438" t="str">
            <v>Yes</v>
          </cell>
        </row>
        <row r="3439">
          <cell r="G3439" t="str">
            <v>Bevy Long Drink</v>
          </cell>
          <cell r="H3439" t="str">
            <v>Boston Beer Company</v>
          </cell>
          <cell r="K3439" t="str">
            <v>Package</v>
          </cell>
          <cell r="L3439" t="str">
            <v>Yes</v>
          </cell>
        </row>
        <row r="3440">
          <cell r="G3440" t="str">
            <v>Bevy Long Drink</v>
          </cell>
          <cell r="H3440" t="str">
            <v>Boston Beer Company</v>
          </cell>
          <cell r="K3440" t="str">
            <v>Package</v>
          </cell>
          <cell r="L3440" t="str">
            <v>Yes</v>
          </cell>
        </row>
        <row r="3441">
          <cell r="G3441" t="str">
            <v>Bevy Long Drink</v>
          </cell>
          <cell r="H3441" t="str">
            <v>Boston Beer Company</v>
          </cell>
          <cell r="K3441" t="str">
            <v>Package</v>
          </cell>
          <cell r="L3441" t="str">
            <v>Yes</v>
          </cell>
        </row>
        <row r="3442">
          <cell r="G3442" t="str">
            <v>Bevy Long Drink</v>
          </cell>
          <cell r="H3442" t="str">
            <v>Boston Beer Company</v>
          </cell>
          <cell r="K3442" t="str">
            <v>Package</v>
          </cell>
          <cell r="L3442" t="str">
            <v>Yes</v>
          </cell>
        </row>
        <row r="3443">
          <cell r="G3443" t="str">
            <v>Bevy Long Drink</v>
          </cell>
          <cell r="H3443" t="str">
            <v>Boston Beer Company</v>
          </cell>
          <cell r="K3443" t="str">
            <v>Package</v>
          </cell>
          <cell r="L3443" t="str">
            <v>Yes</v>
          </cell>
        </row>
        <row r="3444">
          <cell r="G3444" t="str">
            <v>Sauza</v>
          </cell>
          <cell r="H3444" t="str">
            <v>Boston Beer Company</v>
          </cell>
          <cell r="K3444" t="str">
            <v>Package</v>
          </cell>
          <cell r="L3444" t="str">
            <v>Yes</v>
          </cell>
        </row>
        <row r="3445">
          <cell r="G3445" t="str">
            <v>Sauza</v>
          </cell>
          <cell r="H3445" t="str">
            <v>Boston Beer Company</v>
          </cell>
          <cell r="K3445" t="str">
            <v>Package</v>
          </cell>
          <cell r="L3445" t="str">
            <v>Yes</v>
          </cell>
        </row>
        <row r="3446">
          <cell r="G3446" t="str">
            <v>Sauza</v>
          </cell>
          <cell r="H3446" t="str">
            <v>Boston Beer Company</v>
          </cell>
          <cell r="K3446" t="str">
            <v>Package</v>
          </cell>
          <cell r="L3446" t="str">
            <v>Yes</v>
          </cell>
        </row>
        <row r="3447">
          <cell r="G3447" t="str">
            <v>Sauza</v>
          </cell>
          <cell r="H3447" t="str">
            <v>Boston Beer Company</v>
          </cell>
          <cell r="K3447" t="str">
            <v>Package</v>
          </cell>
          <cell r="L3447" t="str">
            <v>Yes</v>
          </cell>
        </row>
        <row r="3448">
          <cell r="G3448" t="str">
            <v>Sauza</v>
          </cell>
          <cell r="H3448" t="str">
            <v>Boston Beer Company</v>
          </cell>
          <cell r="K3448" t="str">
            <v>Package</v>
          </cell>
          <cell r="L3448" t="str">
            <v>Yes</v>
          </cell>
        </row>
        <row r="3449">
          <cell r="G3449" t="str">
            <v>Jasmine's</v>
          </cell>
          <cell r="H3449" t="str">
            <v>Carolina Global</v>
          </cell>
          <cell r="K3449" t="str">
            <v>Package</v>
          </cell>
          <cell r="L3449" t="str">
            <v>Yes</v>
          </cell>
        </row>
        <row r="3450">
          <cell r="G3450" t="str">
            <v>Small Town</v>
          </cell>
          <cell r="H3450" t="str">
            <v>Pabst Brewing Company</v>
          </cell>
          <cell r="K3450" t="str">
            <v>Package</v>
          </cell>
          <cell r="L3450" t="str">
            <v>Yes</v>
          </cell>
        </row>
        <row r="3451">
          <cell r="G3451" t="str">
            <v>Karlovacko</v>
          </cell>
          <cell r="H3451" t="str">
            <v>Karlovacko</v>
          </cell>
          <cell r="K3451" t="str">
            <v>Package</v>
          </cell>
          <cell r="L3451" t="str">
            <v>No</v>
          </cell>
        </row>
        <row r="3452">
          <cell r="G3452" t="str">
            <v>Pop Sips</v>
          </cell>
          <cell r="H3452" t="str">
            <v>Passion Tree Co</v>
          </cell>
          <cell r="K3452" t="str">
            <v>Package</v>
          </cell>
          <cell r="L3452" t="str">
            <v>Yes</v>
          </cell>
        </row>
        <row r="3453">
          <cell r="G3453" t="str">
            <v>Pop Sips</v>
          </cell>
          <cell r="H3453" t="str">
            <v>Passion Tree Co</v>
          </cell>
          <cell r="K3453" t="str">
            <v>Package</v>
          </cell>
          <cell r="L3453" t="str">
            <v>Yes</v>
          </cell>
        </row>
        <row r="3454">
          <cell r="G3454" t="str">
            <v>Pop Sips</v>
          </cell>
          <cell r="H3454" t="str">
            <v>Passion Tree Co</v>
          </cell>
          <cell r="K3454" t="str">
            <v>Package</v>
          </cell>
          <cell r="L3454" t="str">
            <v>Yes</v>
          </cell>
        </row>
        <row r="3455">
          <cell r="G3455" t="str">
            <v>Bold Rock</v>
          </cell>
          <cell r="H3455" t="str">
            <v>Bold Rock Hard Cider</v>
          </cell>
          <cell r="K3455" t="str">
            <v>Package</v>
          </cell>
          <cell r="L3455" t="str">
            <v>No</v>
          </cell>
        </row>
        <row r="3456">
          <cell r="G3456" t="str">
            <v>Tolago</v>
          </cell>
          <cell r="H3456" t="str">
            <v>Tolago</v>
          </cell>
          <cell r="K3456" t="str">
            <v>Package</v>
          </cell>
          <cell r="L3456" t="str">
            <v>Yes</v>
          </cell>
        </row>
        <row r="3457">
          <cell r="G3457" t="str">
            <v>Lightstrike</v>
          </cell>
          <cell r="H3457" t="str">
            <v>New Belgium Brewing Company</v>
          </cell>
          <cell r="K3457" t="str">
            <v>Package</v>
          </cell>
          <cell r="L3457" t="str">
            <v>Yes</v>
          </cell>
        </row>
        <row r="3458">
          <cell r="G3458" t="str">
            <v>Lightstrike</v>
          </cell>
          <cell r="H3458" t="str">
            <v>New Belgium Brewing Company</v>
          </cell>
          <cell r="K3458" t="str">
            <v>Package</v>
          </cell>
          <cell r="L3458" t="str">
            <v>Yes</v>
          </cell>
        </row>
        <row r="3459">
          <cell r="G3459" t="str">
            <v>The Drop</v>
          </cell>
          <cell r="H3459" t="str">
            <v>Constellation Brands</v>
          </cell>
          <cell r="K3459" t="str">
            <v>Package</v>
          </cell>
          <cell r="L3459" t="str">
            <v>Yes</v>
          </cell>
        </row>
        <row r="3460">
          <cell r="G3460" t="str">
            <v>The Drop</v>
          </cell>
          <cell r="H3460" t="str">
            <v>Constellation Brands</v>
          </cell>
          <cell r="K3460" t="str">
            <v>Package</v>
          </cell>
          <cell r="L3460" t="str">
            <v>Yes</v>
          </cell>
        </row>
        <row r="3461">
          <cell r="G3461" t="str">
            <v>Popsicle Hard</v>
          </cell>
          <cell r="H3461" t="str">
            <v>Montauk Brewing Co</v>
          </cell>
          <cell r="K3461" t="str">
            <v>Package</v>
          </cell>
          <cell r="L3461" t="str">
            <v>Yes</v>
          </cell>
        </row>
        <row r="3462">
          <cell r="G3462" t="str">
            <v>Popsicle Hard</v>
          </cell>
          <cell r="H3462" t="str">
            <v>Montauk Brewing Co</v>
          </cell>
          <cell r="K3462" t="str">
            <v>Package</v>
          </cell>
          <cell r="L3462" t="str">
            <v>Yes</v>
          </cell>
        </row>
        <row r="3463">
          <cell r="G3463" t="str">
            <v>Hard Mountain Dew</v>
          </cell>
          <cell r="H3463" t="str">
            <v>Boston Beer Company</v>
          </cell>
          <cell r="K3463" t="str">
            <v>Package</v>
          </cell>
          <cell r="L3463" t="str">
            <v>Yes</v>
          </cell>
        </row>
        <row r="3464">
          <cell r="G3464" t="str">
            <v>Hard Mountain Dew</v>
          </cell>
          <cell r="H3464" t="str">
            <v>Boston Beer Company</v>
          </cell>
          <cell r="K3464" t="str">
            <v>Package</v>
          </cell>
          <cell r="L3464" t="str">
            <v>Yes</v>
          </cell>
        </row>
        <row r="3465">
          <cell r="G3465" t="str">
            <v>Hard Mountain Dew</v>
          </cell>
          <cell r="H3465" t="str">
            <v>Boston Beer Company</v>
          </cell>
          <cell r="K3465" t="str">
            <v>Package</v>
          </cell>
          <cell r="L3465" t="str">
            <v>Yes</v>
          </cell>
        </row>
        <row r="3466">
          <cell r="G3466" t="str">
            <v>Hard Mountain Dew</v>
          </cell>
          <cell r="H3466" t="str">
            <v>Boston Beer Company</v>
          </cell>
          <cell r="K3466" t="str">
            <v>Package</v>
          </cell>
          <cell r="L3466" t="str">
            <v>Yes</v>
          </cell>
        </row>
        <row r="3467">
          <cell r="G3467" t="str">
            <v>Lytt</v>
          </cell>
          <cell r="H3467" t="str">
            <v>Boston Beer Company</v>
          </cell>
          <cell r="K3467" t="str">
            <v>Package</v>
          </cell>
          <cell r="L3467" t="str">
            <v>Yes</v>
          </cell>
        </row>
        <row r="3468">
          <cell r="G3468" t="str">
            <v>Lytt</v>
          </cell>
          <cell r="H3468" t="str">
            <v>Boston Beer Company</v>
          </cell>
          <cell r="K3468" t="str">
            <v>Package</v>
          </cell>
          <cell r="L3468" t="str">
            <v>Yes</v>
          </cell>
        </row>
        <row r="3469">
          <cell r="G3469" t="str">
            <v>Lytt</v>
          </cell>
          <cell r="H3469" t="str">
            <v>Boston Beer Company</v>
          </cell>
          <cell r="K3469" t="str">
            <v>Package</v>
          </cell>
          <cell r="L3469" t="str">
            <v>Yes</v>
          </cell>
        </row>
        <row r="3470">
          <cell r="G3470" t="str">
            <v>Lytt</v>
          </cell>
          <cell r="H3470" t="str">
            <v>Boston Beer Company</v>
          </cell>
          <cell r="K3470" t="str">
            <v>Package</v>
          </cell>
          <cell r="L3470" t="str">
            <v>Yes</v>
          </cell>
        </row>
        <row r="3471">
          <cell r="G3471" t="str">
            <v>Lytt</v>
          </cell>
          <cell r="H3471" t="str">
            <v>Boston Beer Company</v>
          </cell>
          <cell r="K3471" t="str">
            <v>Package</v>
          </cell>
          <cell r="L3471" t="str">
            <v>Yes</v>
          </cell>
        </row>
        <row r="3472">
          <cell r="G3472" t="str">
            <v>Lytt</v>
          </cell>
          <cell r="H3472" t="str">
            <v>Boston Beer Company</v>
          </cell>
          <cell r="K3472" t="str">
            <v>Package</v>
          </cell>
          <cell r="L3472" t="str">
            <v>Yes</v>
          </cell>
        </row>
        <row r="3473">
          <cell r="G3473" t="str">
            <v>Mike's Hard Lemonade</v>
          </cell>
          <cell r="H3473" t="str">
            <v>Mark Anthony</v>
          </cell>
          <cell r="K3473" t="str">
            <v>Package</v>
          </cell>
          <cell r="L3473" t="str">
            <v>Yes</v>
          </cell>
        </row>
        <row r="3474">
          <cell r="G3474" t="str">
            <v>Mike's Hard Lemonade</v>
          </cell>
          <cell r="H3474" t="str">
            <v>Mark Anthony</v>
          </cell>
          <cell r="K3474" t="str">
            <v>Package</v>
          </cell>
          <cell r="L3474" t="str">
            <v>Yes</v>
          </cell>
        </row>
        <row r="3475">
          <cell r="G3475" t="str">
            <v>Mike's Hard Lemonade</v>
          </cell>
          <cell r="H3475" t="str">
            <v>Mark Anthony</v>
          </cell>
          <cell r="K3475" t="str">
            <v>Package</v>
          </cell>
          <cell r="L3475" t="str">
            <v>Yes</v>
          </cell>
        </row>
        <row r="3476">
          <cell r="G3476" t="str">
            <v>Mike's Hard Lemonade</v>
          </cell>
          <cell r="H3476" t="str">
            <v>Mark Anthony</v>
          </cell>
          <cell r="K3476" t="str">
            <v>Package</v>
          </cell>
          <cell r="L3476" t="str">
            <v>Yes</v>
          </cell>
        </row>
        <row r="3477">
          <cell r="G3477" t="str">
            <v>Mike's Hard Lemonade</v>
          </cell>
          <cell r="H3477" t="str">
            <v>Mark Anthony</v>
          </cell>
          <cell r="K3477" t="str">
            <v>Package</v>
          </cell>
          <cell r="L3477" t="str">
            <v>Yes</v>
          </cell>
        </row>
        <row r="3478">
          <cell r="G3478" t="str">
            <v>Mike's Hard Lemonade</v>
          </cell>
          <cell r="H3478" t="str">
            <v>Mark Anthony</v>
          </cell>
          <cell r="K3478" t="str">
            <v>Package</v>
          </cell>
          <cell r="L3478" t="str">
            <v>Yes</v>
          </cell>
        </row>
        <row r="3479">
          <cell r="G3479" t="str">
            <v>Mike's Hard Lemonade</v>
          </cell>
          <cell r="H3479" t="str">
            <v>Mark Anthony</v>
          </cell>
          <cell r="K3479" t="str">
            <v>Package</v>
          </cell>
          <cell r="L3479" t="str">
            <v>Yes</v>
          </cell>
        </row>
        <row r="3480">
          <cell r="G3480" t="str">
            <v>Mike's Hard Lemonade</v>
          </cell>
          <cell r="H3480" t="str">
            <v>Mark Anthony</v>
          </cell>
          <cell r="K3480" t="str">
            <v>Package</v>
          </cell>
          <cell r="L3480" t="str">
            <v>Yes</v>
          </cell>
        </row>
        <row r="3481">
          <cell r="G3481" t="str">
            <v>Mike's Hard Dirty Lemonade</v>
          </cell>
          <cell r="H3481" t="str">
            <v>Mark Anthony</v>
          </cell>
          <cell r="K3481" t="str">
            <v>Package</v>
          </cell>
          <cell r="L3481" t="str">
            <v>Yes</v>
          </cell>
        </row>
        <row r="3482">
          <cell r="G3482" t="str">
            <v>Mike's Hard Dirty Lemonade</v>
          </cell>
          <cell r="H3482" t="str">
            <v>Mark Anthony</v>
          </cell>
          <cell r="K3482" t="str">
            <v>Package</v>
          </cell>
          <cell r="L3482" t="str">
            <v>Yes</v>
          </cell>
        </row>
        <row r="3483">
          <cell r="G3483" t="str">
            <v>Mike's Hard Dirty Lemonade</v>
          </cell>
          <cell r="H3483" t="str">
            <v>Mark Anthony</v>
          </cell>
          <cell r="K3483" t="str">
            <v>Package</v>
          </cell>
          <cell r="L3483" t="str">
            <v>Yes</v>
          </cell>
        </row>
        <row r="3484">
          <cell r="G3484" t="str">
            <v>Plaid Duck</v>
          </cell>
          <cell r="H3484" t="str">
            <v>Park Street Imports</v>
          </cell>
          <cell r="K3484" t="str">
            <v>Other Sellable</v>
          </cell>
          <cell r="L3484" t="str">
            <v>Yes</v>
          </cell>
        </row>
        <row r="3485">
          <cell r="G3485" t="str">
            <v>Talkhouse Encore</v>
          </cell>
          <cell r="H3485" t="str">
            <v>Talkhouse Encore</v>
          </cell>
          <cell r="K3485" t="str">
            <v>Other Sellable</v>
          </cell>
          <cell r="L3485" t="str">
            <v>Yes</v>
          </cell>
        </row>
        <row r="3486">
          <cell r="G3486" t="str">
            <v>Talkhouse Encore</v>
          </cell>
          <cell r="H3486" t="str">
            <v>Talkhouse Encore</v>
          </cell>
          <cell r="K3486" t="str">
            <v>Other Sellable</v>
          </cell>
          <cell r="L3486" t="str">
            <v>Yes</v>
          </cell>
        </row>
        <row r="3487">
          <cell r="G3487" t="str">
            <v>Talkhouse Encore</v>
          </cell>
          <cell r="H3487" t="str">
            <v>Talkhouse Encore</v>
          </cell>
          <cell r="K3487" t="str">
            <v>Other Sellable</v>
          </cell>
          <cell r="L3487" t="str">
            <v>Yes</v>
          </cell>
        </row>
        <row r="3488">
          <cell r="G3488" t="str">
            <v>Talkhouse Encore</v>
          </cell>
          <cell r="H3488" t="str">
            <v>Talkhouse Encore</v>
          </cell>
          <cell r="K3488" t="str">
            <v>Other Sellable</v>
          </cell>
          <cell r="L3488" t="str">
            <v>Yes</v>
          </cell>
        </row>
        <row r="3489">
          <cell r="G3489" t="str">
            <v>Talkhouse Encore</v>
          </cell>
          <cell r="H3489" t="str">
            <v>Talkhouse Encore</v>
          </cell>
          <cell r="K3489" t="str">
            <v>Other Sellable</v>
          </cell>
          <cell r="L3489" t="str">
            <v>Yes</v>
          </cell>
        </row>
        <row r="3490">
          <cell r="G3490" t="str">
            <v>Talkhouse Encore</v>
          </cell>
          <cell r="H3490" t="str">
            <v>Talkhouse Encore</v>
          </cell>
          <cell r="K3490" t="str">
            <v>Other Sellable</v>
          </cell>
          <cell r="L3490" t="str">
            <v>Yes</v>
          </cell>
        </row>
        <row r="3491">
          <cell r="G3491" t="str">
            <v>Talkhouse Encore</v>
          </cell>
          <cell r="H3491" t="str">
            <v>Talkhouse Encore</v>
          </cell>
          <cell r="K3491" t="str">
            <v>Other Sellable</v>
          </cell>
          <cell r="L3491" t="str">
            <v>Yes</v>
          </cell>
        </row>
        <row r="3492">
          <cell r="G3492" t="str">
            <v>Dos Equis</v>
          </cell>
          <cell r="H3492" t="str">
            <v>Heineken USA</v>
          </cell>
          <cell r="K3492" t="str">
            <v>Other Sellable</v>
          </cell>
          <cell r="L3492" t="str">
            <v>No</v>
          </cell>
        </row>
        <row r="3493">
          <cell r="G3493" t="str">
            <v>Red Stripe</v>
          </cell>
          <cell r="H3493" t="str">
            <v>Heineken USA</v>
          </cell>
          <cell r="K3493" t="str">
            <v>Other Sellable</v>
          </cell>
          <cell r="L3493" t="str">
            <v>No</v>
          </cell>
        </row>
        <row r="3494">
          <cell r="G3494" t="str">
            <v>Red Stripe</v>
          </cell>
          <cell r="H3494" t="str">
            <v>Heineken USA</v>
          </cell>
          <cell r="K3494" t="str">
            <v>Other Sellable</v>
          </cell>
          <cell r="L3494" t="str">
            <v>No</v>
          </cell>
        </row>
        <row r="3495">
          <cell r="G3495" t="str">
            <v>Mamita's</v>
          </cell>
          <cell r="H3495" t="str">
            <v>Phusion Projects</v>
          </cell>
          <cell r="K3495" t="str">
            <v>Other Sellable</v>
          </cell>
          <cell r="L3495" t="str">
            <v>Yes</v>
          </cell>
        </row>
        <row r="3496">
          <cell r="G3496" t="str">
            <v>Mamita's</v>
          </cell>
          <cell r="H3496" t="str">
            <v>Phusion Projects</v>
          </cell>
          <cell r="K3496" t="str">
            <v>Other Sellable</v>
          </cell>
          <cell r="L3496" t="str">
            <v>No</v>
          </cell>
        </row>
        <row r="3497">
          <cell r="G3497" t="str">
            <v>Mamita's</v>
          </cell>
          <cell r="H3497" t="str">
            <v>Phusion Projects</v>
          </cell>
          <cell r="K3497" t="str">
            <v>Other Sellable</v>
          </cell>
          <cell r="L3497" t="str">
            <v>Yes</v>
          </cell>
        </row>
        <row r="3498">
          <cell r="G3498" t="str">
            <v>Misc</v>
          </cell>
          <cell r="H3498" t="str">
            <v>Misc</v>
          </cell>
          <cell r="K3498" t="str">
            <v>Non-Product</v>
          </cell>
          <cell r="L3498" t="str">
            <v>No</v>
          </cell>
        </row>
        <row r="3499">
          <cell r="G3499" t="str">
            <v>Misc</v>
          </cell>
          <cell r="H3499" t="str">
            <v>Misc</v>
          </cell>
          <cell r="K3499" t="str">
            <v>Non-Product</v>
          </cell>
          <cell r="L3499" t="str">
            <v>No</v>
          </cell>
        </row>
        <row r="3500">
          <cell r="G3500" t="str">
            <v>Misc</v>
          </cell>
          <cell r="H3500" t="str">
            <v>Misc</v>
          </cell>
          <cell r="K3500" t="str">
            <v>Non-Product</v>
          </cell>
          <cell r="L3500" t="str">
            <v>No</v>
          </cell>
        </row>
        <row r="3501">
          <cell r="G3501" t="str">
            <v>Misc</v>
          </cell>
          <cell r="H3501" t="str">
            <v>Misc</v>
          </cell>
          <cell r="K3501" t="str">
            <v>Non-Product</v>
          </cell>
          <cell r="L3501" t="str">
            <v>No</v>
          </cell>
        </row>
        <row r="3502">
          <cell r="G3502" t="str">
            <v>Misc</v>
          </cell>
          <cell r="H3502" t="str">
            <v>Misc</v>
          </cell>
          <cell r="K3502" t="str">
            <v>Non-Product</v>
          </cell>
          <cell r="L3502" t="str">
            <v>No</v>
          </cell>
        </row>
        <row r="3503">
          <cell r="G3503" t="str">
            <v>Miscellaneous</v>
          </cell>
          <cell r="H3503" t="str">
            <v>Misc</v>
          </cell>
          <cell r="K3503" t="str">
            <v>Non-Product</v>
          </cell>
          <cell r="L3503" t="str">
            <v>No</v>
          </cell>
        </row>
        <row r="3504">
          <cell r="G3504" t="str">
            <v>Miscellaneous</v>
          </cell>
          <cell r="H3504" t="str">
            <v>Misc</v>
          </cell>
          <cell r="K3504" t="str">
            <v>Non-Product</v>
          </cell>
          <cell r="L3504" t="str">
            <v>No</v>
          </cell>
        </row>
        <row r="3505">
          <cell r="G3505" t="str">
            <v>Misc</v>
          </cell>
          <cell r="H3505" t="str">
            <v>Misc</v>
          </cell>
          <cell r="K3505" t="str">
            <v>Non-Product</v>
          </cell>
          <cell r="L3505" t="str">
            <v>No</v>
          </cell>
        </row>
        <row r="3506">
          <cell r="G3506" t="str">
            <v>Misc</v>
          </cell>
          <cell r="H3506" t="str">
            <v>Misc</v>
          </cell>
          <cell r="K3506" t="str">
            <v>Non-Product</v>
          </cell>
          <cell r="L3506" t="str">
            <v>No</v>
          </cell>
        </row>
        <row r="3507">
          <cell r="G3507" t="str">
            <v>Miscellaneous</v>
          </cell>
          <cell r="H3507" t="str">
            <v>Misc</v>
          </cell>
          <cell r="K3507" t="str">
            <v>Non-Product</v>
          </cell>
          <cell r="L3507" t="str">
            <v>No</v>
          </cell>
        </row>
        <row r="3508">
          <cell r="G3508" t="str">
            <v>Miscellaneous</v>
          </cell>
          <cell r="H3508" t="str">
            <v>Misc</v>
          </cell>
          <cell r="K3508" t="str">
            <v>Non-Product</v>
          </cell>
          <cell r="L3508" t="str">
            <v>No</v>
          </cell>
        </row>
        <row r="3509">
          <cell r="G3509" t="str">
            <v>Miscellaneous</v>
          </cell>
          <cell r="H3509" t="str">
            <v>Misc</v>
          </cell>
          <cell r="K3509" t="str">
            <v>Non-Product</v>
          </cell>
          <cell r="L3509" t="str">
            <v>No</v>
          </cell>
        </row>
        <row r="3510">
          <cell r="G3510" t="str">
            <v>Miscellaneous</v>
          </cell>
          <cell r="H3510" t="str">
            <v>Misc</v>
          </cell>
          <cell r="K3510" t="str">
            <v>Non-Product</v>
          </cell>
          <cell r="L3510" t="str">
            <v>No</v>
          </cell>
        </row>
        <row r="3511">
          <cell r="G3511" t="str">
            <v>Miscellaneous</v>
          </cell>
          <cell r="H3511" t="str">
            <v>Misc</v>
          </cell>
          <cell r="K3511" t="str">
            <v>Non-Product</v>
          </cell>
          <cell r="L3511" t="str">
            <v>No</v>
          </cell>
        </row>
        <row r="3512">
          <cell r="G3512" t="str">
            <v>Miscellaneous</v>
          </cell>
          <cell r="H3512" t="str">
            <v>Misc</v>
          </cell>
          <cell r="K3512" t="str">
            <v>Non-Product</v>
          </cell>
          <cell r="L3512" t="str">
            <v>No</v>
          </cell>
        </row>
        <row r="3513">
          <cell r="G3513" t="str">
            <v>Miscellaneous</v>
          </cell>
          <cell r="H3513" t="str">
            <v>Misc</v>
          </cell>
          <cell r="K3513" t="str">
            <v>Non-Product</v>
          </cell>
          <cell r="L3513" t="str">
            <v>No</v>
          </cell>
        </row>
        <row r="3514">
          <cell r="G3514" t="str">
            <v>Miscellaneous</v>
          </cell>
          <cell r="H3514" t="str">
            <v>Misc</v>
          </cell>
          <cell r="K3514" t="str">
            <v>Non-Product</v>
          </cell>
          <cell r="L3514" t="str">
            <v>No</v>
          </cell>
        </row>
        <row r="3515">
          <cell r="G3515" t="str">
            <v>Miscellaneous</v>
          </cell>
          <cell r="H3515" t="str">
            <v>Misc</v>
          </cell>
          <cell r="K3515" t="str">
            <v>Non-Product</v>
          </cell>
          <cell r="L3515" t="str">
            <v>No</v>
          </cell>
        </row>
        <row r="3516">
          <cell r="G3516" t="str">
            <v>Miscellaneous</v>
          </cell>
          <cell r="H3516" t="str">
            <v>Misc</v>
          </cell>
          <cell r="K3516" t="str">
            <v>Non-Product</v>
          </cell>
          <cell r="L3516" t="str">
            <v>No</v>
          </cell>
        </row>
        <row r="3517">
          <cell r="G3517" t="str">
            <v>Misc</v>
          </cell>
          <cell r="H3517" t="str">
            <v>Misc</v>
          </cell>
          <cell r="K3517" t="str">
            <v>Non-Product</v>
          </cell>
          <cell r="L3517" t="str">
            <v>No</v>
          </cell>
        </row>
        <row r="3518">
          <cell r="G3518" t="str">
            <v>Misc</v>
          </cell>
          <cell r="H3518" t="str">
            <v>Misc</v>
          </cell>
          <cell r="K3518" t="str">
            <v>Non-Product</v>
          </cell>
          <cell r="L3518" t="str">
            <v>No</v>
          </cell>
        </row>
        <row r="3519">
          <cell r="G3519" t="str">
            <v>Miscellaneous</v>
          </cell>
          <cell r="H3519" t="str">
            <v>Misc</v>
          </cell>
          <cell r="K3519" t="str">
            <v>Non-Product</v>
          </cell>
          <cell r="L3519" t="str">
            <v>No</v>
          </cell>
        </row>
        <row r="3520">
          <cell r="G3520" t="str">
            <v>Miscellaneous</v>
          </cell>
          <cell r="H3520" t="str">
            <v>Misc</v>
          </cell>
          <cell r="K3520" t="str">
            <v>Non-Product</v>
          </cell>
          <cell r="L3520" t="str">
            <v>No</v>
          </cell>
        </row>
        <row r="3521">
          <cell r="G3521" t="str">
            <v>Miscellaneous</v>
          </cell>
          <cell r="H3521" t="str">
            <v>Misc</v>
          </cell>
          <cell r="K3521" t="str">
            <v>Non-Product</v>
          </cell>
          <cell r="L3521" t="str">
            <v>No</v>
          </cell>
        </row>
        <row r="3522">
          <cell r="G3522" t="str">
            <v>Miscellaneous</v>
          </cell>
          <cell r="H3522" t="str">
            <v>Misc</v>
          </cell>
          <cell r="K3522" t="str">
            <v>Non-Product</v>
          </cell>
          <cell r="L3522" t="str">
            <v>No</v>
          </cell>
        </row>
        <row r="3523">
          <cell r="G3523" t="str">
            <v>Miscellaneous</v>
          </cell>
          <cell r="H3523" t="str">
            <v>Misc</v>
          </cell>
          <cell r="K3523" t="str">
            <v>Non-Product</v>
          </cell>
          <cell r="L3523" t="str">
            <v>No</v>
          </cell>
        </row>
        <row r="3524">
          <cell r="G3524" t="str">
            <v>Miscellaneous</v>
          </cell>
          <cell r="H3524" t="str">
            <v>Misc</v>
          </cell>
          <cell r="K3524" t="str">
            <v>Non-Product</v>
          </cell>
          <cell r="L3524" t="str">
            <v>No</v>
          </cell>
        </row>
        <row r="3525">
          <cell r="G3525" t="str">
            <v>Miscellaneous</v>
          </cell>
          <cell r="H3525" t="str">
            <v>Misc</v>
          </cell>
          <cell r="K3525" t="str">
            <v>Non-Product</v>
          </cell>
          <cell r="L3525" t="str">
            <v>No</v>
          </cell>
        </row>
        <row r="3526">
          <cell r="G3526" t="str">
            <v>Misc</v>
          </cell>
          <cell r="H3526" t="str">
            <v>Misc</v>
          </cell>
          <cell r="K3526" t="str">
            <v>Non-Product</v>
          </cell>
          <cell r="L3526" t="str">
            <v>No</v>
          </cell>
        </row>
        <row r="3527">
          <cell r="G3527" t="str">
            <v>Misc</v>
          </cell>
          <cell r="H3527" t="str">
            <v>Misc</v>
          </cell>
          <cell r="K3527" t="str">
            <v>Non-Product</v>
          </cell>
          <cell r="L3527" t="str">
            <v>No</v>
          </cell>
        </row>
        <row r="3528">
          <cell r="G3528" t="str">
            <v>Misc</v>
          </cell>
          <cell r="H3528" t="str">
            <v>Misc</v>
          </cell>
          <cell r="K3528" t="str">
            <v>Non-Product</v>
          </cell>
          <cell r="L3528" t="str">
            <v>No</v>
          </cell>
        </row>
        <row r="3529">
          <cell r="G3529" t="str">
            <v>Misc</v>
          </cell>
          <cell r="H3529" t="str">
            <v>Misc</v>
          </cell>
          <cell r="K3529" t="str">
            <v>Non-Product</v>
          </cell>
          <cell r="L3529" t="str">
            <v>No</v>
          </cell>
        </row>
        <row r="3530">
          <cell r="G3530" t="str">
            <v>Misc</v>
          </cell>
          <cell r="H3530" t="str">
            <v>Misc</v>
          </cell>
          <cell r="K3530" t="str">
            <v>Non-Product</v>
          </cell>
          <cell r="L3530" t="str">
            <v>No</v>
          </cell>
        </row>
        <row r="3531">
          <cell r="G3531" t="str">
            <v>Misc</v>
          </cell>
          <cell r="H3531" t="str">
            <v>Misc</v>
          </cell>
          <cell r="K3531" t="str">
            <v>Non-Product</v>
          </cell>
          <cell r="L3531" t="str">
            <v>No</v>
          </cell>
        </row>
        <row r="3532">
          <cell r="G3532" t="str">
            <v>Misc</v>
          </cell>
          <cell r="H3532" t="str">
            <v>Misc</v>
          </cell>
          <cell r="K3532" t="str">
            <v>Non-Product</v>
          </cell>
          <cell r="L3532" t="str">
            <v>No</v>
          </cell>
        </row>
        <row r="3533">
          <cell r="G3533" t="str">
            <v>Misc</v>
          </cell>
          <cell r="H3533" t="str">
            <v>Misc</v>
          </cell>
          <cell r="K3533" t="str">
            <v>Non-Product</v>
          </cell>
          <cell r="L3533" t="str">
            <v>No</v>
          </cell>
        </row>
        <row r="3534">
          <cell r="G3534" t="str">
            <v>Misc</v>
          </cell>
          <cell r="H3534" t="str">
            <v>Misc</v>
          </cell>
          <cell r="K3534" t="str">
            <v>Non-Product</v>
          </cell>
          <cell r="L3534" t="str">
            <v>No</v>
          </cell>
        </row>
        <row r="3535">
          <cell r="G3535" t="str">
            <v>Misc</v>
          </cell>
          <cell r="H3535" t="str">
            <v>Misc</v>
          </cell>
          <cell r="K3535" t="str">
            <v>Non-Product</v>
          </cell>
          <cell r="L3535" t="str">
            <v>No</v>
          </cell>
        </row>
        <row r="3536">
          <cell r="G3536" t="str">
            <v>Misc</v>
          </cell>
          <cell r="H3536" t="str">
            <v>Misc</v>
          </cell>
          <cell r="K3536" t="str">
            <v>Non-Product</v>
          </cell>
          <cell r="L3536" t="str">
            <v>No</v>
          </cell>
        </row>
        <row r="3537">
          <cell r="G3537" t="str">
            <v>Misc</v>
          </cell>
          <cell r="H3537" t="str">
            <v>Misc</v>
          </cell>
          <cell r="K3537" t="str">
            <v>Non-Product</v>
          </cell>
          <cell r="L3537" t="str">
            <v>No</v>
          </cell>
        </row>
        <row r="3538">
          <cell r="G3538" t="str">
            <v>Misc</v>
          </cell>
          <cell r="H3538" t="str">
            <v>Misc</v>
          </cell>
          <cell r="K3538" t="str">
            <v>Non-Product</v>
          </cell>
          <cell r="L3538" t="str">
            <v>No</v>
          </cell>
        </row>
        <row r="3539">
          <cell r="G3539" t="str">
            <v>Miscellaneous</v>
          </cell>
          <cell r="H3539" t="str">
            <v>Misc</v>
          </cell>
          <cell r="K3539" t="str">
            <v>Non-Product</v>
          </cell>
          <cell r="L3539" t="str">
            <v>No</v>
          </cell>
        </row>
        <row r="3540">
          <cell r="G3540" t="str">
            <v>Miscellaneous</v>
          </cell>
          <cell r="H3540" t="str">
            <v>Misc</v>
          </cell>
          <cell r="K3540" t="str">
            <v>Non-Product</v>
          </cell>
          <cell r="L3540" t="str">
            <v>No</v>
          </cell>
        </row>
        <row r="3541">
          <cell r="G3541" t="str">
            <v>Miscellaneous</v>
          </cell>
          <cell r="H3541" t="str">
            <v>Misc</v>
          </cell>
          <cell r="K3541" t="str">
            <v>Non-Product</v>
          </cell>
          <cell r="L3541" t="str">
            <v>No</v>
          </cell>
        </row>
        <row r="3542">
          <cell r="G3542" t="str">
            <v>Miscellaneous</v>
          </cell>
          <cell r="H3542" t="str">
            <v>Misc</v>
          </cell>
          <cell r="K3542" t="str">
            <v>Non-Product</v>
          </cell>
          <cell r="L3542" t="str">
            <v>No</v>
          </cell>
        </row>
        <row r="3543">
          <cell r="G3543" t="str">
            <v>Miscellaneous</v>
          </cell>
          <cell r="H3543" t="str">
            <v>Misc</v>
          </cell>
          <cell r="K3543" t="str">
            <v>Non-Product</v>
          </cell>
          <cell r="L3543" t="str">
            <v>No</v>
          </cell>
        </row>
        <row r="3544">
          <cell r="G3544" t="str">
            <v>Miscellaneous</v>
          </cell>
          <cell r="H3544" t="str">
            <v>Misc</v>
          </cell>
          <cell r="K3544" t="str">
            <v>Non-Product</v>
          </cell>
          <cell r="L3544" t="str">
            <v>No</v>
          </cell>
        </row>
        <row r="3545">
          <cell r="G3545" t="str">
            <v>Miscellaneous</v>
          </cell>
          <cell r="H3545" t="str">
            <v>Misc</v>
          </cell>
          <cell r="K3545" t="str">
            <v>Non-Product</v>
          </cell>
          <cell r="L3545" t="str">
            <v>No</v>
          </cell>
        </row>
        <row r="3546">
          <cell r="G3546" t="str">
            <v>Miscellaneous</v>
          </cell>
          <cell r="H3546" t="str">
            <v>Misc</v>
          </cell>
          <cell r="K3546" t="str">
            <v>Non-Product</v>
          </cell>
          <cell r="L3546" t="str">
            <v>No</v>
          </cell>
        </row>
        <row r="3547">
          <cell r="G3547" t="str">
            <v>Miscellaneous</v>
          </cell>
          <cell r="H3547" t="str">
            <v>Misc</v>
          </cell>
          <cell r="K3547" t="str">
            <v>Non-Product</v>
          </cell>
          <cell r="L3547" t="str">
            <v>No</v>
          </cell>
        </row>
        <row r="3548">
          <cell r="G3548" t="str">
            <v>Miscellaneous</v>
          </cell>
          <cell r="H3548" t="str">
            <v>Misc</v>
          </cell>
          <cell r="K3548" t="str">
            <v>Non-Product</v>
          </cell>
          <cell r="L3548" t="str">
            <v>No</v>
          </cell>
        </row>
        <row r="3549">
          <cell r="G3549" t="str">
            <v>Miscellaneous</v>
          </cell>
          <cell r="H3549" t="str">
            <v>Misc</v>
          </cell>
          <cell r="K3549" t="str">
            <v>Non-Product</v>
          </cell>
          <cell r="L3549" t="str">
            <v>No</v>
          </cell>
        </row>
        <row r="3550">
          <cell r="G3550" t="str">
            <v>Miscellaneous</v>
          </cell>
          <cell r="H3550" t="str">
            <v>Misc</v>
          </cell>
          <cell r="K3550" t="str">
            <v>Non-Product</v>
          </cell>
          <cell r="L3550" t="str">
            <v>No</v>
          </cell>
        </row>
        <row r="3551">
          <cell r="G3551" t="str">
            <v>Miscellaneous</v>
          </cell>
          <cell r="H3551" t="str">
            <v>Misc</v>
          </cell>
          <cell r="K3551" t="str">
            <v>Non-Product</v>
          </cell>
          <cell r="L3551" t="str">
            <v>No</v>
          </cell>
        </row>
        <row r="3552">
          <cell r="G3552" t="str">
            <v>Miscellaneous</v>
          </cell>
          <cell r="H3552" t="str">
            <v>Misc</v>
          </cell>
          <cell r="K3552" t="str">
            <v>Non-Product</v>
          </cell>
          <cell r="L3552" t="str">
            <v>No</v>
          </cell>
        </row>
        <row r="3553">
          <cell r="G3553" t="str">
            <v>Miscellaneous</v>
          </cell>
          <cell r="H3553" t="str">
            <v>Misc</v>
          </cell>
          <cell r="K3553" t="str">
            <v>Non-Product</v>
          </cell>
          <cell r="L3553" t="str">
            <v>No</v>
          </cell>
        </row>
        <row r="3554">
          <cell r="G3554" t="str">
            <v>Miscellaneous</v>
          </cell>
          <cell r="H3554" t="str">
            <v>Misc</v>
          </cell>
          <cell r="K3554" t="str">
            <v>Non-Product</v>
          </cell>
          <cell r="L3554" t="str">
            <v>No</v>
          </cell>
        </row>
        <row r="3555">
          <cell r="G3555" t="str">
            <v>Miscellaneous</v>
          </cell>
          <cell r="H3555" t="str">
            <v>Misc</v>
          </cell>
          <cell r="K3555" t="str">
            <v>Non-Product</v>
          </cell>
          <cell r="L3555" t="str">
            <v>No</v>
          </cell>
        </row>
        <row r="3556">
          <cell r="G3556" t="str">
            <v>Miscellaneous</v>
          </cell>
          <cell r="H3556" t="str">
            <v>Misc</v>
          </cell>
          <cell r="K3556" t="str">
            <v>Non-Product</v>
          </cell>
          <cell r="L3556" t="str">
            <v>No</v>
          </cell>
        </row>
        <row r="3557">
          <cell r="G3557" t="str">
            <v>Miscellaneous</v>
          </cell>
          <cell r="H3557" t="str">
            <v>Misc</v>
          </cell>
          <cell r="K3557" t="str">
            <v>Non-Product</v>
          </cell>
          <cell r="L3557" t="str">
            <v>No</v>
          </cell>
        </row>
        <row r="3558">
          <cell r="G3558" t="str">
            <v>Miscellaneous</v>
          </cell>
          <cell r="H3558" t="str">
            <v>Misc</v>
          </cell>
          <cell r="K3558" t="str">
            <v>Non-Product</v>
          </cell>
          <cell r="L3558" t="str">
            <v>No</v>
          </cell>
        </row>
        <row r="3559">
          <cell r="G3559" t="str">
            <v>Miscellaneous</v>
          </cell>
          <cell r="H3559" t="str">
            <v>Misc</v>
          </cell>
          <cell r="K3559" t="str">
            <v>Non-Product</v>
          </cell>
          <cell r="L3559" t="str">
            <v>No</v>
          </cell>
        </row>
        <row r="3560">
          <cell r="G3560" t="str">
            <v>Miscellaneous</v>
          </cell>
          <cell r="H3560" t="str">
            <v>Misc</v>
          </cell>
          <cell r="K3560" t="str">
            <v>Non-Product</v>
          </cell>
          <cell r="L3560" t="str">
            <v>No</v>
          </cell>
        </row>
        <row r="3561">
          <cell r="G3561" t="str">
            <v>Miscellaneous</v>
          </cell>
          <cell r="H3561" t="str">
            <v>Misc</v>
          </cell>
          <cell r="K3561" t="str">
            <v>Non-Product</v>
          </cell>
          <cell r="L3561" t="str">
            <v>No</v>
          </cell>
        </row>
        <row r="3562">
          <cell r="G3562" t="str">
            <v>Miscellaneous</v>
          </cell>
          <cell r="H3562" t="str">
            <v>Misc</v>
          </cell>
          <cell r="K3562" t="str">
            <v>Non-Product</v>
          </cell>
          <cell r="L3562" t="str">
            <v>No</v>
          </cell>
        </row>
        <row r="3563">
          <cell r="G3563" t="str">
            <v>Miscellaneous</v>
          </cell>
          <cell r="H3563" t="str">
            <v>Misc</v>
          </cell>
          <cell r="K3563" t="str">
            <v>Non-Product</v>
          </cell>
          <cell r="L3563" t="str">
            <v>No</v>
          </cell>
        </row>
        <row r="3564">
          <cell r="G3564" t="str">
            <v>Miscellaneous</v>
          </cell>
          <cell r="H3564" t="str">
            <v>Misc</v>
          </cell>
          <cell r="K3564" t="str">
            <v>Non-Product</v>
          </cell>
          <cell r="L3564" t="str">
            <v>No</v>
          </cell>
        </row>
        <row r="3565">
          <cell r="G3565" t="str">
            <v>Miscellaneous</v>
          </cell>
          <cell r="H3565" t="str">
            <v>Misc</v>
          </cell>
          <cell r="K3565" t="str">
            <v>Non-Product</v>
          </cell>
          <cell r="L3565" t="str">
            <v>No</v>
          </cell>
        </row>
        <row r="3566">
          <cell r="G3566" t="str">
            <v>Miscellaneous</v>
          </cell>
          <cell r="H3566" t="str">
            <v>Misc</v>
          </cell>
          <cell r="K3566" t="str">
            <v>Non-Product</v>
          </cell>
          <cell r="L3566" t="str">
            <v>No</v>
          </cell>
        </row>
        <row r="3567">
          <cell r="G3567" t="str">
            <v>Miscellaneous</v>
          </cell>
          <cell r="H3567" t="str">
            <v>Misc</v>
          </cell>
          <cell r="K3567" t="str">
            <v>Non-Product</v>
          </cell>
          <cell r="L3567" t="str">
            <v>No</v>
          </cell>
        </row>
        <row r="3568">
          <cell r="G3568" t="str">
            <v>Miscellaneous</v>
          </cell>
          <cell r="H3568" t="str">
            <v>Misc</v>
          </cell>
          <cell r="K3568" t="str">
            <v>Non-Product</v>
          </cell>
          <cell r="L3568" t="str">
            <v>No</v>
          </cell>
        </row>
        <row r="3569">
          <cell r="G3569" t="str">
            <v>Miscellaneous</v>
          </cell>
          <cell r="H3569" t="str">
            <v>Misc</v>
          </cell>
          <cell r="K3569" t="str">
            <v>Non-Product</v>
          </cell>
          <cell r="L3569" t="str">
            <v>No</v>
          </cell>
        </row>
        <row r="3570">
          <cell r="G3570" t="str">
            <v>Miscellaneous</v>
          </cell>
          <cell r="H3570" t="str">
            <v>Misc</v>
          </cell>
          <cell r="K3570" t="str">
            <v>Non-Product</v>
          </cell>
          <cell r="L3570" t="str">
            <v>No</v>
          </cell>
        </row>
        <row r="3571">
          <cell r="G3571" t="str">
            <v>Miscellaneous</v>
          </cell>
          <cell r="H3571" t="str">
            <v>Misc</v>
          </cell>
          <cell r="K3571" t="str">
            <v>Non-Product</v>
          </cell>
          <cell r="L3571" t="str">
            <v>No</v>
          </cell>
        </row>
        <row r="3572">
          <cell r="G3572" t="str">
            <v>Miscellaneous</v>
          </cell>
          <cell r="H3572" t="str">
            <v>Misc</v>
          </cell>
          <cell r="K3572" t="str">
            <v>Non-Product</v>
          </cell>
          <cell r="L3572" t="str">
            <v>No</v>
          </cell>
        </row>
        <row r="3573">
          <cell r="G3573" t="str">
            <v>Miscellaneous</v>
          </cell>
          <cell r="H3573" t="str">
            <v>Misc</v>
          </cell>
          <cell r="K3573" t="str">
            <v>Non-Product</v>
          </cell>
          <cell r="L3573" t="str">
            <v>No</v>
          </cell>
        </row>
        <row r="3574">
          <cell r="G3574" t="str">
            <v>Miscellaneous</v>
          </cell>
          <cell r="H3574" t="str">
            <v>Misc</v>
          </cell>
          <cell r="K3574" t="str">
            <v>Non-Product</v>
          </cell>
          <cell r="L3574" t="str">
            <v>No</v>
          </cell>
        </row>
        <row r="3575">
          <cell r="G3575" t="str">
            <v>Miscellaneous</v>
          </cell>
          <cell r="H3575" t="str">
            <v>Misc</v>
          </cell>
          <cell r="K3575" t="str">
            <v>Non-Product</v>
          </cell>
          <cell r="L3575" t="str">
            <v>No</v>
          </cell>
        </row>
        <row r="3576">
          <cell r="G3576" t="str">
            <v>Miscellaneous</v>
          </cell>
          <cell r="H3576" t="str">
            <v>Misc</v>
          </cell>
          <cell r="K3576" t="str">
            <v>Non-Product</v>
          </cell>
          <cell r="L3576" t="str">
            <v>No</v>
          </cell>
        </row>
        <row r="3577">
          <cell r="G3577" t="str">
            <v>Miscellaneous</v>
          </cell>
          <cell r="H3577" t="str">
            <v>Misc</v>
          </cell>
          <cell r="K3577" t="str">
            <v>Non-Product</v>
          </cell>
          <cell r="L3577" t="str">
            <v>No</v>
          </cell>
        </row>
        <row r="3578">
          <cell r="G3578" t="str">
            <v>Miscellaneous</v>
          </cell>
          <cell r="H3578" t="str">
            <v>Misc</v>
          </cell>
          <cell r="K3578" t="str">
            <v>Non-Product</v>
          </cell>
          <cell r="L3578" t="str">
            <v>No</v>
          </cell>
        </row>
        <row r="3579">
          <cell r="G3579" t="str">
            <v>Miscellaneous</v>
          </cell>
          <cell r="H3579" t="str">
            <v>Misc</v>
          </cell>
          <cell r="K3579" t="str">
            <v>Non-Product</v>
          </cell>
          <cell r="L3579" t="str">
            <v>No</v>
          </cell>
        </row>
        <row r="3580">
          <cell r="G3580" t="str">
            <v>Miscellaneous</v>
          </cell>
          <cell r="H3580" t="str">
            <v>Misc</v>
          </cell>
          <cell r="K3580" t="str">
            <v>Non-Product</v>
          </cell>
          <cell r="L3580" t="str">
            <v>No</v>
          </cell>
        </row>
        <row r="3581">
          <cell r="G3581" t="str">
            <v>Miscellaneous</v>
          </cell>
          <cell r="H3581" t="str">
            <v>Misc</v>
          </cell>
          <cell r="K3581" t="str">
            <v>Non-Product</v>
          </cell>
          <cell r="L3581" t="str">
            <v>No</v>
          </cell>
        </row>
        <row r="3582">
          <cell r="G3582" t="str">
            <v>Miscellaneous</v>
          </cell>
          <cell r="H3582" t="str">
            <v>Misc</v>
          </cell>
          <cell r="K3582" t="str">
            <v>Non-Product</v>
          </cell>
          <cell r="L3582" t="str">
            <v>No</v>
          </cell>
        </row>
        <row r="3583">
          <cell r="G3583" t="str">
            <v>Miscellaneous</v>
          </cell>
          <cell r="H3583" t="str">
            <v>Misc</v>
          </cell>
          <cell r="K3583" t="str">
            <v>Non-Product</v>
          </cell>
          <cell r="L3583" t="str">
            <v>No</v>
          </cell>
        </row>
        <row r="3584">
          <cell r="G3584" t="str">
            <v>Miscellaneous</v>
          </cell>
          <cell r="H3584" t="str">
            <v>Misc</v>
          </cell>
          <cell r="K3584" t="str">
            <v>Non-Product</v>
          </cell>
          <cell r="L3584" t="str">
            <v>No</v>
          </cell>
        </row>
        <row r="3585">
          <cell r="G3585" t="str">
            <v>Miscellaneous</v>
          </cell>
          <cell r="H3585" t="str">
            <v>Misc</v>
          </cell>
          <cell r="K3585" t="str">
            <v>Non-Product</v>
          </cell>
          <cell r="L3585" t="str">
            <v>No</v>
          </cell>
        </row>
        <row r="3586">
          <cell r="G3586" t="str">
            <v>Miscellaneous</v>
          </cell>
          <cell r="H3586" t="str">
            <v>Misc</v>
          </cell>
          <cell r="K3586" t="str">
            <v>Non-Product</v>
          </cell>
          <cell r="L3586" t="str">
            <v>No</v>
          </cell>
        </row>
        <row r="3587">
          <cell r="G3587" t="str">
            <v>Miscellaneous</v>
          </cell>
          <cell r="H3587" t="str">
            <v>Misc</v>
          </cell>
          <cell r="K3587" t="str">
            <v>Non-Product</v>
          </cell>
          <cell r="L3587" t="str">
            <v>No</v>
          </cell>
        </row>
        <row r="3588">
          <cell r="G3588" t="str">
            <v>Miscellaneous</v>
          </cell>
          <cell r="H3588" t="str">
            <v>Misc</v>
          </cell>
          <cell r="K3588" t="str">
            <v>Non-Product</v>
          </cell>
          <cell r="L3588" t="str">
            <v>No</v>
          </cell>
        </row>
        <row r="3589">
          <cell r="G3589" t="str">
            <v>Miscellaneous</v>
          </cell>
          <cell r="H3589" t="str">
            <v>Misc</v>
          </cell>
          <cell r="K3589" t="str">
            <v>Non-Product</v>
          </cell>
          <cell r="L3589" t="str">
            <v>No</v>
          </cell>
        </row>
        <row r="3590">
          <cell r="G3590" t="str">
            <v>Miscellaneous</v>
          </cell>
          <cell r="H3590" t="str">
            <v>Misc</v>
          </cell>
          <cell r="K3590" t="str">
            <v>Non-Product</v>
          </cell>
          <cell r="L3590" t="str">
            <v>No</v>
          </cell>
        </row>
        <row r="3591">
          <cell r="G3591" t="str">
            <v>Miscellaneous</v>
          </cell>
          <cell r="H3591" t="str">
            <v>Misc</v>
          </cell>
          <cell r="K3591" t="str">
            <v>Non-Product</v>
          </cell>
          <cell r="L3591" t="str">
            <v>No</v>
          </cell>
        </row>
        <row r="3592">
          <cell r="G3592" t="str">
            <v>Miscellaneous</v>
          </cell>
          <cell r="H3592" t="str">
            <v>Misc</v>
          </cell>
          <cell r="K3592" t="str">
            <v>Non-Product</v>
          </cell>
          <cell r="L3592" t="str">
            <v>No</v>
          </cell>
        </row>
        <row r="3593">
          <cell r="G3593" t="str">
            <v>Miscellaneous</v>
          </cell>
          <cell r="H3593" t="str">
            <v>Misc</v>
          </cell>
          <cell r="K3593" t="str">
            <v>Non-Product</v>
          </cell>
          <cell r="L3593" t="str">
            <v>No</v>
          </cell>
        </row>
        <row r="3594">
          <cell r="G3594" t="str">
            <v>Miscellaneous</v>
          </cell>
          <cell r="H3594" t="str">
            <v>Misc</v>
          </cell>
          <cell r="K3594" t="str">
            <v>Non-Product</v>
          </cell>
          <cell r="L3594" t="str">
            <v>No</v>
          </cell>
        </row>
        <row r="3595">
          <cell r="G3595" t="str">
            <v>Miscellaneous</v>
          </cell>
          <cell r="H3595" t="str">
            <v>Misc</v>
          </cell>
          <cell r="K3595" t="str">
            <v>Non-Product</v>
          </cell>
          <cell r="L3595" t="str">
            <v>No</v>
          </cell>
        </row>
        <row r="3596">
          <cell r="G3596" t="str">
            <v>Miscellaneous</v>
          </cell>
          <cell r="H3596" t="str">
            <v>Misc</v>
          </cell>
          <cell r="K3596" t="str">
            <v>Non-Product</v>
          </cell>
          <cell r="L3596" t="str">
            <v>No</v>
          </cell>
        </row>
        <row r="3597">
          <cell r="G3597" t="str">
            <v>Miscellaneous</v>
          </cell>
          <cell r="H3597" t="str">
            <v>Misc</v>
          </cell>
          <cell r="K3597" t="str">
            <v>Non-Product</v>
          </cell>
          <cell r="L3597" t="str">
            <v>No</v>
          </cell>
        </row>
        <row r="3598">
          <cell r="G3598" t="str">
            <v>Miscellaneous</v>
          </cell>
          <cell r="H3598" t="str">
            <v>Misc</v>
          </cell>
          <cell r="K3598" t="str">
            <v>Non-Product</v>
          </cell>
          <cell r="L3598" t="str">
            <v>No</v>
          </cell>
        </row>
        <row r="3599">
          <cell r="G3599" t="str">
            <v>Miscellaneous</v>
          </cell>
          <cell r="H3599" t="str">
            <v>Misc</v>
          </cell>
          <cell r="K3599" t="str">
            <v>Non-Product</v>
          </cell>
          <cell r="L3599" t="str">
            <v>No</v>
          </cell>
        </row>
        <row r="3600">
          <cell r="G3600" t="str">
            <v>Miscellaneous</v>
          </cell>
          <cell r="H3600" t="str">
            <v>Misc</v>
          </cell>
          <cell r="K3600" t="str">
            <v>Non-Product</v>
          </cell>
          <cell r="L3600" t="str">
            <v>No</v>
          </cell>
        </row>
        <row r="3601">
          <cell r="G3601" t="str">
            <v>Miscellaneous</v>
          </cell>
          <cell r="H3601" t="str">
            <v>Misc</v>
          </cell>
          <cell r="K3601" t="str">
            <v>Non-Product</v>
          </cell>
          <cell r="L3601" t="str">
            <v>No</v>
          </cell>
        </row>
        <row r="3602">
          <cell r="G3602" t="str">
            <v>Miscellaneous</v>
          </cell>
          <cell r="H3602" t="str">
            <v>Misc</v>
          </cell>
          <cell r="K3602" t="str">
            <v>Non-Product</v>
          </cell>
          <cell r="L3602" t="str">
            <v>No</v>
          </cell>
        </row>
        <row r="3603">
          <cell r="G3603" t="str">
            <v>Miscellaneous</v>
          </cell>
          <cell r="H3603" t="str">
            <v>Misc</v>
          </cell>
          <cell r="K3603" t="str">
            <v>Non-Product</v>
          </cell>
          <cell r="L3603" t="str">
            <v>No</v>
          </cell>
        </row>
        <row r="3604">
          <cell r="G3604" t="str">
            <v>Miscellaneous</v>
          </cell>
          <cell r="H3604" t="str">
            <v>Misc</v>
          </cell>
          <cell r="K3604" t="str">
            <v>Non-Product</v>
          </cell>
          <cell r="L3604" t="str">
            <v>No</v>
          </cell>
        </row>
        <row r="3605">
          <cell r="G3605" t="str">
            <v>Miscellaneous</v>
          </cell>
          <cell r="H3605" t="str">
            <v>Misc</v>
          </cell>
          <cell r="K3605" t="str">
            <v>Non-Product</v>
          </cell>
          <cell r="L3605" t="str">
            <v>No</v>
          </cell>
        </row>
        <row r="3606">
          <cell r="G3606" t="str">
            <v>Miscellaneous</v>
          </cell>
          <cell r="H3606" t="str">
            <v>Misc</v>
          </cell>
          <cell r="K3606" t="str">
            <v>Non-Product</v>
          </cell>
          <cell r="L3606" t="str">
            <v>No</v>
          </cell>
        </row>
        <row r="3607">
          <cell r="G3607" t="str">
            <v>Miscellaneous</v>
          </cell>
          <cell r="H3607" t="str">
            <v>Misc</v>
          </cell>
          <cell r="K3607" t="str">
            <v>Non-Product</v>
          </cell>
          <cell r="L3607" t="str">
            <v>No</v>
          </cell>
        </row>
        <row r="3608">
          <cell r="G3608" t="str">
            <v>Miscellaneous</v>
          </cell>
          <cell r="H3608" t="str">
            <v>Misc</v>
          </cell>
          <cell r="K3608" t="str">
            <v>Non-Product</v>
          </cell>
          <cell r="L3608" t="str">
            <v>No</v>
          </cell>
        </row>
        <row r="3609">
          <cell r="G3609" t="str">
            <v>Miscellaneous</v>
          </cell>
          <cell r="H3609" t="str">
            <v>Misc</v>
          </cell>
          <cell r="K3609" t="str">
            <v>Non-Product</v>
          </cell>
          <cell r="L3609" t="str">
            <v>No</v>
          </cell>
        </row>
        <row r="3610">
          <cell r="G3610" t="str">
            <v>Miscellaneous</v>
          </cell>
          <cell r="H3610" t="str">
            <v>Misc</v>
          </cell>
          <cell r="K3610" t="str">
            <v>Non-Product</v>
          </cell>
          <cell r="L3610" t="str">
            <v>No</v>
          </cell>
        </row>
        <row r="3611">
          <cell r="G3611" t="str">
            <v>Miscellaneous</v>
          </cell>
          <cell r="H3611" t="str">
            <v>Misc</v>
          </cell>
          <cell r="K3611" t="str">
            <v>Non-Product</v>
          </cell>
          <cell r="L3611" t="str">
            <v>No</v>
          </cell>
        </row>
        <row r="3612">
          <cell r="G3612" t="str">
            <v>Miscellaneous</v>
          </cell>
          <cell r="H3612" t="str">
            <v>Misc</v>
          </cell>
          <cell r="K3612" t="str">
            <v>Non-Product</v>
          </cell>
          <cell r="L3612" t="str">
            <v>No</v>
          </cell>
        </row>
        <row r="3613">
          <cell r="G3613" t="str">
            <v>Miscellaneous</v>
          </cell>
          <cell r="H3613" t="str">
            <v>Misc</v>
          </cell>
          <cell r="K3613" t="str">
            <v>Non-Product</v>
          </cell>
          <cell r="L3613" t="str">
            <v>No</v>
          </cell>
        </row>
        <row r="3614">
          <cell r="G3614" t="str">
            <v>Miscellaneous</v>
          </cell>
          <cell r="H3614" t="str">
            <v>Misc</v>
          </cell>
          <cell r="K3614" t="str">
            <v>Non-Product</v>
          </cell>
          <cell r="L3614" t="str">
            <v>No</v>
          </cell>
        </row>
        <row r="3615">
          <cell r="G3615" t="str">
            <v>Miscellaneous</v>
          </cell>
          <cell r="H3615" t="str">
            <v>Misc</v>
          </cell>
          <cell r="K3615" t="str">
            <v>Non-Product</v>
          </cell>
          <cell r="L3615" t="str">
            <v>No</v>
          </cell>
        </row>
        <row r="3616">
          <cell r="G3616" t="str">
            <v>Miscellaneous</v>
          </cell>
          <cell r="H3616" t="str">
            <v>Misc</v>
          </cell>
          <cell r="K3616" t="str">
            <v>Non-Product</v>
          </cell>
          <cell r="L3616" t="str">
            <v>No</v>
          </cell>
        </row>
        <row r="3617">
          <cell r="G3617" t="str">
            <v>Miscellaneous</v>
          </cell>
          <cell r="H3617" t="str">
            <v>Misc</v>
          </cell>
          <cell r="K3617" t="str">
            <v>Non-Product</v>
          </cell>
          <cell r="L3617" t="str">
            <v>No</v>
          </cell>
        </row>
        <row r="3618">
          <cell r="G3618" t="str">
            <v>Miscellaneous</v>
          </cell>
          <cell r="H3618" t="str">
            <v>Misc</v>
          </cell>
          <cell r="K3618" t="str">
            <v>Non-Product</v>
          </cell>
          <cell r="L3618" t="str">
            <v>No</v>
          </cell>
        </row>
        <row r="3619">
          <cell r="G3619" t="str">
            <v>Miscellaneous</v>
          </cell>
          <cell r="H3619" t="str">
            <v>Misc</v>
          </cell>
          <cell r="K3619" t="str">
            <v>Non-Product</v>
          </cell>
          <cell r="L3619" t="str">
            <v>No</v>
          </cell>
        </row>
        <row r="3620">
          <cell r="G3620" t="str">
            <v>Miscellaneous</v>
          </cell>
          <cell r="H3620" t="str">
            <v>Misc</v>
          </cell>
          <cell r="K3620" t="str">
            <v>Non-Product</v>
          </cell>
          <cell r="L3620" t="str">
            <v>No</v>
          </cell>
        </row>
        <row r="3621">
          <cell r="G3621" t="str">
            <v>Miscellaneous</v>
          </cell>
          <cell r="H3621" t="str">
            <v>Misc</v>
          </cell>
          <cell r="K3621" t="str">
            <v>Non-Product</v>
          </cell>
          <cell r="L3621" t="str">
            <v>No</v>
          </cell>
        </row>
        <row r="3622">
          <cell r="G3622" t="str">
            <v>Miscellaneous</v>
          </cell>
          <cell r="H3622" t="str">
            <v>Misc</v>
          </cell>
          <cell r="K3622" t="str">
            <v>Non-Product</v>
          </cell>
          <cell r="L3622" t="str">
            <v>No</v>
          </cell>
        </row>
        <row r="3623">
          <cell r="G3623" t="str">
            <v>Miscellaneous</v>
          </cell>
          <cell r="H3623" t="str">
            <v>Misc</v>
          </cell>
          <cell r="K3623" t="str">
            <v>Non-Product</v>
          </cell>
          <cell r="L3623" t="str">
            <v>No</v>
          </cell>
        </row>
        <row r="3624">
          <cell r="G3624" t="str">
            <v>Miscellaneous</v>
          </cell>
          <cell r="H3624" t="str">
            <v>Misc</v>
          </cell>
          <cell r="K3624" t="str">
            <v>Non-Product</v>
          </cell>
          <cell r="L3624" t="str">
            <v>No</v>
          </cell>
        </row>
        <row r="3625">
          <cell r="G3625" t="str">
            <v>Miscellaneous</v>
          </cell>
          <cell r="H3625" t="str">
            <v>Misc</v>
          </cell>
          <cell r="K3625" t="str">
            <v>Non-Product</v>
          </cell>
          <cell r="L3625" t="str">
            <v>No</v>
          </cell>
        </row>
        <row r="3626">
          <cell r="G3626" t="str">
            <v>Miscellaneous</v>
          </cell>
          <cell r="H3626" t="str">
            <v>Misc</v>
          </cell>
          <cell r="K3626" t="str">
            <v>Non-Product</v>
          </cell>
          <cell r="L3626" t="str">
            <v>No</v>
          </cell>
        </row>
        <row r="3627">
          <cell r="G3627" t="str">
            <v>Miscellaneous</v>
          </cell>
          <cell r="H3627" t="str">
            <v>Misc</v>
          </cell>
          <cell r="K3627" t="str">
            <v>Non-Product</v>
          </cell>
          <cell r="L3627" t="str">
            <v>No</v>
          </cell>
        </row>
        <row r="3628">
          <cell r="G3628" t="str">
            <v>Misc</v>
          </cell>
          <cell r="H3628" t="str">
            <v>Misc</v>
          </cell>
          <cell r="K3628" t="str">
            <v>Non-Product</v>
          </cell>
          <cell r="L3628" t="str">
            <v>No</v>
          </cell>
        </row>
        <row r="3629">
          <cell r="G3629" t="str">
            <v>Miscellaneous</v>
          </cell>
          <cell r="H3629" t="str">
            <v>Misc</v>
          </cell>
          <cell r="K3629" t="str">
            <v>Non-Product</v>
          </cell>
          <cell r="L3629" t="str">
            <v>No</v>
          </cell>
        </row>
        <row r="3630">
          <cell r="G3630" t="str">
            <v>Miscellaneous</v>
          </cell>
          <cell r="H3630" t="str">
            <v>Misc</v>
          </cell>
          <cell r="K3630" t="str">
            <v>Non-Product</v>
          </cell>
          <cell r="L3630" t="str">
            <v>No</v>
          </cell>
        </row>
        <row r="3631">
          <cell r="G3631" t="str">
            <v>Miscellaneous</v>
          </cell>
          <cell r="H3631" t="str">
            <v>Misc</v>
          </cell>
          <cell r="K3631" t="str">
            <v>Non-Product</v>
          </cell>
          <cell r="L3631" t="str">
            <v>No</v>
          </cell>
        </row>
        <row r="3632">
          <cell r="G3632" t="str">
            <v>Miscellaneous</v>
          </cell>
          <cell r="H3632" t="str">
            <v>Misc</v>
          </cell>
          <cell r="K3632" t="str">
            <v>Non-Product</v>
          </cell>
          <cell r="L3632" t="str">
            <v>No</v>
          </cell>
        </row>
        <row r="3633">
          <cell r="G3633" t="str">
            <v>Miscellaneous</v>
          </cell>
          <cell r="H3633" t="str">
            <v>Misc</v>
          </cell>
          <cell r="K3633" t="str">
            <v>Non-Product</v>
          </cell>
          <cell r="L3633" t="str">
            <v>No</v>
          </cell>
        </row>
        <row r="3634">
          <cell r="G3634" t="str">
            <v>Miscellaneous</v>
          </cell>
          <cell r="H3634" t="str">
            <v>Misc</v>
          </cell>
          <cell r="K3634" t="str">
            <v>Non-Product</v>
          </cell>
          <cell r="L3634" t="str">
            <v>No</v>
          </cell>
        </row>
        <row r="3635">
          <cell r="G3635" t="str">
            <v>Miscellaneous</v>
          </cell>
          <cell r="H3635" t="str">
            <v>Misc</v>
          </cell>
          <cell r="K3635" t="str">
            <v>Non-Product</v>
          </cell>
          <cell r="L3635" t="str">
            <v>No</v>
          </cell>
        </row>
        <row r="3636">
          <cell r="G3636" t="str">
            <v>Miscellaneous</v>
          </cell>
          <cell r="H3636" t="str">
            <v>Misc</v>
          </cell>
          <cell r="K3636" t="str">
            <v>Non-Product</v>
          </cell>
          <cell r="L3636" t="str">
            <v>No</v>
          </cell>
        </row>
        <row r="3637">
          <cell r="G3637" t="str">
            <v>Miscellaneous</v>
          </cell>
          <cell r="H3637" t="str">
            <v>Misc</v>
          </cell>
          <cell r="K3637" t="str">
            <v>Non-Product</v>
          </cell>
          <cell r="L3637" t="str">
            <v>No</v>
          </cell>
        </row>
        <row r="3638">
          <cell r="G3638" t="str">
            <v>Miscellaneous</v>
          </cell>
          <cell r="H3638" t="str">
            <v>Misc</v>
          </cell>
          <cell r="K3638" t="str">
            <v>Non-Product</v>
          </cell>
          <cell r="L3638" t="str">
            <v>No</v>
          </cell>
        </row>
        <row r="3639">
          <cell r="G3639" t="str">
            <v>Miscellaneous</v>
          </cell>
          <cell r="H3639" t="str">
            <v>Misc</v>
          </cell>
          <cell r="K3639" t="str">
            <v>Non-Product</v>
          </cell>
          <cell r="L3639" t="str">
            <v>No</v>
          </cell>
        </row>
        <row r="3640">
          <cell r="G3640" t="str">
            <v>Miscellaneous</v>
          </cell>
          <cell r="H3640" t="str">
            <v>Misc</v>
          </cell>
          <cell r="K3640" t="str">
            <v>Non-Product</v>
          </cell>
          <cell r="L3640" t="str">
            <v>No</v>
          </cell>
        </row>
        <row r="3641">
          <cell r="G3641" t="str">
            <v>Miscellaneous</v>
          </cell>
          <cell r="H3641" t="str">
            <v>Misc</v>
          </cell>
          <cell r="K3641" t="str">
            <v>Non-Product</v>
          </cell>
          <cell r="L3641" t="str">
            <v>No</v>
          </cell>
        </row>
        <row r="3642">
          <cell r="G3642" t="str">
            <v>Miscellaneous</v>
          </cell>
          <cell r="H3642" t="str">
            <v>Misc</v>
          </cell>
          <cell r="K3642" t="str">
            <v>Non-Product</v>
          </cell>
          <cell r="L3642" t="str">
            <v>No</v>
          </cell>
        </row>
        <row r="3643">
          <cell r="G3643" t="str">
            <v>Miscellaneous</v>
          </cell>
          <cell r="H3643" t="str">
            <v>Misc</v>
          </cell>
          <cell r="K3643" t="str">
            <v>Non-Product</v>
          </cell>
          <cell r="L3643" t="str">
            <v>No</v>
          </cell>
        </row>
        <row r="3644">
          <cell r="G3644" t="str">
            <v>Miscellaneous</v>
          </cell>
          <cell r="H3644" t="str">
            <v>Misc</v>
          </cell>
          <cell r="K3644" t="str">
            <v>Non-Product</v>
          </cell>
          <cell r="L3644" t="str">
            <v>No</v>
          </cell>
        </row>
        <row r="3645">
          <cell r="G3645" t="str">
            <v>Miscellaneous</v>
          </cell>
          <cell r="H3645" t="str">
            <v>Misc</v>
          </cell>
          <cell r="K3645" t="str">
            <v>Non-Product</v>
          </cell>
          <cell r="L3645" t="str">
            <v>No</v>
          </cell>
        </row>
        <row r="3646">
          <cell r="G3646" t="str">
            <v>Miscellaneous</v>
          </cell>
          <cell r="H3646" t="str">
            <v>Misc</v>
          </cell>
          <cell r="K3646" t="str">
            <v>Non-Product</v>
          </cell>
          <cell r="L3646" t="str">
            <v>No</v>
          </cell>
        </row>
        <row r="3647">
          <cell r="G3647" t="str">
            <v>Miscellaneous</v>
          </cell>
          <cell r="H3647" t="str">
            <v>Misc</v>
          </cell>
          <cell r="K3647" t="str">
            <v>Non-Product</v>
          </cell>
          <cell r="L3647" t="str">
            <v>No</v>
          </cell>
        </row>
        <row r="3648">
          <cell r="G3648" t="str">
            <v>Miscellaneous</v>
          </cell>
          <cell r="H3648" t="str">
            <v>Misc</v>
          </cell>
          <cell r="K3648" t="str">
            <v>Non-Product</v>
          </cell>
          <cell r="L3648" t="str">
            <v>No</v>
          </cell>
        </row>
        <row r="3649">
          <cell r="G3649" t="str">
            <v>Miscellaneous</v>
          </cell>
          <cell r="H3649" t="str">
            <v>Misc</v>
          </cell>
          <cell r="K3649" t="str">
            <v>Non-Product</v>
          </cell>
          <cell r="L3649" t="str">
            <v>No</v>
          </cell>
        </row>
        <row r="3650">
          <cell r="G3650" t="str">
            <v>Miscellaneous</v>
          </cell>
          <cell r="H3650" t="str">
            <v>Misc</v>
          </cell>
          <cell r="K3650" t="str">
            <v>Non-Product</v>
          </cell>
          <cell r="L3650" t="str">
            <v>No</v>
          </cell>
        </row>
        <row r="3651">
          <cell r="G3651" t="str">
            <v>Miscellaneous</v>
          </cell>
          <cell r="H3651" t="str">
            <v>Misc</v>
          </cell>
          <cell r="K3651" t="str">
            <v>Non-Product</v>
          </cell>
          <cell r="L3651" t="str">
            <v>No</v>
          </cell>
        </row>
        <row r="3652">
          <cell r="G3652" t="str">
            <v>Miscellaneous</v>
          </cell>
          <cell r="H3652" t="str">
            <v>Misc</v>
          </cell>
          <cell r="K3652" t="str">
            <v>Non-Product</v>
          </cell>
          <cell r="L3652" t="str">
            <v>No</v>
          </cell>
        </row>
        <row r="3653">
          <cell r="G3653" t="str">
            <v>Miscellaneous</v>
          </cell>
          <cell r="H3653" t="str">
            <v>Misc</v>
          </cell>
          <cell r="K3653" t="str">
            <v>Non-Product</v>
          </cell>
          <cell r="L3653" t="str">
            <v>No</v>
          </cell>
        </row>
        <row r="3654">
          <cell r="G3654" t="str">
            <v>Miscellaneous</v>
          </cell>
          <cell r="H3654" t="str">
            <v>Misc</v>
          </cell>
          <cell r="K3654" t="str">
            <v>Non-Product</v>
          </cell>
          <cell r="L3654" t="str">
            <v>No</v>
          </cell>
        </row>
        <row r="3655">
          <cell r="G3655" t="str">
            <v>Miscellaneous</v>
          </cell>
          <cell r="H3655" t="str">
            <v>Misc</v>
          </cell>
          <cell r="K3655" t="str">
            <v>Non-Product</v>
          </cell>
          <cell r="L3655" t="str">
            <v>No</v>
          </cell>
        </row>
        <row r="3656">
          <cell r="G3656" t="str">
            <v>Miscellaneous</v>
          </cell>
          <cell r="H3656" t="str">
            <v>Misc</v>
          </cell>
          <cell r="K3656" t="str">
            <v>Non-Product</v>
          </cell>
          <cell r="L3656" t="str">
            <v>No</v>
          </cell>
        </row>
        <row r="3657">
          <cell r="G3657" t="str">
            <v>Miscellaneous</v>
          </cell>
          <cell r="H3657" t="str">
            <v>Misc</v>
          </cell>
          <cell r="K3657" t="str">
            <v>Non-Product</v>
          </cell>
          <cell r="L3657" t="str">
            <v>No</v>
          </cell>
        </row>
        <row r="3658">
          <cell r="G3658" t="str">
            <v>Miscellaneous</v>
          </cell>
          <cell r="H3658" t="str">
            <v>Misc</v>
          </cell>
          <cell r="K3658" t="str">
            <v>Non-Product</v>
          </cell>
          <cell r="L3658" t="str">
            <v>No</v>
          </cell>
        </row>
        <row r="3659">
          <cell r="G3659" t="str">
            <v>Miscellaneous</v>
          </cell>
          <cell r="H3659" t="str">
            <v>Misc</v>
          </cell>
          <cell r="K3659" t="str">
            <v>Non-Product</v>
          </cell>
          <cell r="L3659" t="str">
            <v>No</v>
          </cell>
        </row>
        <row r="3660">
          <cell r="G3660" t="str">
            <v>Miscellaneous</v>
          </cell>
          <cell r="H3660" t="str">
            <v>Misc</v>
          </cell>
          <cell r="K3660" t="str">
            <v>Non-Product</v>
          </cell>
          <cell r="L3660" t="str">
            <v>No</v>
          </cell>
        </row>
        <row r="3661">
          <cell r="G3661" t="str">
            <v>Miscellaneous</v>
          </cell>
          <cell r="H3661" t="str">
            <v>Misc</v>
          </cell>
          <cell r="K3661" t="str">
            <v>Non-Product</v>
          </cell>
          <cell r="L3661" t="str">
            <v>No</v>
          </cell>
        </row>
        <row r="3662">
          <cell r="G3662" t="str">
            <v>Miscellaneous</v>
          </cell>
          <cell r="H3662" t="str">
            <v>Misc</v>
          </cell>
          <cell r="K3662" t="str">
            <v>Non-Product</v>
          </cell>
          <cell r="L3662" t="str">
            <v>No</v>
          </cell>
        </row>
        <row r="3663">
          <cell r="G3663" t="str">
            <v>Miscellaneous</v>
          </cell>
          <cell r="H3663" t="str">
            <v>Misc</v>
          </cell>
          <cell r="K3663" t="str">
            <v>Non-Product</v>
          </cell>
          <cell r="L3663" t="str">
            <v>No</v>
          </cell>
        </row>
        <row r="3664">
          <cell r="G3664" t="str">
            <v>Miscellaneous</v>
          </cell>
          <cell r="H3664" t="str">
            <v>Misc</v>
          </cell>
          <cell r="K3664" t="str">
            <v>Non-Product</v>
          </cell>
          <cell r="L3664" t="str">
            <v>No</v>
          </cell>
        </row>
        <row r="3665">
          <cell r="G3665" t="str">
            <v>Miscellaneous</v>
          </cell>
          <cell r="H3665" t="str">
            <v>Misc</v>
          </cell>
          <cell r="K3665" t="str">
            <v>Non-Product</v>
          </cell>
          <cell r="L3665" t="str">
            <v>No</v>
          </cell>
        </row>
        <row r="3666">
          <cell r="G3666" t="str">
            <v>Miscellaneous</v>
          </cell>
          <cell r="H3666" t="str">
            <v>Misc</v>
          </cell>
          <cell r="K3666" t="str">
            <v>Non-Product</v>
          </cell>
          <cell r="L3666" t="str">
            <v>No</v>
          </cell>
        </row>
        <row r="3667">
          <cell r="G3667" t="str">
            <v>Miscellaneous</v>
          </cell>
          <cell r="H3667" t="str">
            <v>Misc</v>
          </cell>
          <cell r="K3667" t="str">
            <v>Non-Product</v>
          </cell>
          <cell r="L3667" t="str">
            <v>No</v>
          </cell>
        </row>
        <row r="3668">
          <cell r="G3668" t="str">
            <v>Sixpoint</v>
          </cell>
          <cell r="H3668" t="str">
            <v>Sixpoint Brewing</v>
          </cell>
          <cell r="K3668" t="str">
            <v>Package</v>
          </cell>
          <cell r="L3668" t="str">
            <v>No</v>
          </cell>
        </row>
        <row r="3669">
          <cell r="G3669" t="str">
            <v>Miscellaneous</v>
          </cell>
          <cell r="H3669" t="str">
            <v>Misc</v>
          </cell>
          <cell r="K3669" t="str">
            <v>Non-Product</v>
          </cell>
          <cell r="L3669" t="str">
            <v>No</v>
          </cell>
        </row>
        <row r="3670">
          <cell r="G3670" t="str">
            <v>Miscellaneous</v>
          </cell>
          <cell r="H3670" t="str">
            <v>Misc</v>
          </cell>
          <cell r="K3670" t="str">
            <v>Non-Product</v>
          </cell>
          <cell r="L3670" t="str">
            <v>No</v>
          </cell>
        </row>
        <row r="3671">
          <cell r="G3671" t="str">
            <v>Miscellaneous</v>
          </cell>
          <cell r="H3671" t="str">
            <v>Misc</v>
          </cell>
          <cell r="K3671" t="str">
            <v>Non-Product</v>
          </cell>
          <cell r="L3671" t="str">
            <v>No</v>
          </cell>
        </row>
        <row r="3672">
          <cell r="G3672" t="str">
            <v>Miscellaneous</v>
          </cell>
          <cell r="H3672" t="str">
            <v>Misc</v>
          </cell>
          <cell r="K3672" t="str">
            <v>Non-Product</v>
          </cell>
          <cell r="L3672" t="str">
            <v>No</v>
          </cell>
        </row>
        <row r="3673">
          <cell r="G3673" t="str">
            <v>Miscellaneous</v>
          </cell>
          <cell r="H3673" t="str">
            <v>Misc</v>
          </cell>
          <cell r="K3673" t="str">
            <v>Non-Product</v>
          </cell>
          <cell r="L3673" t="str">
            <v>No</v>
          </cell>
        </row>
        <row r="3674">
          <cell r="G3674" t="str">
            <v>Miscellaneous</v>
          </cell>
          <cell r="H3674" t="str">
            <v>Misc</v>
          </cell>
          <cell r="K3674" t="str">
            <v>Non-Product</v>
          </cell>
          <cell r="L3674" t="str">
            <v>No</v>
          </cell>
        </row>
        <row r="3675">
          <cell r="G3675" t="str">
            <v>Lagunitas</v>
          </cell>
          <cell r="H3675" t="str">
            <v>Lagunitas Brewing Co</v>
          </cell>
          <cell r="K3675" t="str">
            <v>Package</v>
          </cell>
          <cell r="L3675" t="str">
            <v>No</v>
          </cell>
        </row>
        <row r="3676">
          <cell r="G3676" t="str">
            <v>Lagunitas</v>
          </cell>
          <cell r="H3676" t="str">
            <v>Lagunitas Brewing Co</v>
          </cell>
          <cell r="K3676" t="str">
            <v>Draft</v>
          </cell>
          <cell r="L3676" t="str">
            <v>No</v>
          </cell>
        </row>
        <row r="3677">
          <cell r="G3677" t="str">
            <v>Miscellaneous</v>
          </cell>
          <cell r="H3677" t="str">
            <v>Misc</v>
          </cell>
          <cell r="K3677" t="str">
            <v>Non-Product</v>
          </cell>
          <cell r="L3677" t="str">
            <v>No</v>
          </cell>
        </row>
        <row r="3678">
          <cell r="G3678" t="str">
            <v>Miscellaneous</v>
          </cell>
          <cell r="H3678" t="str">
            <v>Misc</v>
          </cell>
          <cell r="K3678" t="str">
            <v>Non-Product</v>
          </cell>
          <cell r="L3678" t="str">
            <v>No</v>
          </cell>
        </row>
        <row r="3679">
          <cell r="G3679" t="str">
            <v>Miscellaneous</v>
          </cell>
          <cell r="H3679" t="str">
            <v>Misc</v>
          </cell>
          <cell r="K3679" t="str">
            <v>Non-Product</v>
          </cell>
          <cell r="L3679" t="str">
            <v>No</v>
          </cell>
        </row>
        <row r="3680">
          <cell r="G3680" t="str">
            <v>Miscellaneous</v>
          </cell>
          <cell r="H3680" t="str">
            <v>Misc</v>
          </cell>
          <cell r="K3680" t="str">
            <v>Non-Product</v>
          </cell>
          <cell r="L3680" t="str">
            <v>No</v>
          </cell>
        </row>
        <row r="3681">
          <cell r="G3681" t="str">
            <v>Miscellaneous</v>
          </cell>
          <cell r="H3681" t="str">
            <v>Misc</v>
          </cell>
          <cell r="K3681" t="str">
            <v>Non-Product</v>
          </cell>
          <cell r="L3681" t="str">
            <v>No</v>
          </cell>
        </row>
        <row r="3682">
          <cell r="G3682" t="str">
            <v>Miscellaneous</v>
          </cell>
          <cell r="H3682" t="str">
            <v>Misc</v>
          </cell>
          <cell r="K3682" t="str">
            <v>Non-Product</v>
          </cell>
          <cell r="L3682" t="str">
            <v>No</v>
          </cell>
        </row>
        <row r="3683">
          <cell r="G3683" t="str">
            <v>Miscellaneous</v>
          </cell>
          <cell r="H3683" t="str">
            <v>Misc</v>
          </cell>
          <cell r="K3683" t="str">
            <v>Non-Product</v>
          </cell>
          <cell r="L3683" t="str">
            <v>No</v>
          </cell>
        </row>
        <row r="3684">
          <cell r="G3684" t="str">
            <v>Miscellaneous</v>
          </cell>
          <cell r="H3684" t="str">
            <v>Misc</v>
          </cell>
          <cell r="K3684" t="str">
            <v>Non-Product</v>
          </cell>
          <cell r="L3684" t="str">
            <v>No</v>
          </cell>
        </row>
        <row r="3685">
          <cell r="G3685" t="str">
            <v>Miscellaneous</v>
          </cell>
          <cell r="H3685" t="str">
            <v>Misc</v>
          </cell>
          <cell r="K3685" t="str">
            <v>Non-Product</v>
          </cell>
          <cell r="L3685" t="str">
            <v>No</v>
          </cell>
        </row>
        <row r="3686">
          <cell r="G3686" t="str">
            <v>Miscellaneous</v>
          </cell>
          <cell r="H3686" t="str">
            <v>Misc</v>
          </cell>
          <cell r="K3686" t="str">
            <v>Non-Product</v>
          </cell>
          <cell r="L3686" t="str">
            <v>No</v>
          </cell>
        </row>
        <row r="3687">
          <cell r="G3687" t="str">
            <v>Miscellaneous</v>
          </cell>
          <cell r="H3687" t="str">
            <v>Misc</v>
          </cell>
          <cell r="K3687" t="str">
            <v>Non-Product</v>
          </cell>
          <cell r="L3687" t="str">
            <v>No</v>
          </cell>
        </row>
        <row r="3688">
          <cell r="G3688" t="str">
            <v>Miscellaneous</v>
          </cell>
          <cell r="H3688" t="str">
            <v>Misc</v>
          </cell>
          <cell r="K3688" t="str">
            <v>Non-Product</v>
          </cell>
          <cell r="L3688" t="str">
            <v>No</v>
          </cell>
        </row>
        <row r="3689">
          <cell r="G3689" t="str">
            <v>Miscellaneous</v>
          </cell>
          <cell r="H3689" t="str">
            <v>Misc</v>
          </cell>
          <cell r="K3689" t="str">
            <v>Non-Product</v>
          </cell>
          <cell r="L3689" t="str">
            <v>No</v>
          </cell>
        </row>
        <row r="3690">
          <cell r="G3690" t="str">
            <v>Miscellaneous</v>
          </cell>
          <cell r="H3690" t="str">
            <v>Misc</v>
          </cell>
          <cell r="K3690" t="str">
            <v>Non-Product</v>
          </cell>
          <cell r="L3690" t="str">
            <v>No</v>
          </cell>
        </row>
        <row r="3691">
          <cell r="G3691" t="str">
            <v>Miscellaneous</v>
          </cell>
          <cell r="H3691" t="str">
            <v>Misc</v>
          </cell>
          <cell r="K3691" t="str">
            <v>Non-Product</v>
          </cell>
          <cell r="L3691" t="str">
            <v>No</v>
          </cell>
        </row>
        <row r="3692">
          <cell r="G3692" t="str">
            <v>Miscellaneous</v>
          </cell>
          <cell r="H3692" t="str">
            <v>Misc</v>
          </cell>
          <cell r="K3692" t="str">
            <v>Non-Product</v>
          </cell>
          <cell r="L3692" t="str">
            <v>No</v>
          </cell>
        </row>
        <row r="3693">
          <cell r="G3693" t="str">
            <v>Miscellaneous</v>
          </cell>
          <cell r="H3693" t="str">
            <v>Misc</v>
          </cell>
          <cell r="K3693" t="str">
            <v>Non-Product</v>
          </cell>
          <cell r="L3693" t="str">
            <v>No</v>
          </cell>
        </row>
        <row r="3694">
          <cell r="G3694" t="str">
            <v>Miscellaneous</v>
          </cell>
          <cell r="H3694" t="str">
            <v>Misc</v>
          </cell>
          <cell r="K3694" t="str">
            <v>Non-Product</v>
          </cell>
          <cell r="L3694" t="str">
            <v>No</v>
          </cell>
        </row>
        <row r="3695">
          <cell r="G3695" t="str">
            <v>Miscellaneous</v>
          </cell>
          <cell r="H3695" t="str">
            <v>Misc</v>
          </cell>
          <cell r="K3695" t="str">
            <v>Non-Product</v>
          </cell>
          <cell r="L3695" t="str">
            <v>No</v>
          </cell>
        </row>
        <row r="3696">
          <cell r="G3696" t="str">
            <v>Miscellaneous</v>
          </cell>
          <cell r="H3696" t="str">
            <v>Misc</v>
          </cell>
          <cell r="K3696" t="str">
            <v>Non-Product</v>
          </cell>
          <cell r="L3696" t="str">
            <v>No</v>
          </cell>
        </row>
        <row r="3697">
          <cell r="G3697" t="str">
            <v>Miscellaneous</v>
          </cell>
          <cell r="H3697" t="str">
            <v>Misc</v>
          </cell>
          <cell r="K3697" t="str">
            <v>Non-Product</v>
          </cell>
          <cell r="L3697" t="str">
            <v>No</v>
          </cell>
        </row>
        <row r="3698">
          <cell r="G3698" t="str">
            <v>Miscellaneous</v>
          </cell>
          <cell r="H3698" t="str">
            <v>Misc</v>
          </cell>
          <cell r="K3698" t="str">
            <v>Non-Product</v>
          </cell>
          <cell r="L3698" t="str">
            <v>No</v>
          </cell>
        </row>
        <row r="3699">
          <cell r="G3699" t="str">
            <v>Miscellaneous</v>
          </cell>
          <cell r="H3699" t="str">
            <v>Misc</v>
          </cell>
          <cell r="K3699" t="str">
            <v>Non-Product</v>
          </cell>
          <cell r="L3699" t="str">
            <v>No</v>
          </cell>
        </row>
        <row r="3700">
          <cell r="G3700" t="str">
            <v>Miscellaneous</v>
          </cell>
          <cell r="H3700" t="str">
            <v>Misc</v>
          </cell>
          <cell r="K3700" t="str">
            <v>Non-Product</v>
          </cell>
          <cell r="L3700" t="str">
            <v>No</v>
          </cell>
        </row>
        <row r="3701">
          <cell r="G3701" t="str">
            <v>Miscellaneous</v>
          </cell>
          <cell r="H3701" t="str">
            <v>Misc</v>
          </cell>
          <cell r="K3701" t="str">
            <v>Non-Product</v>
          </cell>
          <cell r="L3701" t="str">
            <v>No</v>
          </cell>
        </row>
        <row r="3702">
          <cell r="G3702" t="str">
            <v>Miscellaneous</v>
          </cell>
          <cell r="H3702" t="str">
            <v>Misc</v>
          </cell>
          <cell r="K3702" t="str">
            <v>Non-Product</v>
          </cell>
          <cell r="L3702" t="str">
            <v>No</v>
          </cell>
        </row>
        <row r="3703">
          <cell r="G3703" t="str">
            <v>Miscellaneous</v>
          </cell>
          <cell r="H3703" t="str">
            <v>Misc</v>
          </cell>
          <cell r="K3703" t="str">
            <v>Non-Product</v>
          </cell>
          <cell r="L3703" t="str">
            <v>No</v>
          </cell>
        </row>
        <row r="3704">
          <cell r="G3704" t="str">
            <v>Miscellaneous</v>
          </cell>
          <cell r="H3704" t="str">
            <v>Misc</v>
          </cell>
          <cell r="K3704" t="str">
            <v>Non-Product</v>
          </cell>
          <cell r="L3704" t="str">
            <v>No</v>
          </cell>
        </row>
        <row r="3705">
          <cell r="G3705" t="str">
            <v>Miscellaneous</v>
          </cell>
          <cell r="H3705" t="str">
            <v>Misc</v>
          </cell>
          <cell r="K3705" t="str">
            <v>Non-Product</v>
          </cell>
          <cell r="L3705" t="str">
            <v>No</v>
          </cell>
        </row>
        <row r="3706">
          <cell r="G3706" t="str">
            <v>Miscellaneous</v>
          </cell>
          <cell r="H3706" t="str">
            <v>Misc</v>
          </cell>
          <cell r="K3706" t="str">
            <v>Non-Product</v>
          </cell>
          <cell r="L3706" t="str">
            <v>No</v>
          </cell>
        </row>
        <row r="3707">
          <cell r="G3707" t="str">
            <v>Miscellaneous</v>
          </cell>
          <cell r="H3707" t="str">
            <v>Misc</v>
          </cell>
          <cell r="K3707" t="str">
            <v>Non-Product</v>
          </cell>
          <cell r="L3707" t="str">
            <v>No</v>
          </cell>
        </row>
        <row r="3708">
          <cell r="G3708" t="str">
            <v>Miscellaneous</v>
          </cell>
          <cell r="H3708" t="str">
            <v>Misc</v>
          </cell>
          <cell r="K3708" t="str">
            <v>Non-Product</v>
          </cell>
          <cell r="L3708" t="str">
            <v>No</v>
          </cell>
        </row>
        <row r="3709">
          <cell r="G3709" t="str">
            <v>Miscellaneous</v>
          </cell>
          <cell r="H3709" t="str">
            <v>Misc</v>
          </cell>
          <cell r="K3709" t="str">
            <v>Non-Product</v>
          </cell>
          <cell r="L3709" t="str">
            <v>No</v>
          </cell>
        </row>
        <row r="3710">
          <cell r="G3710" t="str">
            <v>Miscellaneous</v>
          </cell>
          <cell r="H3710" t="str">
            <v>Misc</v>
          </cell>
          <cell r="K3710" t="str">
            <v>Non-Product</v>
          </cell>
          <cell r="L3710" t="str">
            <v>No</v>
          </cell>
        </row>
        <row r="3711">
          <cell r="G3711" t="str">
            <v>Miscellaneous</v>
          </cell>
          <cell r="H3711" t="str">
            <v>Misc</v>
          </cell>
          <cell r="K3711" t="str">
            <v>Non-Product</v>
          </cell>
          <cell r="L3711" t="str">
            <v>No</v>
          </cell>
        </row>
        <row r="3712">
          <cell r="G3712" t="str">
            <v>Miscellaneous</v>
          </cell>
          <cell r="H3712" t="str">
            <v>Misc</v>
          </cell>
          <cell r="K3712" t="str">
            <v>Non-Product</v>
          </cell>
          <cell r="L3712" t="str">
            <v>No</v>
          </cell>
        </row>
        <row r="3713">
          <cell r="G3713" t="str">
            <v>Miscellaneous</v>
          </cell>
          <cell r="H3713" t="str">
            <v>Misc</v>
          </cell>
          <cell r="K3713" t="str">
            <v>Non-Product</v>
          </cell>
          <cell r="L3713" t="str">
            <v>No</v>
          </cell>
        </row>
        <row r="3714">
          <cell r="G3714" t="str">
            <v>Miscellaneous</v>
          </cell>
          <cell r="H3714" t="str">
            <v>Misc</v>
          </cell>
          <cell r="K3714" t="str">
            <v>Non-Product</v>
          </cell>
          <cell r="L3714" t="str">
            <v>No</v>
          </cell>
        </row>
        <row r="3715">
          <cell r="G3715" t="str">
            <v>Miscellaneous</v>
          </cell>
          <cell r="H3715" t="str">
            <v>Misc</v>
          </cell>
          <cell r="K3715" t="str">
            <v>Non-Product</v>
          </cell>
          <cell r="L3715" t="str">
            <v>No</v>
          </cell>
        </row>
        <row r="3716">
          <cell r="G3716" t="str">
            <v>Miscellaneous</v>
          </cell>
          <cell r="H3716" t="str">
            <v>Misc</v>
          </cell>
          <cell r="K3716" t="str">
            <v>Non-Product</v>
          </cell>
          <cell r="L3716" t="str">
            <v>No</v>
          </cell>
        </row>
        <row r="3717">
          <cell r="G3717" t="str">
            <v>Miscellaneous</v>
          </cell>
          <cell r="H3717" t="str">
            <v>Misc</v>
          </cell>
          <cell r="K3717" t="str">
            <v>Non-Product</v>
          </cell>
          <cell r="L3717" t="str">
            <v>No</v>
          </cell>
        </row>
        <row r="3718">
          <cell r="G3718" t="str">
            <v>Miscellaneous</v>
          </cell>
          <cell r="H3718" t="str">
            <v>Misc</v>
          </cell>
          <cell r="K3718" t="str">
            <v>Non-Product</v>
          </cell>
          <cell r="L3718" t="str">
            <v>No</v>
          </cell>
        </row>
        <row r="3719">
          <cell r="G3719" t="str">
            <v>Miscellaneous</v>
          </cell>
          <cell r="H3719" t="str">
            <v>Misc</v>
          </cell>
          <cell r="K3719" t="str">
            <v>Non-Product</v>
          </cell>
          <cell r="L3719" t="str">
            <v>No</v>
          </cell>
        </row>
        <row r="3720">
          <cell r="G3720" t="str">
            <v>Miscellaneous</v>
          </cell>
          <cell r="H3720" t="str">
            <v>Misc</v>
          </cell>
          <cell r="K3720" t="str">
            <v>Non-Product</v>
          </cell>
          <cell r="L3720" t="str">
            <v>No</v>
          </cell>
        </row>
        <row r="3721">
          <cell r="G3721" t="str">
            <v>Miscellaneous</v>
          </cell>
          <cell r="H3721" t="str">
            <v>Misc</v>
          </cell>
          <cell r="K3721" t="str">
            <v>Non-Product</v>
          </cell>
          <cell r="L3721" t="str">
            <v>No</v>
          </cell>
        </row>
        <row r="3722">
          <cell r="G3722" t="str">
            <v>Miscellaneous</v>
          </cell>
          <cell r="H3722" t="str">
            <v>Misc</v>
          </cell>
          <cell r="K3722" t="str">
            <v>Non-Product</v>
          </cell>
          <cell r="L3722" t="str">
            <v>No</v>
          </cell>
        </row>
        <row r="3723">
          <cell r="G3723" t="str">
            <v>Miscellaneous</v>
          </cell>
          <cell r="H3723" t="str">
            <v>Misc</v>
          </cell>
          <cell r="K3723" t="str">
            <v>Non-Product</v>
          </cell>
          <cell r="L3723" t="str">
            <v>No</v>
          </cell>
        </row>
        <row r="3724">
          <cell r="G3724" t="str">
            <v>Miscellaneous</v>
          </cell>
          <cell r="H3724" t="str">
            <v>Misc</v>
          </cell>
          <cell r="K3724" t="str">
            <v>Non-Product</v>
          </cell>
          <cell r="L3724" t="str">
            <v>No</v>
          </cell>
        </row>
        <row r="3725">
          <cell r="G3725" t="str">
            <v>Miscellaneous</v>
          </cell>
          <cell r="H3725" t="str">
            <v>Misc</v>
          </cell>
          <cell r="K3725" t="str">
            <v>Non-Product</v>
          </cell>
          <cell r="L3725" t="str">
            <v>No</v>
          </cell>
        </row>
        <row r="3726">
          <cell r="G3726" t="str">
            <v>Miscellaneous</v>
          </cell>
          <cell r="H3726" t="str">
            <v>Misc</v>
          </cell>
          <cell r="K3726" t="str">
            <v>Non-Product</v>
          </cell>
          <cell r="L3726" t="str">
            <v>No</v>
          </cell>
        </row>
        <row r="3727">
          <cell r="G3727" t="str">
            <v>Miscellaneous</v>
          </cell>
          <cell r="H3727" t="str">
            <v>Misc</v>
          </cell>
          <cell r="K3727" t="str">
            <v>Non-Product</v>
          </cell>
          <cell r="L3727" t="str">
            <v>No</v>
          </cell>
        </row>
        <row r="3728">
          <cell r="G3728" t="str">
            <v>Miscellaneous</v>
          </cell>
          <cell r="H3728" t="str">
            <v>Misc</v>
          </cell>
          <cell r="K3728" t="str">
            <v>Non-Product</v>
          </cell>
          <cell r="L3728" t="str">
            <v>No</v>
          </cell>
        </row>
        <row r="3729">
          <cell r="G3729" t="str">
            <v>Miscellaneous</v>
          </cell>
          <cell r="H3729" t="str">
            <v>Misc</v>
          </cell>
          <cell r="K3729" t="str">
            <v>Non-Product</v>
          </cell>
          <cell r="L3729" t="str">
            <v>No</v>
          </cell>
        </row>
        <row r="3730">
          <cell r="G3730" t="str">
            <v>Miscellaneous</v>
          </cell>
          <cell r="H3730" t="str">
            <v>Misc</v>
          </cell>
          <cell r="K3730" t="str">
            <v>Non-Product</v>
          </cell>
          <cell r="L3730" t="str">
            <v>No</v>
          </cell>
        </row>
        <row r="3731">
          <cell r="G3731" t="str">
            <v>Miscellaneous</v>
          </cell>
          <cell r="H3731" t="str">
            <v>Misc</v>
          </cell>
          <cell r="K3731" t="str">
            <v>Non-Product</v>
          </cell>
          <cell r="L3731" t="str">
            <v>No</v>
          </cell>
        </row>
        <row r="3732">
          <cell r="G3732" t="str">
            <v>Miscellaneous</v>
          </cell>
          <cell r="H3732" t="str">
            <v>Misc</v>
          </cell>
          <cell r="K3732" t="str">
            <v>Non-Product</v>
          </cell>
          <cell r="L3732" t="str">
            <v>No</v>
          </cell>
        </row>
        <row r="3733">
          <cell r="G3733" t="str">
            <v>Miscellaneous</v>
          </cell>
          <cell r="H3733" t="str">
            <v>Misc</v>
          </cell>
          <cell r="K3733" t="str">
            <v>Non-Product</v>
          </cell>
          <cell r="L3733" t="str">
            <v>No</v>
          </cell>
        </row>
        <row r="3734">
          <cell r="G3734" t="str">
            <v>Miscellaneous</v>
          </cell>
          <cell r="H3734" t="str">
            <v>Misc</v>
          </cell>
          <cell r="K3734" t="str">
            <v>Non-Product</v>
          </cell>
          <cell r="L3734" t="str">
            <v>No</v>
          </cell>
        </row>
        <row r="3735">
          <cell r="G3735" t="str">
            <v>Miscellaneous</v>
          </cell>
          <cell r="H3735" t="str">
            <v>Misc</v>
          </cell>
          <cell r="K3735" t="str">
            <v>Non-Product</v>
          </cell>
          <cell r="L3735" t="str">
            <v>No</v>
          </cell>
        </row>
        <row r="3736">
          <cell r="G3736" t="str">
            <v>Miscellaneous</v>
          </cell>
          <cell r="H3736" t="str">
            <v>Misc</v>
          </cell>
          <cell r="K3736" t="str">
            <v>Non-Product</v>
          </cell>
          <cell r="L3736" t="str">
            <v>No</v>
          </cell>
        </row>
        <row r="3737">
          <cell r="G3737" t="str">
            <v>Miscellaneous</v>
          </cell>
          <cell r="H3737" t="str">
            <v>Misc</v>
          </cell>
          <cell r="K3737" t="str">
            <v>Non-Product</v>
          </cell>
          <cell r="L3737" t="str">
            <v>No</v>
          </cell>
        </row>
        <row r="3738">
          <cell r="G3738" t="str">
            <v>Miscellaneous</v>
          </cell>
          <cell r="H3738" t="str">
            <v>Misc</v>
          </cell>
          <cell r="K3738" t="str">
            <v>Non-Product</v>
          </cell>
          <cell r="L3738" t="str">
            <v>No</v>
          </cell>
        </row>
        <row r="3739">
          <cell r="G3739" t="str">
            <v>Miscellaneous</v>
          </cell>
          <cell r="H3739" t="str">
            <v>Misc</v>
          </cell>
          <cell r="K3739" t="str">
            <v>Non-Product</v>
          </cell>
          <cell r="L3739" t="str">
            <v>No</v>
          </cell>
        </row>
        <row r="3740">
          <cell r="G3740" t="str">
            <v>Miscellaneous</v>
          </cell>
          <cell r="H3740" t="str">
            <v>Misc</v>
          </cell>
          <cell r="K3740" t="str">
            <v>Non-Product</v>
          </cell>
          <cell r="L3740" t="str">
            <v>No</v>
          </cell>
        </row>
        <row r="3741">
          <cell r="G3741" t="str">
            <v>Miscellaneous</v>
          </cell>
          <cell r="H3741" t="str">
            <v>Misc</v>
          </cell>
          <cell r="K3741" t="str">
            <v>Non-Product</v>
          </cell>
          <cell r="L3741" t="str">
            <v>No</v>
          </cell>
        </row>
        <row r="3742">
          <cell r="G3742" t="str">
            <v>Miscellaneous</v>
          </cell>
          <cell r="H3742" t="str">
            <v>Misc</v>
          </cell>
          <cell r="K3742" t="str">
            <v>Non-Product</v>
          </cell>
          <cell r="L3742" t="str">
            <v>No</v>
          </cell>
        </row>
        <row r="3743">
          <cell r="G3743" t="str">
            <v>Miscellaneous</v>
          </cell>
          <cell r="H3743" t="str">
            <v>Misc</v>
          </cell>
          <cell r="K3743" t="str">
            <v>Non-Product</v>
          </cell>
          <cell r="L3743" t="str">
            <v>No</v>
          </cell>
        </row>
        <row r="3744">
          <cell r="G3744" t="str">
            <v>Miscellaneous</v>
          </cell>
          <cell r="H3744" t="str">
            <v>Misc</v>
          </cell>
          <cell r="K3744" t="str">
            <v>Non-Product</v>
          </cell>
          <cell r="L3744" t="str">
            <v>No</v>
          </cell>
        </row>
        <row r="3745">
          <cell r="G3745" t="str">
            <v>Miscellaneous</v>
          </cell>
          <cell r="H3745" t="str">
            <v>Misc</v>
          </cell>
          <cell r="K3745" t="str">
            <v>Non-Product</v>
          </cell>
          <cell r="L3745" t="str">
            <v>No</v>
          </cell>
        </row>
        <row r="3746">
          <cell r="G3746" t="str">
            <v>Miscellaneous</v>
          </cell>
          <cell r="H3746" t="str">
            <v>Misc</v>
          </cell>
          <cell r="K3746" t="str">
            <v>Non-Product</v>
          </cell>
          <cell r="L3746" t="str">
            <v>No</v>
          </cell>
        </row>
        <row r="3747">
          <cell r="G3747" t="str">
            <v>Miscellaneous</v>
          </cell>
          <cell r="H3747" t="str">
            <v>Misc</v>
          </cell>
          <cell r="K3747" t="str">
            <v>Non-Product</v>
          </cell>
          <cell r="L3747" t="str">
            <v>No</v>
          </cell>
        </row>
        <row r="3748">
          <cell r="G3748" t="str">
            <v>Miscellaneous</v>
          </cell>
          <cell r="H3748" t="str">
            <v>Misc</v>
          </cell>
          <cell r="K3748" t="str">
            <v>Non-Product</v>
          </cell>
          <cell r="L3748" t="str">
            <v>No</v>
          </cell>
        </row>
        <row r="3749">
          <cell r="G3749" t="str">
            <v>Miscellaneous</v>
          </cell>
          <cell r="H3749" t="str">
            <v>Misc</v>
          </cell>
          <cell r="K3749" t="str">
            <v>Non-Product</v>
          </cell>
          <cell r="L3749" t="str">
            <v>No</v>
          </cell>
        </row>
        <row r="3750">
          <cell r="G3750" t="str">
            <v>Miscellaneous</v>
          </cell>
          <cell r="H3750" t="str">
            <v>Misc</v>
          </cell>
          <cell r="K3750" t="str">
            <v>Non-Product</v>
          </cell>
          <cell r="L3750" t="str">
            <v>No</v>
          </cell>
        </row>
        <row r="3751">
          <cell r="G3751" t="str">
            <v>Miscellaneous</v>
          </cell>
          <cell r="H3751" t="str">
            <v>Misc</v>
          </cell>
          <cell r="K3751" t="str">
            <v>Non-Product</v>
          </cell>
          <cell r="L3751" t="str">
            <v>No</v>
          </cell>
        </row>
        <row r="3752">
          <cell r="G3752" t="str">
            <v>Miscellaneous</v>
          </cell>
          <cell r="H3752" t="str">
            <v>Misc</v>
          </cell>
          <cell r="K3752" t="str">
            <v>Non-Product</v>
          </cell>
          <cell r="L3752" t="str">
            <v>No</v>
          </cell>
        </row>
        <row r="3753">
          <cell r="G3753" t="str">
            <v>Miscellaneous</v>
          </cell>
          <cell r="H3753" t="str">
            <v>Misc</v>
          </cell>
          <cell r="K3753" t="str">
            <v>Non-Product</v>
          </cell>
          <cell r="L3753" t="str">
            <v>No</v>
          </cell>
        </row>
        <row r="3754">
          <cell r="G3754" t="str">
            <v>Miscellaneous</v>
          </cell>
          <cell r="H3754" t="str">
            <v>Misc</v>
          </cell>
          <cell r="K3754" t="str">
            <v>Non-Product</v>
          </cell>
          <cell r="L3754" t="str">
            <v>No</v>
          </cell>
        </row>
        <row r="3755">
          <cell r="G3755" t="str">
            <v>Miscellaneous</v>
          </cell>
          <cell r="H3755" t="str">
            <v>Misc</v>
          </cell>
          <cell r="K3755" t="str">
            <v>Non-Product</v>
          </cell>
          <cell r="L3755" t="str">
            <v>No</v>
          </cell>
        </row>
        <row r="3756">
          <cell r="G3756" t="str">
            <v>Miscellaneous</v>
          </cell>
          <cell r="H3756" t="str">
            <v>Misc</v>
          </cell>
          <cell r="K3756" t="str">
            <v>Non-Product</v>
          </cell>
          <cell r="L3756" t="str">
            <v>No</v>
          </cell>
        </row>
        <row r="3757">
          <cell r="G3757" t="str">
            <v>Miscellaneous</v>
          </cell>
          <cell r="H3757" t="str">
            <v>Misc</v>
          </cell>
          <cell r="K3757" t="str">
            <v>Non-Product</v>
          </cell>
          <cell r="L3757" t="str">
            <v>No</v>
          </cell>
        </row>
        <row r="3758">
          <cell r="G3758" t="str">
            <v>Miscellaneous</v>
          </cell>
          <cell r="H3758" t="str">
            <v>Misc</v>
          </cell>
          <cell r="K3758" t="str">
            <v>Non-Product</v>
          </cell>
          <cell r="L3758" t="str">
            <v>No</v>
          </cell>
        </row>
        <row r="3759">
          <cell r="G3759" t="str">
            <v>Miscellaneous</v>
          </cell>
          <cell r="H3759" t="str">
            <v>Misc</v>
          </cell>
          <cell r="K3759" t="str">
            <v>Non-Product</v>
          </cell>
          <cell r="L3759" t="str">
            <v>No</v>
          </cell>
        </row>
        <row r="3760">
          <cell r="G3760" t="str">
            <v>Miscellaneous</v>
          </cell>
          <cell r="H3760" t="str">
            <v>Misc</v>
          </cell>
          <cell r="K3760" t="str">
            <v>Non-Product</v>
          </cell>
          <cell r="L3760" t="str">
            <v>No</v>
          </cell>
        </row>
        <row r="3761">
          <cell r="G3761" t="str">
            <v>Miscellaneous</v>
          </cell>
          <cell r="H3761" t="str">
            <v>Misc</v>
          </cell>
          <cell r="K3761" t="str">
            <v>Non-Product</v>
          </cell>
          <cell r="L3761" t="str">
            <v>No</v>
          </cell>
        </row>
        <row r="3762">
          <cell r="G3762" t="str">
            <v>Miscellaneous</v>
          </cell>
          <cell r="H3762" t="str">
            <v>Misc</v>
          </cell>
          <cell r="K3762" t="str">
            <v>Non-Product</v>
          </cell>
          <cell r="L3762" t="str">
            <v>No</v>
          </cell>
        </row>
        <row r="3763">
          <cell r="G3763" t="str">
            <v>Miscellaneous</v>
          </cell>
          <cell r="H3763" t="str">
            <v>Misc</v>
          </cell>
          <cell r="K3763" t="str">
            <v>Non-Product</v>
          </cell>
          <cell r="L3763" t="str">
            <v>No</v>
          </cell>
        </row>
        <row r="3764">
          <cell r="G3764" t="str">
            <v>Miscellaneous</v>
          </cell>
          <cell r="H3764" t="str">
            <v>Misc</v>
          </cell>
          <cell r="K3764" t="str">
            <v>Non-Product</v>
          </cell>
          <cell r="L3764" t="str">
            <v>No</v>
          </cell>
        </row>
        <row r="3765">
          <cell r="G3765" t="str">
            <v>Miscellaneous</v>
          </cell>
          <cell r="H3765" t="str">
            <v>Misc</v>
          </cell>
          <cell r="K3765" t="str">
            <v>Non-Product</v>
          </cell>
          <cell r="L3765" t="str">
            <v>No</v>
          </cell>
        </row>
        <row r="3766">
          <cell r="G3766" t="str">
            <v>Miscellaneous</v>
          </cell>
          <cell r="H3766" t="str">
            <v>Misc</v>
          </cell>
          <cell r="K3766" t="str">
            <v>Non-Product</v>
          </cell>
          <cell r="L3766" t="str">
            <v>No</v>
          </cell>
        </row>
        <row r="3767">
          <cell r="G3767" t="str">
            <v>Miscellaneous</v>
          </cell>
          <cell r="H3767" t="str">
            <v>Misc</v>
          </cell>
          <cell r="K3767" t="str">
            <v>Non-Product</v>
          </cell>
          <cell r="L3767" t="str">
            <v>No</v>
          </cell>
        </row>
        <row r="3768">
          <cell r="G3768" t="str">
            <v>Miscellaneous</v>
          </cell>
          <cell r="H3768" t="str">
            <v>Misc</v>
          </cell>
          <cell r="K3768" t="str">
            <v>Non-Product</v>
          </cell>
          <cell r="L3768" t="str">
            <v>No</v>
          </cell>
        </row>
        <row r="3769">
          <cell r="G3769" t="str">
            <v>Miscellaneous</v>
          </cell>
          <cell r="H3769" t="str">
            <v>Misc</v>
          </cell>
          <cell r="K3769" t="str">
            <v>Non-Product</v>
          </cell>
          <cell r="L3769" t="str">
            <v>No</v>
          </cell>
        </row>
        <row r="3770">
          <cell r="G3770" t="str">
            <v>Miscellaneous</v>
          </cell>
          <cell r="H3770" t="str">
            <v>Misc</v>
          </cell>
          <cell r="K3770" t="str">
            <v>Non-Product</v>
          </cell>
          <cell r="L3770" t="str">
            <v>No</v>
          </cell>
        </row>
        <row r="3771">
          <cell r="G3771" t="str">
            <v>Miscellaneous</v>
          </cell>
          <cell r="H3771" t="str">
            <v>Misc</v>
          </cell>
          <cell r="K3771" t="str">
            <v>Non-Product</v>
          </cell>
          <cell r="L3771" t="str">
            <v>No</v>
          </cell>
        </row>
        <row r="3772">
          <cell r="G3772" t="str">
            <v>Miscellaneous</v>
          </cell>
          <cell r="H3772" t="str">
            <v>Misc</v>
          </cell>
          <cell r="K3772" t="str">
            <v>Non-Product</v>
          </cell>
          <cell r="L3772" t="str">
            <v>No</v>
          </cell>
        </row>
        <row r="3773">
          <cell r="G3773" t="str">
            <v>Miscellaneous</v>
          </cell>
          <cell r="H3773" t="str">
            <v>Misc</v>
          </cell>
          <cell r="K3773" t="str">
            <v>Non-Product</v>
          </cell>
          <cell r="L3773" t="str">
            <v>No</v>
          </cell>
        </row>
        <row r="3774">
          <cell r="G3774" t="str">
            <v>Miscellaneous</v>
          </cell>
          <cell r="H3774" t="str">
            <v>Misc</v>
          </cell>
          <cell r="K3774" t="str">
            <v>Non-Product</v>
          </cell>
          <cell r="L3774" t="str">
            <v>No</v>
          </cell>
        </row>
        <row r="3775">
          <cell r="G3775" t="str">
            <v>Miscellaneous</v>
          </cell>
          <cell r="H3775" t="str">
            <v>Misc</v>
          </cell>
          <cell r="K3775" t="str">
            <v>Non-Product</v>
          </cell>
          <cell r="L3775" t="str">
            <v>No</v>
          </cell>
        </row>
        <row r="3776">
          <cell r="G3776" t="str">
            <v>Miscellaneous</v>
          </cell>
          <cell r="H3776" t="str">
            <v>Misc</v>
          </cell>
          <cell r="K3776" t="str">
            <v>Non-Product</v>
          </cell>
          <cell r="L3776" t="str">
            <v>No</v>
          </cell>
        </row>
        <row r="3777">
          <cell r="G3777" t="str">
            <v>Miscellaneous</v>
          </cell>
          <cell r="H3777" t="str">
            <v>Misc</v>
          </cell>
          <cell r="K3777" t="str">
            <v>Non-Product</v>
          </cell>
          <cell r="L3777" t="str">
            <v>No</v>
          </cell>
        </row>
        <row r="3778">
          <cell r="G3778" t="str">
            <v>Miscellaneous</v>
          </cell>
          <cell r="H3778" t="str">
            <v>Misc</v>
          </cell>
          <cell r="K3778" t="str">
            <v>Non-Product</v>
          </cell>
          <cell r="L3778" t="str">
            <v>No</v>
          </cell>
        </row>
        <row r="3779">
          <cell r="G3779" t="str">
            <v>Miscellaneous</v>
          </cell>
          <cell r="H3779" t="str">
            <v>Misc</v>
          </cell>
          <cell r="K3779" t="str">
            <v>Non-Product</v>
          </cell>
          <cell r="L3779" t="str">
            <v>No</v>
          </cell>
        </row>
        <row r="3780">
          <cell r="G3780" t="str">
            <v>Miscellaneous</v>
          </cell>
          <cell r="H3780" t="str">
            <v>Misc</v>
          </cell>
          <cell r="K3780" t="str">
            <v>Non-Product</v>
          </cell>
          <cell r="L3780" t="str">
            <v>No</v>
          </cell>
        </row>
        <row r="3781">
          <cell r="G3781" t="str">
            <v>Miscellaneous</v>
          </cell>
          <cell r="H3781" t="str">
            <v>Misc</v>
          </cell>
          <cell r="K3781" t="str">
            <v>Non-Product</v>
          </cell>
          <cell r="L3781" t="str">
            <v>No</v>
          </cell>
        </row>
        <row r="3782">
          <cell r="G3782" t="str">
            <v>Miscellaneous</v>
          </cell>
          <cell r="H3782" t="str">
            <v>Misc</v>
          </cell>
          <cell r="K3782" t="str">
            <v>Non-Product</v>
          </cell>
          <cell r="L3782" t="str">
            <v>No</v>
          </cell>
        </row>
        <row r="3783">
          <cell r="G3783" t="str">
            <v>Miscellaneous</v>
          </cell>
          <cell r="H3783" t="str">
            <v>Misc</v>
          </cell>
          <cell r="K3783" t="str">
            <v>Non-Product</v>
          </cell>
          <cell r="L3783" t="str">
            <v>No</v>
          </cell>
        </row>
        <row r="3784">
          <cell r="G3784" t="str">
            <v>Miscellaneous</v>
          </cell>
          <cell r="H3784" t="str">
            <v>Misc</v>
          </cell>
          <cell r="K3784" t="str">
            <v>Non-Product</v>
          </cell>
          <cell r="L3784" t="str">
            <v>No</v>
          </cell>
        </row>
        <row r="3785">
          <cell r="G3785" t="str">
            <v>Miscellaneous</v>
          </cell>
          <cell r="H3785" t="str">
            <v>Misc</v>
          </cell>
          <cell r="K3785" t="str">
            <v>Non-Product</v>
          </cell>
          <cell r="L3785" t="str">
            <v>No</v>
          </cell>
        </row>
        <row r="3786">
          <cell r="G3786" t="str">
            <v>Miscellaneous</v>
          </cell>
          <cell r="H3786" t="str">
            <v>Misc</v>
          </cell>
          <cell r="K3786" t="str">
            <v>Non-Product</v>
          </cell>
          <cell r="L3786" t="str">
            <v>No</v>
          </cell>
        </row>
        <row r="3787">
          <cell r="G3787" t="str">
            <v>Miscellaneous</v>
          </cell>
          <cell r="H3787" t="str">
            <v>Misc</v>
          </cell>
          <cell r="K3787" t="str">
            <v>Non-Product</v>
          </cell>
          <cell r="L3787" t="str">
            <v>No</v>
          </cell>
        </row>
        <row r="3788">
          <cell r="G3788" t="str">
            <v>Miscellaneous</v>
          </cell>
          <cell r="H3788" t="str">
            <v>Misc</v>
          </cell>
          <cell r="K3788" t="str">
            <v>Non-Product</v>
          </cell>
          <cell r="L3788" t="str">
            <v>No</v>
          </cell>
        </row>
        <row r="3789">
          <cell r="G3789" t="str">
            <v>Miscellaneous</v>
          </cell>
          <cell r="H3789" t="str">
            <v>Misc</v>
          </cell>
          <cell r="K3789" t="str">
            <v>Non-Product</v>
          </cell>
          <cell r="L3789" t="str">
            <v>No</v>
          </cell>
        </row>
        <row r="3790">
          <cell r="G3790" t="str">
            <v>Miscellaneous</v>
          </cell>
          <cell r="H3790" t="str">
            <v>Misc</v>
          </cell>
          <cell r="K3790" t="str">
            <v>Non-Product</v>
          </cell>
          <cell r="L3790" t="str">
            <v>No</v>
          </cell>
        </row>
        <row r="3791">
          <cell r="G3791" t="str">
            <v>Miscellaneous</v>
          </cell>
          <cell r="H3791" t="str">
            <v>Misc</v>
          </cell>
          <cell r="K3791" t="str">
            <v>Non-Product</v>
          </cell>
          <cell r="L3791" t="str">
            <v>No</v>
          </cell>
        </row>
        <row r="3792">
          <cell r="G3792" t="str">
            <v>Miscellaneous</v>
          </cell>
          <cell r="H3792" t="str">
            <v>Misc</v>
          </cell>
          <cell r="K3792" t="str">
            <v>Non-Product</v>
          </cell>
          <cell r="L3792" t="str">
            <v>No</v>
          </cell>
        </row>
        <row r="3793">
          <cell r="G3793" t="str">
            <v>Miscellaneous</v>
          </cell>
          <cell r="H3793" t="str">
            <v>Misc</v>
          </cell>
          <cell r="K3793" t="str">
            <v>Non-Product</v>
          </cell>
          <cell r="L3793" t="str">
            <v>No</v>
          </cell>
        </row>
        <row r="3794">
          <cell r="G3794" t="str">
            <v>Miscellaneous</v>
          </cell>
          <cell r="H3794" t="str">
            <v>Misc</v>
          </cell>
          <cell r="K3794" t="str">
            <v>Non-Product</v>
          </cell>
          <cell r="L3794" t="str">
            <v>No</v>
          </cell>
        </row>
        <row r="3795">
          <cell r="G3795" t="str">
            <v>Miscellaneous</v>
          </cell>
          <cell r="H3795" t="str">
            <v>Misc</v>
          </cell>
          <cell r="K3795" t="str">
            <v>Non-Product</v>
          </cell>
          <cell r="L3795" t="str">
            <v>No</v>
          </cell>
        </row>
        <row r="3796">
          <cell r="G3796" t="str">
            <v>Miscellaneous</v>
          </cell>
          <cell r="H3796" t="str">
            <v>Misc</v>
          </cell>
          <cell r="K3796" t="str">
            <v>Non-Product</v>
          </cell>
          <cell r="L3796" t="str">
            <v>No</v>
          </cell>
        </row>
        <row r="3797">
          <cell r="G3797" t="str">
            <v>Miscellaneous</v>
          </cell>
          <cell r="H3797" t="str">
            <v>Misc</v>
          </cell>
          <cell r="K3797" t="str">
            <v>Non-Product</v>
          </cell>
          <cell r="L3797" t="str">
            <v>No</v>
          </cell>
        </row>
        <row r="3798">
          <cell r="G3798" t="str">
            <v>Miscellaneous</v>
          </cell>
          <cell r="H3798" t="str">
            <v>Misc</v>
          </cell>
          <cell r="K3798" t="str">
            <v>Non-Product</v>
          </cell>
          <cell r="L3798" t="str">
            <v>No</v>
          </cell>
        </row>
        <row r="3799">
          <cell r="G3799" t="str">
            <v>Miscellaneous</v>
          </cell>
          <cell r="H3799" t="str">
            <v>Misc</v>
          </cell>
          <cell r="K3799" t="str">
            <v>Non-Product</v>
          </cell>
          <cell r="L3799" t="str">
            <v>No</v>
          </cell>
        </row>
        <row r="3800">
          <cell r="G3800" t="str">
            <v>Miscellaneous</v>
          </cell>
          <cell r="H3800" t="str">
            <v>Misc</v>
          </cell>
          <cell r="K3800" t="str">
            <v>Non-Product</v>
          </cell>
          <cell r="L3800" t="str">
            <v>No</v>
          </cell>
        </row>
        <row r="3801">
          <cell r="G3801" t="str">
            <v>Miscellaneous</v>
          </cell>
          <cell r="H3801" t="str">
            <v>Misc</v>
          </cell>
          <cell r="K3801" t="str">
            <v>Non-Product</v>
          </cell>
          <cell r="L3801" t="str">
            <v>No</v>
          </cell>
        </row>
        <row r="3802">
          <cell r="G3802" t="str">
            <v>Miscellaneous</v>
          </cell>
          <cell r="H3802" t="str">
            <v>Misc</v>
          </cell>
          <cell r="K3802" t="str">
            <v>Non-Product</v>
          </cell>
          <cell r="L3802" t="str">
            <v>No</v>
          </cell>
        </row>
        <row r="3803">
          <cell r="G3803" t="str">
            <v>Miscellaneous</v>
          </cell>
          <cell r="H3803" t="str">
            <v>Misc</v>
          </cell>
          <cell r="K3803" t="str">
            <v>Non-Product</v>
          </cell>
          <cell r="L3803" t="str">
            <v>No</v>
          </cell>
        </row>
        <row r="3804">
          <cell r="G3804" t="str">
            <v>Miscellaneous</v>
          </cell>
          <cell r="H3804" t="str">
            <v>Misc</v>
          </cell>
          <cell r="K3804" t="str">
            <v>Non-Product</v>
          </cell>
          <cell r="L3804" t="str">
            <v>No</v>
          </cell>
        </row>
        <row r="3805">
          <cell r="G3805" t="str">
            <v>Miscellaneous</v>
          </cell>
          <cell r="H3805" t="str">
            <v>Misc</v>
          </cell>
          <cell r="K3805" t="str">
            <v>Non-Product</v>
          </cell>
          <cell r="L3805" t="str">
            <v>No</v>
          </cell>
        </row>
        <row r="3806">
          <cell r="G3806" t="str">
            <v>Miscellaneous</v>
          </cell>
          <cell r="H3806" t="str">
            <v>Misc</v>
          </cell>
          <cell r="K3806" t="str">
            <v>Non-Product</v>
          </cell>
          <cell r="L3806" t="str">
            <v>No</v>
          </cell>
        </row>
        <row r="3807">
          <cell r="G3807" t="str">
            <v>Miscellaneous</v>
          </cell>
          <cell r="H3807" t="str">
            <v>Misc</v>
          </cell>
          <cell r="K3807" t="str">
            <v>Non-Product</v>
          </cell>
          <cell r="L3807" t="str">
            <v>No</v>
          </cell>
        </row>
        <row r="3808">
          <cell r="G3808" t="str">
            <v>Miscellaneous</v>
          </cell>
          <cell r="H3808" t="str">
            <v>Misc</v>
          </cell>
          <cell r="K3808" t="str">
            <v>Non-Product</v>
          </cell>
          <cell r="L3808" t="str">
            <v>No</v>
          </cell>
        </row>
        <row r="3809">
          <cell r="G3809" t="str">
            <v>Miscellaneous</v>
          </cell>
          <cell r="H3809" t="str">
            <v>Misc</v>
          </cell>
          <cell r="K3809" t="str">
            <v>Non-Product</v>
          </cell>
          <cell r="L3809" t="str">
            <v>No</v>
          </cell>
        </row>
        <row r="3810">
          <cell r="G3810" t="str">
            <v>Miscellaneous</v>
          </cell>
          <cell r="H3810" t="str">
            <v>Misc</v>
          </cell>
          <cell r="K3810" t="str">
            <v>Non-Product</v>
          </cell>
          <cell r="L3810" t="str">
            <v>No</v>
          </cell>
        </row>
        <row r="3811">
          <cell r="G3811" t="str">
            <v>Miscellaneous</v>
          </cell>
          <cell r="H3811" t="str">
            <v>Misc</v>
          </cell>
          <cell r="K3811" t="str">
            <v>Non-Product</v>
          </cell>
          <cell r="L3811" t="str">
            <v>No</v>
          </cell>
        </row>
        <row r="3812">
          <cell r="G3812" t="str">
            <v>Miscellaneous</v>
          </cell>
          <cell r="H3812" t="str">
            <v>Misc</v>
          </cell>
          <cell r="K3812" t="str">
            <v>Non-Product</v>
          </cell>
          <cell r="L3812" t="str">
            <v>No</v>
          </cell>
        </row>
        <row r="3813">
          <cell r="G3813" t="str">
            <v>Miscellaneous</v>
          </cell>
          <cell r="H3813" t="str">
            <v>Misc</v>
          </cell>
          <cell r="K3813" t="str">
            <v>Non-Product</v>
          </cell>
          <cell r="L3813" t="str">
            <v>No</v>
          </cell>
        </row>
        <row r="3814">
          <cell r="G3814" t="str">
            <v>Miscellaneous</v>
          </cell>
          <cell r="H3814" t="str">
            <v>Misc</v>
          </cell>
          <cell r="K3814" t="str">
            <v>Non-Product</v>
          </cell>
          <cell r="L3814" t="str">
            <v>No</v>
          </cell>
        </row>
        <row r="3815">
          <cell r="G3815" t="str">
            <v>Miscellaneous</v>
          </cell>
          <cell r="H3815" t="str">
            <v>Misc</v>
          </cell>
          <cell r="K3815" t="str">
            <v>Non-Product</v>
          </cell>
          <cell r="L3815" t="str">
            <v>No</v>
          </cell>
        </row>
        <row r="3816">
          <cell r="G3816" t="str">
            <v>Miscellaneous</v>
          </cell>
          <cell r="H3816" t="str">
            <v>Misc</v>
          </cell>
          <cell r="K3816" t="str">
            <v>Non-Product</v>
          </cell>
          <cell r="L3816" t="str">
            <v>No</v>
          </cell>
        </row>
        <row r="3817">
          <cell r="G3817" t="str">
            <v>Miscellaneous</v>
          </cell>
          <cell r="H3817" t="str">
            <v>Misc</v>
          </cell>
          <cell r="K3817" t="str">
            <v>Non-Product</v>
          </cell>
          <cell r="L3817" t="str">
            <v>No</v>
          </cell>
        </row>
        <row r="3818">
          <cell r="G3818" t="str">
            <v>Miscellaneous</v>
          </cell>
          <cell r="H3818" t="str">
            <v>Misc</v>
          </cell>
          <cell r="K3818" t="str">
            <v>Non-Product</v>
          </cell>
          <cell r="L3818" t="str">
            <v>No</v>
          </cell>
        </row>
        <row r="3819">
          <cell r="G3819" t="str">
            <v>Miscellaneous</v>
          </cell>
          <cell r="H3819" t="str">
            <v>Misc</v>
          </cell>
          <cell r="K3819" t="str">
            <v>Non-Product</v>
          </cell>
          <cell r="L3819" t="str">
            <v>No</v>
          </cell>
        </row>
        <row r="3820">
          <cell r="G3820" t="str">
            <v>Miscellaneous</v>
          </cell>
          <cell r="H3820" t="str">
            <v>Misc</v>
          </cell>
          <cell r="K3820" t="str">
            <v>Non-Product</v>
          </cell>
          <cell r="L3820" t="str">
            <v>No</v>
          </cell>
        </row>
        <row r="3821">
          <cell r="G3821" t="str">
            <v>Miscellaneous</v>
          </cell>
          <cell r="H3821" t="str">
            <v>Misc</v>
          </cell>
          <cell r="K3821" t="str">
            <v>Non-Product</v>
          </cell>
          <cell r="L3821" t="str">
            <v>No</v>
          </cell>
        </row>
        <row r="3822">
          <cell r="G3822" t="str">
            <v>Miscellaneous</v>
          </cell>
          <cell r="H3822" t="str">
            <v>Misc</v>
          </cell>
          <cell r="K3822" t="str">
            <v>Non-Product</v>
          </cell>
          <cell r="L3822" t="str">
            <v>No</v>
          </cell>
        </row>
        <row r="3823">
          <cell r="G3823" t="str">
            <v>Miscellaneous</v>
          </cell>
          <cell r="H3823" t="str">
            <v>Misc</v>
          </cell>
          <cell r="K3823" t="str">
            <v>Non-Product</v>
          </cell>
          <cell r="L3823" t="str">
            <v>No</v>
          </cell>
        </row>
        <row r="3824">
          <cell r="G3824" t="str">
            <v>Miscellaneous</v>
          </cell>
          <cell r="H3824" t="str">
            <v>Misc</v>
          </cell>
          <cell r="K3824" t="str">
            <v>Non-Product</v>
          </cell>
          <cell r="L3824" t="str">
            <v>No</v>
          </cell>
        </row>
        <row r="3825">
          <cell r="G3825" t="str">
            <v>Miscellaneous</v>
          </cell>
          <cell r="H3825" t="str">
            <v>Misc</v>
          </cell>
          <cell r="K3825" t="str">
            <v>Non-Product</v>
          </cell>
          <cell r="L3825" t="str">
            <v>No</v>
          </cell>
        </row>
        <row r="3826">
          <cell r="G3826" t="str">
            <v>Miscellaneous</v>
          </cell>
          <cell r="H3826" t="str">
            <v>Misc</v>
          </cell>
          <cell r="K3826" t="str">
            <v>Non-Product</v>
          </cell>
          <cell r="L3826" t="str">
            <v>No</v>
          </cell>
        </row>
        <row r="3827">
          <cell r="G3827" t="str">
            <v>Miscellaneous</v>
          </cell>
          <cell r="H3827" t="str">
            <v>Misc</v>
          </cell>
          <cell r="K3827" t="str">
            <v>Non-Product</v>
          </cell>
          <cell r="L3827" t="str">
            <v>No</v>
          </cell>
        </row>
        <row r="3828">
          <cell r="G3828" t="str">
            <v>Miscellaneous</v>
          </cell>
          <cell r="H3828" t="str">
            <v>Misc</v>
          </cell>
          <cell r="K3828" t="str">
            <v>Non-Product</v>
          </cell>
          <cell r="L3828" t="str">
            <v>No</v>
          </cell>
        </row>
        <row r="3829">
          <cell r="G3829" t="str">
            <v>Miscellaneous</v>
          </cell>
          <cell r="H3829" t="str">
            <v>Misc</v>
          </cell>
          <cell r="K3829" t="str">
            <v>Non-Product</v>
          </cell>
          <cell r="L3829" t="str">
            <v>No</v>
          </cell>
        </row>
        <row r="3830">
          <cell r="G3830" t="str">
            <v>Miscellaneous</v>
          </cell>
          <cell r="H3830" t="str">
            <v>Misc</v>
          </cell>
          <cell r="K3830" t="str">
            <v>Non-Product</v>
          </cell>
          <cell r="L3830" t="str">
            <v>No</v>
          </cell>
        </row>
        <row r="3831">
          <cell r="G3831" t="str">
            <v>Miscellaneous</v>
          </cell>
          <cell r="H3831" t="str">
            <v>Misc</v>
          </cell>
          <cell r="K3831" t="str">
            <v>Non-Product</v>
          </cell>
          <cell r="L3831" t="str">
            <v>No</v>
          </cell>
        </row>
        <row r="3832">
          <cell r="G3832" t="str">
            <v>Miscellaneous</v>
          </cell>
          <cell r="H3832" t="str">
            <v>Misc</v>
          </cell>
          <cell r="K3832" t="str">
            <v>Non-Product</v>
          </cell>
          <cell r="L3832" t="str">
            <v>No</v>
          </cell>
        </row>
        <row r="3833">
          <cell r="G3833" t="str">
            <v>Miscellaneous</v>
          </cell>
          <cell r="H3833" t="str">
            <v>Misc</v>
          </cell>
          <cell r="K3833" t="str">
            <v>Non-Product</v>
          </cell>
          <cell r="L3833" t="str">
            <v>No</v>
          </cell>
        </row>
        <row r="3834">
          <cell r="G3834" t="str">
            <v>Miscellaneous</v>
          </cell>
          <cell r="H3834" t="str">
            <v>Misc</v>
          </cell>
          <cell r="K3834" t="str">
            <v>Non-Product</v>
          </cell>
          <cell r="L3834" t="str">
            <v>No</v>
          </cell>
        </row>
        <row r="3835">
          <cell r="G3835" t="str">
            <v>Miscellaneous</v>
          </cell>
          <cell r="H3835" t="str">
            <v>Misc</v>
          </cell>
          <cell r="K3835" t="str">
            <v>Non-Product</v>
          </cell>
          <cell r="L3835" t="str">
            <v>No</v>
          </cell>
        </row>
        <row r="3836">
          <cell r="G3836" t="str">
            <v>Miscellaneous</v>
          </cell>
          <cell r="H3836" t="str">
            <v>Misc</v>
          </cell>
          <cell r="K3836" t="str">
            <v>Non-Product</v>
          </cell>
          <cell r="L3836" t="str">
            <v>No</v>
          </cell>
        </row>
        <row r="3837">
          <cell r="G3837" t="str">
            <v>Miscellaneous</v>
          </cell>
          <cell r="H3837" t="str">
            <v>Misc</v>
          </cell>
          <cell r="K3837" t="str">
            <v>Non-Product</v>
          </cell>
          <cell r="L3837" t="str">
            <v>No</v>
          </cell>
        </row>
        <row r="3838">
          <cell r="G3838" t="str">
            <v>Miscellaneous</v>
          </cell>
          <cell r="H3838" t="str">
            <v>Misc</v>
          </cell>
          <cell r="K3838" t="str">
            <v>Non-Product</v>
          </cell>
          <cell r="L3838" t="str">
            <v>No</v>
          </cell>
        </row>
        <row r="3839">
          <cell r="G3839" t="str">
            <v>Miscellaneous</v>
          </cell>
          <cell r="H3839" t="str">
            <v>Misc</v>
          </cell>
          <cell r="K3839" t="str">
            <v>Non-Product</v>
          </cell>
          <cell r="L3839" t="str">
            <v>No</v>
          </cell>
        </row>
        <row r="3840">
          <cell r="G3840" t="str">
            <v>Miscellaneous</v>
          </cell>
          <cell r="H3840" t="str">
            <v>Misc</v>
          </cell>
          <cell r="K3840" t="str">
            <v>Non-Product</v>
          </cell>
          <cell r="L3840" t="str">
            <v>No</v>
          </cell>
        </row>
        <row r="3841">
          <cell r="G3841" t="str">
            <v>Miscellaneous</v>
          </cell>
          <cell r="H3841" t="str">
            <v>Misc</v>
          </cell>
          <cell r="K3841" t="str">
            <v>Non-Product</v>
          </cell>
          <cell r="L3841" t="str">
            <v>No</v>
          </cell>
        </row>
        <row r="3842">
          <cell r="G3842" t="str">
            <v>Miscellaneous</v>
          </cell>
          <cell r="H3842" t="str">
            <v>Misc</v>
          </cell>
          <cell r="K3842" t="str">
            <v>Non-Product</v>
          </cell>
          <cell r="L3842" t="str">
            <v>No</v>
          </cell>
        </row>
        <row r="3843">
          <cell r="G3843" t="str">
            <v>Miscellaneous</v>
          </cell>
          <cell r="H3843" t="str">
            <v>Misc</v>
          </cell>
          <cell r="K3843" t="str">
            <v>Non-Product</v>
          </cell>
          <cell r="L3843" t="str">
            <v>No</v>
          </cell>
        </row>
        <row r="3844">
          <cell r="G3844" t="str">
            <v>Miscellaneous</v>
          </cell>
          <cell r="H3844" t="str">
            <v>Misc</v>
          </cell>
          <cell r="K3844" t="str">
            <v>Non-Product</v>
          </cell>
          <cell r="L3844" t="str">
            <v>No</v>
          </cell>
        </row>
        <row r="3845">
          <cell r="G3845" t="str">
            <v>Miscellaneous</v>
          </cell>
          <cell r="H3845" t="str">
            <v>Misc</v>
          </cell>
          <cell r="K3845" t="str">
            <v>Non-Product</v>
          </cell>
          <cell r="L3845" t="str">
            <v>No</v>
          </cell>
        </row>
        <row r="3846">
          <cell r="G3846" t="str">
            <v>Miscellaneous</v>
          </cell>
          <cell r="H3846" t="str">
            <v>Misc</v>
          </cell>
          <cell r="K3846" t="str">
            <v>Non-Product</v>
          </cell>
          <cell r="L3846" t="str">
            <v>No</v>
          </cell>
        </row>
        <row r="3847">
          <cell r="G3847" t="str">
            <v>Miscellaneous</v>
          </cell>
          <cell r="H3847" t="str">
            <v>Misc</v>
          </cell>
          <cell r="K3847" t="str">
            <v>Non-Product</v>
          </cell>
          <cell r="L3847" t="str">
            <v>No</v>
          </cell>
        </row>
        <row r="3848">
          <cell r="G3848" t="str">
            <v>Miscellaneous</v>
          </cell>
          <cell r="H3848" t="str">
            <v>Misc</v>
          </cell>
          <cell r="K3848" t="str">
            <v>Non-Product</v>
          </cell>
          <cell r="L3848" t="str">
            <v>No</v>
          </cell>
        </row>
        <row r="3849">
          <cell r="G3849" t="str">
            <v>Miscellaneous</v>
          </cell>
          <cell r="H3849" t="str">
            <v>Misc</v>
          </cell>
          <cell r="K3849" t="str">
            <v>Non-Product</v>
          </cell>
          <cell r="L3849" t="str">
            <v>No</v>
          </cell>
        </row>
        <row r="3850">
          <cell r="G3850" t="str">
            <v>Miscellaneous</v>
          </cell>
          <cell r="H3850" t="str">
            <v>Misc</v>
          </cell>
          <cell r="K3850" t="str">
            <v>Non-Product</v>
          </cell>
          <cell r="L3850" t="str">
            <v>No</v>
          </cell>
        </row>
        <row r="3851">
          <cell r="G3851" t="str">
            <v>Miscellaneous</v>
          </cell>
          <cell r="H3851" t="str">
            <v>Misc</v>
          </cell>
          <cell r="K3851" t="str">
            <v>Non-Product</v>
          </cell>
          <cell r="L3851" t="str">
            <v>No</v>
          </cell>
        </row>
        <row r="3852">
          <cell r="G3852" t="str">
            <v>Miscellaneous</v>
          </cell>
          <cell r="H3852" t="str">
            <v>Misc</v>
          </cell>
          <cell r="K3852" t="str">
            <v>Non-Product</v>
          </cell>
          <cell r="L3852" t="str">
            <v>No</v>
          </cell>
        </row>
        <row r="3853">
          <cell r="G3853" t="str">
            <v>Miscellaneous</v>
          </cell>
          <cell r="H3853" t="str">
            <v>Misc</v>
          </cell>
          <cell r="K3853" t="str">
            <v>Non-Product</v>
          </cell>
          <cell r="L3853" t="str">
            <v>No</v>
          </cell>
        </row>
        <row r="3854">
          <cell r="G3854" t="str">
            <v>Miscellaneous</v>
          </cell>
          <cell r="H3854" t="str">
            <v>Misc</v>
          </cell>
          <cell r="K3854" t="str">
            <v>Non-Product</v>
          </cell>
          <cell r="L3854" t="str">
            <v>No</v>
          </cell>
        </row>
        <row r="3855">
          <cell r="G3855" t="str">
            <v>Miscellaneous</v>
          </cell>
          <cell r="H3855" t="str">
            <v>Misc</v>
          </cell>
          <cell r="K3855" t="str">
            <v>Non-Product</v>
          </cell>
          <cell r="L3855" t="str">
            <v>No</v>
          </cell>
        </row>
        <row r="3856">
          <cell r="G3856" t="str">
            <v>Miscellaneous</v>
          </cell>
          <cell r="H3856" t="str">
            <v>Misc</v>
          </cell>
          <cell r="K3856" t="str">
            <v>Non-Product</v>
          </cell>
          <cell r="L3856" t="str">
            <v>No</v>
          </cell>
        </row>
        <row r="3857">
          <cell r="G3857" t="str">
            <v>Miscellaneous</v>
          </cell>
          <cell r="H3857" t="str">
            <v>Misc</v>
          </cell>
          <cell r="K3857" t="str">
            <v>Non-Product</v>
          </cell>
          <cell r="L3857" t="str">
            <v>No</v>
          </cell>
        </row>
        <row r="3858">
          <cell r="G3858" t="str">
            <v>Miscellaneous</v>
          </cell>
          <cell r="H3858" t="str">
            <v>Misc</v>
          </cell>
          <cell r="K3858" t="str">
            <v>Non-Product</v>
          </cell>
          <cell r="L3858" t="str">
            <v>No</v>
          </cell>
        </row>
        <row r="3859">
          <cell r="G3859" t="str">
            <v>Miscellaneous</v>
          </cell>
          <cell r="H3859" t="str">
            <v>Misc</v>
          </cell>
          <cell r="K3859" t="str">
            <v>Non-Product</v>
          </cell>
          <cell r="L3859" t="str">
            <v>No</v>
          </cell>
        </row>
        <row r="3860">
          <cell r="G3860" t="str">
            <v>Miscellaneous</v>
          </cell>
          <cell r="H3860" t="str">
            <v>Misc</v>
          </cell>
          <cell r="K3860" t="str">
            <v>Non-Product</v>
          </cell>
          <cell r="L3860" t="str">
            <v>No</v>
          </cell>
        </row>
        <row r="3861">
          <cell r="G3861" t="str">
            <v>Miscellaneous</v>
          </cell>
          <cell r="H3861" t="str">
            <v>Misc</v>
          </cell>
          <cell r="K3861" t="str">
            <v>Non-Product</v>
          </cell>
          <cell r="L3861" t="str">
            <v>No</v>
          </cell>
        </row>
        <row r="3862">
          <cell r="G3862" t="str">
            <v>Miscellaneous</v>
          </cell>
          <cell r="H3862" t="str">
            <v>Misc</v>
          </cell>
          <cell r="K3862" t="str">
            <v>Non-Product</v>
          </cell>
          <cell r="L3862" t="str">
            <v>No</v>
          </cell>
        </row>
        <row r="3863">
          <cell r="G3863" t="str">
            <v>Miscellaneous</v>
          </cell>
          <cell r="H3863" t="str">
            <v>Misc</v>
          </cell>
          <cell r="K3863" t="str">
            <v>Non-Product</v>
          </cell>
          <cell r="L3863" t="str">
            <v>No</v>
          </cell>
        </row>
        <row r="3864">
          <cell r="G3864" t="str">
            <v>Miscellaneous</v>
          </cell>
          <cell r="H3864" t="str">
            <v>Misc</v>
          </cell>
          <cell r="K3864" t="str">
            <v>Non-Product</v>
          </cell>
          <cell r="L3864" t="str">
            <v>No</v>
          </cell>
        </row>
        <row r="3865">
          <cell r="G3865" t="str">
            <v>Miscellaneous</v>
          </cell>
          <cell r="H3865" t="str">
            <v>Misc</v>
          </cell>
          <cell r="K3865" t="str">
            <v>Non-Product</v>
          </cell>
          <cell r="L3865" t="str">
            <v>No</v>
          </cell>
        </row>
        <row r="3866">
          <cell r="G3866" t="str">
            <v>Miscellaneous</v>
          </cell>
          <cell r="H3866" t="str">
            <v>Misc</v>
          </cell>
          <cell r="K3866" t="str">
            <v>Non-Product</v>
          </cell>
          <cell r="L3866" t="str">
            <v>No</v>
          </cell>
        </row>
        <row r="3867">
          <cell r="G3867" t="str">
            <v>Miscellaneous</v>
          </cell>
          <cell r="H3867" t="str">
            <v>Misc</v>
          </cell>
          <cell r="K3867" t="str">
            <v>Non-Product</v>
          </cell>
          <cell r="L3867" t="str">
            <v>No</v>
          </cell>
        </row>
        <row r="3868">
          <cell r="G3868" t="str">
            <v>Miscellaneous</v>
          </cell>
          <cell r="H3868" t="str">
            <v>Misc</v>
          </cell>
          <cell r="K3868" t="str">
            <v>Non-Product</v>
          </cell>
          <cell r="L3868" t="str">
            <v>No</v>
          </cell>
        </row>
        <row r="3869">
          <cell r="G3869" t="str">
            <v>Miscellaneous</v>
          </cell>
          <cell r="H3869" t="str">
            <v>Misc</v>
          </cell>
          <cell r="K3869" t="str">
            <v>Non-Product</v>
          </cell>
          <cell r="L3869" t="str">
            <v>No</v>
          </cell>
        </row>
        <row r="3870">
          <cell r="G3870" t="str">
            <v>Miscellaneous</v>
          </cell>
          <cell r="H3870" t="str">
            <v>Misc</v>
          </cell>
          <cell r="K3870" t="str">
            <v>Non-Product</v>
          </cell>
          <cell r="L3870" t="str">
            <v>No</v>
          </cell>
        </row>
        <row r="3871">
          <cell r="G3871" t="str">
            <v>Miscellaneous</v>
          </cell>
          <cell r="H3871" t="str">
            <v>Misc</v>
          </cell>
          <cell r="K3871" t="str">
            <v>Non-Product</v>
          </cell>
          <cell r="L3871" t="str">
            <v>No</v>
          </cell>
        </row>
        <row r="3872">
          <cell r="G3872" t="str">
            <v>Miscellaneous</v>
          </cell>
          <cell r="H3872" t="str">
            <v>Misc</v>
          </cell>
          <cell r="K3872" t="str">
            <v>Non-Product</v>
          </cell>
          <cell r="L3872" t="str">
            <v>No</v>
          </cell>
        </row>
        <row r="3873">
          <cell r="G3873" t="str">
            <v>Miscellaneous</v>
          </cell>
          <cell r="H3873" t="str">
            <v>Misc</v>
          </cell>
          <cell r="K3873" t="str">
            <v>Non-Product</v>
          </cell>
          <cell r="L3873" t="str">
            <v>No</v>
          </cell>
        </row>
        <row r="3874">
          <cell r="G3874" t="str">
            <v>Miscellaneous</v>
          </cell>
          <cell r="H3874" t="str">
            <v>Misc</v>
          </cell>
          <cell r="K3874" t="str">
            <v>Non-Product</v>
          </cell>
          <cell r="L3874" t="str">
            <v>No</v>
          </cell>
        </row>
        <row r="3875">
          <cell r="G3875" t="str">
            <v>Miscellaneous</v>
          </cell>
          <cell r="H3875" t="str">
            <v>Misc</v>
          </cell>
          <cell r="K3875" t="str">
            <v>Non-Product</v>
          </cell>
          <cell r="L3875" t="str">
            <v>No</v>
          </cell>
        </row>
        <row r="3876">
          <cell r="G3876" t="str">
            <v>Miscellaneous</v>
          </cell>
          <cell r="H3876" t="str">
            <v>Misc</v>
          </cell>
          <cell r="K3876" t="str">
            <v>Non-Product</v>
          </cell>
          <cell r="L3876" t="str">
            <v>No</v>
          </cell>
        </row>
        <row r="3877">
          <cell r="G3877" t="str">
            <v>Miscellaneous</v>
          </cell>
          <cell r="H3877" t="str">
            <v>Misc</v>
          </cell>
          <cell r="K3877" t="str">
            <v>Non-Product</v>
          </cell>
          <cell r="L3877" t="str">
            <v>No</v>
          </cell>
        </row>
        <row r="3878">
          <cell r="G3878" t="str">
            <v>Miscellaneous</v>
          </cell>
          <cell r="H3878" t="str">
            <v>Misc</v>
          </cell>
          <cell r="K3878" t="str">
            <v>Non-Product</v>
          </cell>
          <cell r="L3878" t="str">
            <v>No</v>
          </cell>
        </row>
        <row r="3879">
          <cell r="G3879" t="str">
            <v>Miscellaneous</v>
          </cell>
          <cell r="H3879" t="str">
            <v>Misc</v>
          </cell>
          <cell r="K3879" t="str">
            <v>Non-Product</v>
          </cell>
          <cell r="L3879" t="str">
            <v>No</v>
          </cell>
        </row>
        <row r="3880">
          <cell r="G3880" t="str">
            <v>Miscellaneous</v>
          </cell>
          <cell r="H3880" t="str">
            <v>Misc</v>
          </cell>
          <cell r="K3880" t="str">
            <v>Non-Product</v>
          </cell>
          <cell r="L3880" t="str">
            <v>No</v>
          </cell>
        </row>
        <row r="3881">
          <cell r="G3881" t="str">
            <v>Miscellaneous</v>
          </cell>
          <cell r="H3881" t="str">
            <v>Misc</v>
          </cell>
          <cell r="K3881" t="str">
            <v>Non-Product</v>
          </cell>
          <cell r="L3881" t="str">
            <v>No</v>
          </cell>
        </row>
        <row r="3882">
          <cell r="G3882" t="str">
            <v>Miscellaneous</v>
          </cell>
          <cell r="H3882" t="str">
            <v>Misc</v>
          </cell>
          <cell r="K3882" t="str">
            <v>Non-Product</v>
          </cell>
          <cell r="L3882" t="str">
            <v>No</v>
          </cell>
        </row>
        <row r="3883">
          <cell r="G3883" t="str">
            <v>Miscellaneous</v>
          </cell>
          <cell r="H3883" t="str">
            <v>Misc</v>
          </cell>
          <cell r="K3883" t="str">
            <v>Non-Product</v>
          </cell>
          <cell r="L3883" t="str">
            <v>No</v>
          </cell>
        </row>
        <row r="3884">
          <cell r="G3884" t="str">
            <v>Miscellaneous</v>
          </cell>
          <cell r="H3884" t="str">
            <v>Misc</v>
          </cell>
          <cell r="K3884" t="str">
            <v>Non-Product</v>
          </cell>
          <cell r="L3884" t="str">
            <v>No</v>
          </cell>
        </row>
        <row r="3885">
          <cell r="G3885" t="str">
            <v>Miscellaneous</v>
          </cell>
          <cell r="H3885" t="str">
            <v>Misc</v>
          </cell>
          <cell r="K3885" t="str">
            <v>Non-Product</v>
          </cell>
          <cell r="L3885" t="str">
            <v>No</v>
          </cell>
        </row>
        <row r="3886">
          <cell r="G3886" t="str">
            <v>Miscellaneous</v>
          </cell>
          <cell r="H3886" t="str">
            <v>Misc</v>
          </cell>
          <cell r="K3886" t="str">
            <v>Non-Product</v>
          </cell>
          <cell r="L3886" t="str">
            <v>No</v>
          </cell>
        </row>
        <row r="3887">
          <cell r="G3887" t="str">
            <v>Miscellaneous</v>
          </cell>
          <cell r="H3887" t="str">
            <v>Misc</v>
          </cell>
          <cell r="K3887" t="str">
            <v>Non-Product</v>
          </cell>
          <cell r="L3887" t="str">
            <v>No</v>
          </cell>
        </row>
        <row r="3888">
          <cell r="G3888" t="str">
            <v>Miscellaneous</v>
          </cell>
          <cell r="H3888" t="str">
            <v>Misc</v>
          </cell>
          <cell r="K3888" t="str">
            <v>Non-Product</v>
          </cell>
          <cell r="L3888" t="str">
            <v>No</v>
          </cell>
        </row>
        <row r="3889">
          <cell r="G3889" t="str">
            <v>Miscellaneous</v>
          </cell>
          <cell r="H3889" t="str">
            <v>Misc</v>
          </cell>
          <cell r="K3889" t="str">
            <v>Non-Product</v>
          </cell>
          <cell r="L3889" t="str">
            <v>No</v>
          </cell>
        </row>
        <row r="3890">
          <cell r="G3890" t="str">
            <v>Miscellaneous</v>
          </cell>
          <cell r="H3890" t="str">
            <v>Misc</v>
          </cell>
          <cell r="K3890" t="str">
            <v>Non-Product</v>
          </cell>
          <cell r="L3890" t="str">
            <v>No</v>
          </cell>
        </row>
        <row r="3891">
          <cell r="G3891" t="str">
            <v>Miscellaneous</v>
          </cell>
          <cell r="H3891" t="str">
            <v>Misc</v>
          </cell>
          <cell r="K3891" t="str">
            <v>Non-Product</v>
          </cell>
          <cell r="L3891" t="str">
            <v>No</v>
          </cell>
        </row>
        <row r="3892">
          <cell r="G3892" t="str">
            <v>Miscellaneous</v>
          </cell>
          <cell r="H3892" t="str">
            <v>Misc</v>
          </cell>
          <cell r="K3892" t="str">
            <v>Non-Product</v>
          </cell>
          <cell r="L3892" t="str">
            <v>No</v>
          </cell>
        </row>
        <row r="3893">
          <cell r="G3893" t="str">
            <v>Miscellaneous</v>
          </cell>
          <cell r="H3893" t="str">
            <v>Misc</v>
          </cell>
          <cell r="K3893" t="str">
            <v>Non-Product</v>
          </cell>
          <cell r="L3893" t="str">
            <v>No</v>
          </cell>
        </row>
        <row r="3894">
          <cell r="G3894" t="str">
            <v>Miscellaneous</v>
          </cell>
          <cell r="H3894" t="str">
            <v>Misc</v>
          </cell>
          <cell r="K3894" t="str">
            <v>Non-Product</v>
          </cell>
          <cell r="L3894" t="str">
            <v>No</v>
          </cell>
        </row>
        <row r="3895">
          <cell r="G3895" t="str">
            <v>Miscellaneous</v>
          </cell>
          <cell r="H3895" t="str">
            <v>Misc</v>
          </cell>
          <cell r="K3895" t="str">
            <v>Non-Product</v>
          </cell>
          <cell r="L3895" t="str">
            <v>No</v>
          </cell>
        </row>
        <row r="3896">
          <cell r="G3896" t="str">
            <v>Miscellaneous</v>
          </cell>
          <cell r="H3896" t="str">
            <v>Misc</v>
          </cell>
          <cell r="K3896" t="str">
            <v>Non-Product</v>
          </cell>
          <cell r="L3896" t="str">
            <v>No</v>
          </cell>
        </row>
        <row r="3897">
          <cell r="G3897" t="str">
            <v>Miscellaneous</v>
          </cell>
          <cell r="H3897" t="str">
            <v>Misc</v>
          </cell>
          <cell r="K3897" t="str">
            <v>Non-Product</v>
          </cell>
          <cell r="L3897" t="str">
            <v>No</v>
          </cell>
        </row>
        <row r="3898">
          <cell r="G3898" t="str">
            <v>Miscellaneous</v>
          </cell>
          <cell r="H3898" t="str">
            <v>Misc</v>
          </cell>
          <cell r="K3898" t="str">
            <v>Non-Product</v>
          </cell>
          <cell r="L3898" t="str">
            <v>No</v>
          </cell>
        </row>
        <row r="3899">
          <cell r="G3899" t="str">
            <v>Miscellaneous</v>
          </cell>
          <cell r="H3899" t="str">
            <v>Misc</v>
          </cell>
          <cell r="K3899" t="str">
            <v>Non-Product</v>
          </cell>
          <cell r="L3899" t="str">
            <v>No</v>
          </cell>
        </row>
        <row r="3900">
          <cell r="G3900" t="str">
            <v>Miscellaneous</v>
          </cell>
          <cell r="H3900" t="str">
            <v>Misc</v>
          </cell>
          <cell r="K3900" t="str">
            <v>Non-Product</v>
          </cell>
          <cell r="L3900" t="str">
            <v>No</v>
          </cell>
        </row>
        <row r="3901">
          <cell r="G3901" t="str">
            <v>Miscellaneous</v>
          </cell>
          <cell r="H3901" t="str">
            <v>Misc</v>
          </cell>
          <cell r="K3901" t="str">
            <v>Non-Product</v>
          </cell>
          <cell r="L3901" t="str">
            <v>No</v>
          </cell>
        </row>
        <row r="3902">
          <cell r="G3902" t="str">
            <v>Miscellaneous</v>
          </cell>
          <cell r="H3902" t="str">
            <v>Misc</v>
          </cell>
          <cell r="K3902" t="str">
            <v>Non-Product</v>
          </cell>
          <cell r="L3902" t="str">
            <v>No</v>
          </cell>
        </row>
        <row r="3903">
          <cell r="G3903" t="str">
            <v>Miscellaneous</v>
          </cell>
          <cell r="H3903" t="str">
            <v>Misc</v>
          </cell>
          <cell r="K3903" t="str">
            <v>Non-Product</v>
          </cell>
          <cell r="L3903" t="str">
            <v>No</v>
          </cell>
        </row>
        <row r="3904">
          <cell r="G3904" t="str">
            <v>Miscellaneous</v>
          </cell>
          <cell r="H3904" t="str">
            <v>Misc</v>
          </cell>
          <cell r="K3904" t="str">
            <v>Non-Product</v>
          </cell>
          <cell r="L3904" t="str">
            <v>No</v>
          </cell>
        </row>
        <row r="3905">
          <cell r="G3905" t="str">
            <v>Miscellaneous</v>
          </cell>
          <cell r="H3905" t="str">
            <v>Misc</v>
          </cell>
          <cell r="K3905" t="str">
            <v>Non-Product</v>
          </cell>
          <cell r="L3905" t="str">
            <v>No</v>
          </cell>
        </row>
        <row r="3906">
          <cell r="G3906" t="str">
            <v>Miscellaneous</v>
          </cell>
          <cell r="H3906" t="str">
            <v>Misc</v>
          </cell>
          <cell r="K3906" t="str">
            <v>Non-Product</v>
          </cell>
          <cell r="L3906" t="str">
            <v>No</v>
          </cell>
        </row>
        <row r="3907">
          <cell r="G3907" t="str">
            <v>Miscellaneous</v>
          </cell>
          <cell r="H3907" t="str">
            <v>Misc</v>
          </cell>
          <cell r="K3907" t="str">
            <v>Non-Product</v>
          </cell>
          <cell r="L3907" t="str">
            <v>No</v>
          </cell>
        </row>
        <row r="3908">
          <cell r="G3908" t="str">
            <v>Miscellaneous</v>
          </cell>
          <cell r="H3908" t="str">
            <v>Misc</v>
          </cell>
          <cell r="K3908" t="str">
            <v>Non-Product</v>
          </cell>
          <cell r="L3908" t="str">
            <v>No</v>
          </cell>
        </row>
        <row r="3909">
          <cell r="G3909" t="str">
            <v>Misc</v>
          </cell>
          <cell r="H3909" t="str">
            <v>Misc</v>
          </cell>
          <cell r="K3909" t="str">
            <v>Non-Product</v>
          </cell>
          <cell r="L3909" t="str">
            <v>No</v>
          </cell>
        </row>
        <row r="3910">
          <cell r="G3910" t="str">
            <v>Misc</v>
          </cell>
          <cell r="H3910" t="str">
            <v>Misc</v>
          </cell>
          <cell r="K3910" t="str">
            <v>Non-Product</v>
          </cell>
          <cell r="L3910" t="str">
            <v>No</v>
          </cell>
        </row>
        <row r="3911">
          <cell r="G3911" t="str">
            <v>Misc</v>
          </cell>
          <cell r="H3911" t="str">
            <v>Misc</v>
          </cell>
          <cell r="K3911" t="str">
            <v>Non-Product</v>
          </cell>
          <cell r="L3911" t="str">
            <v>No</v>
          </cell>
        </row>
        <row r="3912">
          <cell r="G3912" t="str">
            <v>Misc</v>
          </cell>
          <cell r="H3912" t="str">
            <v>Misc</v>
          </cell>
          <cell r="K3912" t="str">
            <v>Non-Product</v>
          </cell>
          <cell r="L3912" t="str">
            <v>No</v>
          </cell>
        </row>
        <row r="3913">
          <cell r="G3913" t="str">
            <v>Misc</v>
          </cell>
          <cell r="H3913" t="str">
            <v>Misc</v>
          </cell>
          <cell r="K3913" t="str">
            <v>Non-Product</v>
          </cell>
          <cell r="L3913" t="str">
            <v>No</v>
          </cell>
        </row>
        <row r="3914">
          <cell r="G3914" t="str">
            <v>Misc</v>
          </cell>
          <cell r="H3914" t="str">
            <v>Misc</v>
          </cell>
          <cell r="K3914" t="str">
            <v>Non-Product</v>
          </cell>
          <cell r="L3914" t="str">
            <v>No</v>
          </cell>
        </row>
        <row r="3915">
          <cell r="G3915" t="str">
            <v>Misc</v>
          </cell>
          <cell r="H3915" t="str">
            <v>Misc</v>
          </cell>
          <cell r="K3915" t="str">
            <v>Non-Product</v>
          </cell>
          <cell r="L3915" t="str">
            <v>No</v>
          </cell>
        </row>
        <row r="3916">
          <cell r="G3916" t="str">
            <v>Misc</v>
          </cell>
          <cell r="H3916" t="str">
            <v>Misc</v>
          </cell>
          <cell r="K3916" t="str">
            <v>Non-Product</v>
          </cell>
          <cell r="L3916" t="str">
            <v>No</v>
          </cell>
        </row>
        <row r="3917">
          <cell r="G3917" t="str">
            <v>Misc</v>
          </cell>
          <cell r="H3917" t="str">
            <v>Misc</v>
          </cell>
          <cell r="K3917" t="str">
            <v>Non-Product</v>
          </cell>
          <cell r="L3917" t="str">
            <v>No</v>
          </cell>
        </row>
        <row r="3918">
          <cell r="G3918" t="str">
            <v>Misc</v>
          </cell>
          <cell r="H3918" t="str">
            <v>Misc</v>
          </cell>
          <cell r="K3918" t="str">
            <v>Non-Product</v>
          </cell>
          <cell r="L3918" t="str">
            <v>No</v>
          </cell>
        </row>
        <row r="3919">
          <cell r="G3919" t="str">
            <v>Misc</v>
          </cell>
          <cell r="H3919" t="str">
            <v>Misc</v>
          </cell>
          <cell r="K3919" t="str">
            <v>Non-Product</v>
          </cell>
          <cell r="L3919" t="str">
            <v>No</v>
          </cell>
        </row>
        <row r="3920">
          <cell r="G3920" t="str">
            <v>Misc</v>
          </cell>
          <cell r="H3920" t="str">
            <v>Misc</v>
          </cell>
          <cell r="K3920" t="str">
            <v>Non-Product</v>
          </cell>
          <cell r="L3920" t="str">
            <v>No</v>
          </cell>
        </row>
        <row r="3921">
          <cell r="G3921" t="str">
            <v>Misc</v>
          </cell>
          <cell r="H3921" t="str">
            <v>Misc</v>
          </cell>
          <cell r="K3921" t="str">
            <v>Non-Product</v>
          </cell>
          <cell r="L3921" t="str">
            <v>No</v>
          </cell>
        </row>
        <row r="3922">
          <cell r="G3922" t="str">
            <v>Misc</v>
          </cell>
          <cell r="H3922" t="str">
            <v>Misc</v>
          </cell>
          <cell r="K3922" t="str">
            <v>Non-Product</v>
          </cell>
          <cell r="L3922" t="str">
            <v>No</v>
          </cell>
        </row>
        <row r="3923">
          <cell r="G3923" t="str">
            <v>Misc</v>
          </cell>
          <cell r="H3923" t="str">
            <v>Misc</v>
          </cell>
          <cell r="K3923" t="str">
            <v>Non-Product</v>
          </cell>
          <cell r="L3923" t="str">
            <v>No</v>
          </cell>
        </row>
        <row r="3924">
          <cell r="G3924" t="str">
            <v>Misc</v>
          </cell>
          <cell r="H3924" t="str">
            <v>Misc</v>
          </cell>
          <cell r="K3924" t="str">
            <v>Non-Product</v>
          </cell>
          <cell r="L3924" t="str">
            <v>No</v>
          </cell>
        </row>
        <row r="3925">
          <cell r="G3925" t="str">
            <v>Misc</v>
          </cell>
          <cell r="H3925" t="str">
            <v>Misc</v>
          </cell>
          <cell r="K3925" t="str">
            <v>Non-Product</v>
          </cell>
          <cell r="L3925" t="str">
            <v>No</v>
          </cell>
        </row>
        <row r="3926">
          <cell r="G3926" t="str">
            <v>Misc</v>
          </cell>
          <cell r="H3926" t="str">
            <v>Misc</v>
          </cell>
          <cell r="K3926" t="str">
            <v>Non-Product</v>
          </cell>
          <cell r="L3926" t="str">
            <v>No</v>
          </cell>
        </row>
        <row r="3927">
          <cell r="G3927" t="str">
            <v>Misc</v>
          </cell>
          <cell r="H3927" t="str">
            <v>Misc</v>
          </cell>
          <cell r="K3927" t="str">
            <v>Non-Product</v>
          </cell>
          <cell r="L3927" t="str">
            <v>No</v>
          </cell>
        </row>
        <row r="3928">
          <cell r="G3928" t="str">
            <v>Misc</v>
          </cell>
          <cell r="H3928" t="str">
            <v>Misc</v>
          </cell>
          <cell r="K3928" t="str">
            <v>Non-Product</v>
          </cell>
          <cell r="L3928" t="str">
            <v>No</v>
          </cell>
        </row>
        <row r="3929">
          <cell r="G3929" t="str">
            <v>Misc</v>
          </cell>
          <cell r="H3929" t="str">
            <v>Misc</v>
          </cell>
          <cell r="K3929" t="str">
            <v>Non-Product</v>
          </cell>
          <cell r="L3929" t="str">
            <v>No</v>
          </cell>
        </row>
        <row r="3930">
          <cell r="G3930" t="str">
            <v>Misc</v>
          </cell>
          <cell r="H3930" t="str">
            <v>Misc</v>
          </cell>
          <cell r="K3930" t="str">
            <v>Non-Product</v>
          </cell>
          <cell r="L3930" t="str">
            <v>No</v>
          </cell>
        </row>
        <row r="3931">
          <cell r="G3931" t="str">
            <v>Misc</v>
          </cell>
          <cell r="H3931" t="str">
            <v>Misc</v>
          </cell>
          <cell r="K3931" t="str">
            <v>Non-Product</v>
          </cell>
          <cell r="L3931" t="str">
            <v>No</v>
          </cell>
        </row>
        <row r="3932">
          <cell r="G3932" t="str">
            <v>Misc</v>
          </cell>
          <cell r="H3932" t="str">
            <v>Misc</v>
          </cell>
          <cell r="K3932" t="str">
            <v>Non-Product</v>
          </cell>
          <cell r="L3932" t="str">
            <v>No</v>
          </cell>
        </row>
        <row r="3933">
          <cell r="G3933" t="str">
            <v>Misc</v>
          </cell>
          <cell r="H3933" t="str">
            <v>Misc</v>
          </cell>
          <cell r="K3933" t="str">
            <v>Non-Product</v>
          </cell>
          <cell r="L3933" t="str">
            <v>No</v>
          </cell>
        </row>
        <row r="3934">
          <cell r="G3934" t="str">
            <v>Misc</v>
          </cell>
          <cell r="H3934" t="str">
            <v>Misc</v>
          </cell>
          <cell r="K3934" t="str">
            <v>Non-Product</v>
          </cell>
          <cell r="L3934" t="str">
            <v>No</v>
          </cell>
        </row>
        <row r="3935">
          <cell r="G3935" t="str">
            <v>Misc</v>
          </cell>
          <cell r="H3935" t="str">
            <v>Misc</v>
          </cell>
          <cell r="K3935" t="str">
            <v>Non-Product</v>
          </cell>
          <cell r="L3935" t="str">
            <v>No</v>
          </cell>
        </row>
        <row r="3936">
          <cell r="G3936" t="str">
            <v>Misc</v>
          </cell>
          <cell r="H3936" t="str">
            <v>Misc</v>
          </cell>
          <cell r="K3936" t="str">
            <v>Non-Product</v>
          </cell>
          <cell r="L3936" t="str">
            <v>No</v>
          </cell>
        </row>
        <row r="3937">
          <cell r="G3937" t="str">
            <v>Misc</v>
          </cell>
          <cell r="H3937" t="str">
            <v>Misc</v>
          </cell>
          <cell r="K3937" t="str">
            <v>Non-Product</v>
          </cell>
          <cell r="L3937" t="str">
            <v>No</v>
          </cell>
        </row>
        <row r="3938">
          <cell r="G3938" t="str">
            <v>Misc</v>
          </cell>
          <cell r="H3938" t="str">
            <v>Misc</v>
          </cell>
          <cell r="K3938" t="str">
            <v>Non-Product</v>
          </cell>
          <cell r="L3938" t="str">
            <v>No</v>
          </cell>
        </row>
        <row r="3939">
          <cell r="G3939" t="str">
            <v>Misc</v>
          </cell>
          <cell r="H3939" t="str">
            <v>Misc</v>
          </cell>
          <cell r="K3939" t="str">
            <v>Non-Product</v>
          </cell>
          <cell r="L3939" t="str">
            <v>No</v>
          </cell>
        </row>
        <row r="3940">
          <cell r="G3940" t="str">
            <v>Misc</v>
          </cell>
          <cell r="H3940" t="str">
            <v>Misc</v>
          </cell>
          <cell r="K3940" t="str">
            <v>Non-Product</v>
          </cell>
          <cell r="L3940" t="str">
            <v>No</v>
          </cell>
        </row>
        <row r="3941">
          <cell r="G3941" t="str">
            <v>Misc</v>
          </cell>
          <cell r="H3941" t="str">
            <v>Misc</v>
          </cell>
          <cell r="K3941" t="str">
            <v>Non-Product</v>
          </cell>
          <cell r="L3941" t="str">
            <v>No</v>
          </cell>
        </row>
        <row r="3942">
          <cell r="G3942" t="str">
            <v>Misc</v>
          </cell>
          <cell r="H3942" t="str">
            <v>Misc</v>
          </cell>
          <cell r="K3942" t="str">
            <v>Non-Product</v>
          </cell>
          <cell r="L3942" t="str">
            <v>No</v>
          </cell>
        </row>
        <row r="3943">
          <cell r="G3943" t="str">
            <v>Misc</v>
          </cell>
          <cell r="H3943" t="str">
            <v>Misc</v>
          </cell>
          <cell r="K3943" t="str">
            <v>Non-Product</v>
          </cell>
          <cell r="L3943" t="str">
            <v>No</v>
          </cell>
        </row>
        <row r="3944">
          <cell r="G3944" t="str">
            <v>Misc</v>
          </cell>
          <cell r="H3944" t="str">
            <v>Misc</v>
          </cell>
          <cell r="K3944" t="str">
            <v>Non-Product</v>
          </cell>
          <cell r="L3944" t="str">
            <v>No</v>
          </cell>
        </row>
        <row r="3945">
          <cell r="G3945" t="str">
            <v>Misc</v>
          </cell>
          <cell r="H3945" t="str">
            <v>Misc</v>
          </cell>
          <cell r="K3945" t="str">
            <v>Non-Product</v>
          </cell>
          <cell r="L3945" t="str">
            <v>No</v>
          </cell>
        </row>
        <row r="3946">
          <cell r="G3946" t="str">
            <v>Misc</v>
          </cell>
          <cell r="H3946" t="str">
            <v>Misc</v>
          </cell>
          <cell r="K3946" t="str">
            <v>Non-Product</v>
          </cell>
          <cell r="L3946" t="str">
            <v>No</v>
          </cell>
        </row>
        <row r="3947">
          <cell r="G3947" t="str">
            <v>Misc</v>
          </cell>
          <cell r="H3947" t="str">
            <v>Misc</v>
          </cell>
          <cell r="K3947" t="str">
            <v>Non-Product</v>
          </cell>
          <cell r="L3947" t="str">
            <v>No</v>
          </cell>
        </row>
        <row r="3948">
          <cell r="G3948" t="str">
            <v>Misc</v>
          </cell>
          <cell r="H3948" t="str">
            <v>Misc</v>
          </cell>
          <cell r="K3948" t="str">
            <v>Non-Product</v>
          </cell>
          <cell r="L3948" t="str">
            <v>No</v>
          </cell>
        </row>
        <row r="3949">
          <cell r="G3949" t="str">
            <v>Misc</v>
          </cell>
          <cell r="H3949" t="str">
            <v>Misc</v>
          </cell>
          <cell r="K3949" t="str">
            <v>Non-Product</v>
          </cell>
          <cell r="L3949" t="str">
            <v>No</v>
          </cell>
        </row>
        <row r="3950">
          <cell r="G3950" t="str">
            <v>Misc</v>
          </cell>
          <cell r="H3950" t="str">
            <v>Misc</v>
          </cell>
          <cell r="K3950" t="str">
            <v>Non-Product</v>
          </cell>
          <cell r="L3950" t="str">
            <v>No</v>
          </cell>
        </row>
        <row r="3951">
          <cell r="G3951" t="str">
            <v>Misc</v>
          </cell>
          <cell r="H3951" t="str">
            <v>Misc</v>
          </cell>
          <cell r="K3951" t="str">
            <v>Non-Product</v>
          </cell>
          <cell r="L3951" t="str">
            <v>No</v>
          </cell>
        </row>
        <row r="3952">
          <cell r="G3952" t="str">
            <v>Misc</v>
          </cell>
          <cell r="H3952" t="str">
            <v>Misc</v>
          </cell>
          <cell r="K3952" t="str">
            <v>Non-Product</v>
          </cell>
          <cell r="L3952" t="str">
            <v>No</v>
          </cell>
        </row>
        <row r="3953">
          <cell r="G3953" t="str">
            <v>Misc</v>
          </cell>
          <cell r="H3953" t="str">
            <v>Misc</v>
          </cell>
          <cell r="K3953" t="str">
            <v>Non-Product</v>
          </cell>
          <cell r="L3953" t="str">
            <v>No</v>
          </cell>
        </row>
        <row r="3954">
          <cell r="G3954" t="str">
            <v>Misc</v>
          </cell>
          <cell r="H3954" t="str">
            <v>Misc</v>
          </cell>
          <cell r="K3954" t="str">
            <v>Non-Product</v>
          </cell>
          <cell r="L3954" t="str">
            <v>No</v>
          </cell>
        </row>
        <row r="3955">
          <cell r="G3955" t="str">
            <v>Misc</v>
          </cell>
          <cell r="H3955" t="str">
            <v>Misc</v>
          </cell>
          <cell r="K3955" t="str">
            <v>Non-Product</v>
          </cell>
          <cell r="L3955" t="str">
            <v>No</v>
          </cell>
        </row>
        <row r="3956">
          <cell r="G3956" t="str">
            <v>Misc</v>
          </cell>
          <cell r="H3956" t="str">
            <v>Misc</v>
          </cell>
          <cell r="K3956" t="str">
            <v>Non-Product</v>
          </cell>
          <cell r="L3956" t="str">
            <v>No</v>
          </cell>
        </row>
        <row r="3957">
          <cell r="G3957" t="str">
            <v>Misc</v>
          </cell>
          <cell r="H3957" t="str">
            <v>Misc</v>
          </cell>
          <cell r="K3957" t="str">
            <v>Non-Product</v>
          </cell>
          <cell r="L3957" t="str">
            <v>No</v>
          </cell>
        </row>
        <row r="3958">
          <cell r="G3958" t="str">
            <v>Misc</v>
          </cell>
          <cell r="H3958" t="str">
            <v>Misc</v>
          </cell>
          <cell r="K3958" t="str">
            <v>Non-Product</v>
          </cell>
          <cell r="L3958" t="str">
            <v>No</v>
          </cell>
        </row>
        <row r="3959">
          <cell r="G3959" t="str">
            <v>Misc</v>
          </cell>
          <cell r="H3959" t="str">
            <v>Misc</v>
          </cell>
          <cell r="K3959" t="str">
            <v>Non-Product</v>
          </cell>
          <cell r="L3959" t="str">
            <v>No</v>
          </cell>
        </row>
        <row r="3960">
          <cell r="G3960" t="str">
            <v>Misc</v>
          </cell>
          <cell r="H3960" t="str">
            <v>Misc</v>
          </cell>
          <cell r="K3960" t="str">
            <v>Non-Product</v>
          </cell>
          <cell r="L3960" t="str">
            <v>No</v>
          </cell>
        </row>
        <row r="3961">
          <cell r="G3961" t="str">
            <v>Misc</v>
          </cell>
          <cell r="H3961" t="str">
            <v>Misc</v>
          </cell>
          <cell r="K3961" t="str">
            <v>Non-Product</v>
          </cell>
          <cell r="L3961" t="str">
            <v>No</v>
          </cell>
        </row>
        <row r="3962">
          <cell r="G3962" t="str">
            <v>Misc</v>
          </cell>
          <cell r="H3962" t="str">
            <v>Misc</v>
          </cell>
          <cell r="K3962" t="str">
            <v>Non-Product</v>
          </cell>
          <cell r="L3962" t="str">
            <v>No</v>
          </cell>
        </row>
        <row r="3963">
          <cell r="G3963" t="str">
            <v>Misc</v>
          </cell>
          <cell r="H3963" t="str">
            <v>Misc</v>
          </cell>
          <cell r="K3963" t="str">
            <v>Non-Product</v>
          </cell>
          <cell r="L3963" t="str">
            <v>No</v>
          </cell>
        </row>
        <row r="3964">
          <cell r="G3964" t="str">
            <v>Misc</v>
          </cell>
          <cell r="H3964" t="str">
            <v>Misc</v>
          </cell>
          <cell r="K3964" t="str">
            <v>Non-Product</v>
          </cell>
          <cell r="L3964" t="str">
            <v>No</v>
          </cell>
        </row>
        <row r="3965">
          <cell r="G3965" t="str">
            <v>Misc</v>
          </cell>
          <cell r="H3965" t="str">
            <v>Misc</v>
          </cell>
          <cell r="K3965" t="str">
            <v>Non-Product</v>
          </cell>
          <cell r="L3965" t="str">
            <v>No</v>
          </cell>
        </row>
        <row r="3966">
          <cell r="G3966" t="str">
            <v>Misc</v>
          </cell>
          <cell r="H3966" t="str">
            <v>Misc</v>
          </cell>
          <cell r="K3966" t="str">
            <v>Non-Product</v>
          </cell>
          <cell r="L3966" t="str">
            <v>No</v>
          </cell>
        </row>
        <row r="3967">
          <cell r="G3967" t="str">
            <v>Misc</v>
          </cell>
          <cell r="H3967" t="str">
            <v>Misc</v>
          </cell>
          <cell r="K3967" t="str">
            <v>Non-Product</v>
          </cell>
          <cell r="L3967" t="str">
            <v>No</v>
          </cell>
        </row>
        <row r="3968">
          <cell r="G3968" t="str">
            <v>Misc</v>
          </cell>
          <cell r="H3968" t="str">
            <v>Misc</v>
          </cell>
          <cell r="K3968" t="str">
            <v>Non-Product</v>
          </cell>
          <cell r="L3968" t="str">
            <v>No</v>
          </cell>
        </row>
        <row r="3969">
          <cell r="G3969" t="str">
            <v>Misc</v>
          </cell>
          <cell r="H3969" t="str">
            <v>Misc</v>
          </cell>
          <cell r="K3969" t="str">
            <v>Non-Product</v>
          </cell>
          <cell r="L3969" t="str">
            <v>No</v>
          </cell>
        </row>
        <row r="3970">
          <cell r="G3970" t="str">
            <v>Misc</v>
          </cell>
          <cell r="H3970" t="str">
            <v>Misc</v>
          </cell>
          <cell r="K3970" t="str">
            <v>Non-Product</v>
          </cell>
          <cell r="L3970" t="str">
            <v>No</v>
          </cell>
        </row>
        <row r="3971">
          <cell r="G3971" t="str">
            <v>Misc</v>
          </cell>
          <cell r="H3971" t="str">
            <v>Misc</v>
          </cell>
          <cell r="K3971" t="str">
            <v>Non-Product</v>
          </cell>
          <cell r="L3971" t="str">
            <v>No</v>
          </cell>
        </row>
        <row r="3972">
          <cell r="G3972" t="str">
            <v>Misc</v>
          </cell>
          <cell r="H3972" t="str">
            <v>Misc</v>
          </cell>
          <cell r="K3972" t="str">
            <v>Non-Product</v>
          </cell>
          <cell r="L3972" t="str">
            <v>No</v>
          </cell>
        </row>
        <row r="3973">
          <cell r="G3973" t="str">
            <v>Misc</v>
          </cell>
          <cell r="H3973" t="str">
            <v>Misc</v>
          </cell>
          <cell r="K3973" t="str">
            <v>Non-Product</v>
          </cell>
          <cell r="L3973" t="str">
            <v>No</v>
          </cell>
        </row>
        <row r="3974">
          <cell r="G3974" t="str">
            <v>Misc</v>
          </cell>
          <cell r="H3974" t="str">
            <v>Misc</v>
          </cell>
          <cell r="K3974" t="str">
            <v>Non-Product</v>
          </cell>
          <cell r="L3974" t="str">
            <v>No</v>
          </cell>
        </row>
        <row r="3975">
          <cell r="G3975" t="str">
            <v>Misc</v>
          </cell>
          <cell r="H3975" t="str">
            <v>Misc</v>
          </cell>
          <cell r="K3975" t="str">
            <v>Non-Product</v>
          </cell>
          <cell r="L3975" t="str">
            <v>No</v>
          </cell>
        </row>
        <row r="3976">
          <cell r="G3976" t="str">
            <v>Misc</v>
          </cell>
          <cell r="H3976" t="str">
            <v>Misc</v>
          </cell>
          <cell r="K3976" t="str">
            <v>Non-Product</v>
          </cell>
          <cell r="L3976" t="str">
            <v>No</v>
          </cell>
        </row>
        <row r="3977">
          <cell r="G3977" t="str">
            <v>Misc</v>
          </cell>
          <cell r="H3977" t="str">
            <v>Misc</v>
          </cell>
          <cell r="K3977" t="str">
            <v>Non-Product</v>
          </cell>
          <cell r="L3977" t="str">
            <v>No</v>
          </cell>
        </row>
        <row r="3978">
          <cell r="G3978" t="str">
            <v>Misc</v>
          </cell>
          <cell r="H3978" t="str">
            <v>Misc</v>
          </cell>
          <cell r="K3978" t="str">
            <v>Non-Product</v>
          </cell>
          <cell r="L3978" t="str">
            <v>No</v>
          </cell>
        </row>
        <row r="3979">
          <cell r="G3979" t="str">
            <v>Misc</v>
          </cell>
          <cell r="H3979" t="str">
            <v>Misc</v>
          </cell>
          <cell r="K3979" t="str">
            <v>Non-Product</v>
          </cell>
          <cell r="L3979" t="str">
            <v>No</v>
          </cell>
        </row>
        <row r="3980">
          <cell r="G3980" t="str">
            <v>Misc</v>
          </cell>
          <cell r="H3980" t="str">
            <v>Misc</v>
          </cell>
          <cell r="K3980" t="str">
            <v>Non-Product</v>
          </cell>
          <cell r="L3980" t="str">
            <v>No</v>
          </cell>
        </row>
        <row r="3981">
          <cell r="G3981" t="str">
            <v>Misc</v>
          </cell>
          <cell r="H3981" t="str">
            <v>Misc</v>
          </cell>
          <cell r="K3981" t="str">
            <v>Non-Product</v>
          </cell>
          <cell r="L3981" t="str">
            <v>No</v>
          </cell>
        </row>
        <row r="3982">
          <cell r="G3982" t="str">
            <v>Misc</v>
          </cell>
          <cell r="H3982" t="str">
            <v>Misc</v>
          </cell>
          <cell r="K3982" t="str">
            <v>Non-Product</v>
          </cell>
          <cell r="L3982" t="str">
            <v>No</v>
          </cell>
        </row>
        <row r="3983">
          <cell r="G3983" t="str">
            <v>Misc</v>
          </cell>
          <cell r="H3983" t="str">
            <v>Misc</v>
          </cell>
          <cell r="K3983" t="str">
            <v>Non-Product</v>
          </cell>
          <cell r="L3983" t="str">
            <v>No</v>
          </cell>
        </row>
        <row r="3984">
          <cell r="G3984" t="str">
            <v>Misc</v>
          </cell>
          <cell r="H3984" t="str">
            <v>Misc</v>
          </cell>
          <cell r="K3984" t="str">
            <v>Non-Product</v>
          </cell>
          <cell r="L3984" t="str">
            <v>No</v>
          </cell>
        </row>
        <row r="3985">
          <cell r="G3985" t="str">
            <v>Misc</v>
          </cell>
          <cell r="H3985" t="str">
            <v>Misc</v>
          </cell>
          <cell r="K3985" t="str">
            <v>Non-Product</v>
          </cell>
          <cell r="L3985" t="str">
            <v>No</v>
          </cell>
        </row>
        <row r="3986">
          <cell r="G3986" t="str">
            <v>Misc</v>
          </cell>
          <cell r="H3986" t="str">
            <v>Misc</v>
          </cell>
          <cell r="K3986" t="str">
            <v>Non-Product</v>
          </cell>
          <cell r="L3986" t="str">
            <v>No</v>
          </cell>
        </row>
        <row r="3987">
          <cell r="G3987" t="str">
            <v>Miscellaneous</v>
          </cell>
          <cell r="H3987" t="str">
            <v>Misc</v>
          </cell>
          <cell r="K3987" t="str">
            <v>Non-Product</v>
          </cell>
          <cell r="L3987" t="str">
            <v>No</v>
          </cell>
        </row>
        <row r="3988">
          <cell r="G3988" t="str">
            <v>Fever Tree</v>
          </cell>
          <cell r="H3988" t="str">
            <v>MolsonCoors Beverage Company</v>
          </cell>
          <cell r="K3988" t="str">
            <v>Package</v>
          </cell>
          <cell r="L3988" t="str">
            <v>Yes</v>
          </cell>
        </row>
        <row r="3989">
          <cell r="G3989" t="str">
            <v>Fever Tree</v>
          </cell>
          <cell r="H3989" t="str">
            <v>MolsonCoors Beverage Company</v>
          </cell>
          <cell r="K3989" t="str">
            <v>Package</v>
          </cell>
          <cell r="L3989" t="str">
            <v>Yes</v>
          </cell>
        </row>
        <row r="3990">
          <cell r="G3990" t="str">
            <v>Fever Tree</v>
          </cell>
          <cell r="H3990" t="str">
            <v>MolsonCoors Beverage Company</v>
          </cell>
          <cell r="K3990" t="str">
            <v>Package</v>
          </cell>
          <cell r="L3990" t="str">
            <v>Yes</v>
          </cell>
        </row>
        <row r="3991">
          <cell r="G3991" t="str">
            <v>Fever Tree</v>
          </cell>
          <cell r="H3991" t="str">
            <v>MolsonCoors Beverage Company</v>
          </cell>
          <cell r="K3991" t="str">
            <v>Package</v>
          </cell>
          <cell r="L3991" t="str">
            <v>Yes</v>
          </cell>
        </row>
        <row r="3992">
          <cell r="G3992" t="str">
            <v>Fever Tree</v>
          </cell>
          <cell r="H3992" t="str">
            <v>MolsonCoors Beverage Company</v>
          </cell>
          <cell r="K3992" t="str">
            <v>Package</v>
          </cell>
          <cell r="L3992" t="str">
            <v>Yes</v>
          </cell>
        </row>
        <row r="3993">
          <cell r="G3993" t="str">
            <v>Fever Tree</v>
          </cell>
          <cell r="H3993" t="str">
            <v>MolsonCoors Beverage Company</v>
          </cell>
          <cell r="K3993" t="str">
            <v>Package</v>
          </cell>
          <cell r="L3993" t="str">
            <v>Yes</v>
          </cell>
        </row>
        <row r="3994">
          <cell r="G3994" t="str">
            <v>Fever Tree</v>
          </cell>
          <cell r="H3994" t="str">
            <v>MolsonCoors Beverage Company</v>
          </cell>
          <cell r="K3994" t="str">
            <v>Package</v>
          </cell>
          <cell r="L3994" t="str">
            <v>Yes</v>
          </cell>
        </row>
        <row r="3995">
          <cell r="G3995" t="str">
            <v>Fever Tree</v>
          </cell>
          <cell r="H3995" t="str">
            <v>MolsonCoors Beverage Company</v>
          </cell>
          <cell r="K3995" t="str">
            <v>Package</v>
          </cell>
          <cell r="L3995" t="str">
            <v>Yes</v>
          </cell>
        </row>
        <row r="3996">
          <cell r="G3996" t="str">
            <v>Fever Tree</v>
          </cell>
          <cell r="H3996" t="str">
            <v>MolsonCoors Beverage Company</v>
          </cell>
          <cell r="K3996" t="str">
            <v>Package</v>
          </cell>
          <cell r="L3996" t="str">
            <v>Yes</v>
          </cell>
        </row>
        <row r="3997">
          <cell r="G3997" t="str">
            <v>Fever Tree</v>
          </cell>
          <cell r="H3997" t="str">
            <v>MolsonCoors Beverage Company</v>
          </cell>
          <cell r="K3997" t="str">
            <v>Package</v>
          </cell>
          <cell r="L3997" t="str">
            <v>Yes</v>
          </cell>
        </row>
        <row r="3998">
          <cell r="G3998" t="str">
            <v>Fever Tree</v>
          </cell>
          <cell r="H3998" t="str">
            <v>MolsonCoors Beverage Company</v>
          </cell>
          <cell r="K3998" t="str">
            <v>Package</v>
          </cell>
          <cell r="L3998" t="str">
            <v>Yes</v>
          </cell>
        </row>
        <row r="3999">
          <cell r="G3999" t="str">
            <v>Fever Tree</v>
          </cell>
          <cell r="H3999" t="str">
            <v>MolsonCoors Beverage Company</v>
          </cell>
          <cell r="K3999" t="str">
            <v>Package</v>
          </cell>
          <cell r="L3999" t="str">
            <v>Yes</v>
          </cell>
        </row>
        <row r="4000">
          <cell r="G4000" t="str">
            <v>Fever Tree</v>
          </cell>
          <cell r="H4000" t="str">
            <v>MolsonCoors Beverage Company</v>
          </cell>
          <cell r="K4000" t="str">
            <v>Package</v>
          </cell>
          <cell r="L4000" t="str">
            <v>Yes</v>
          </cell>
        </row>
        <row r="4001">
          <cell r="G4001" t="str">
            <v>Fever Tree</v>
          </cell>
          <cell r="H4001" t="str">
            <v>MolsonCoors Beverage Company</v>
          </cell>
          <cell r="K4001" t="str">
            <v>Package</v>
          </cell>
          <cell r="L4001" t="str">
            <v>Yes</v>
          </cell>
        </row>
        <row r="4002">
          <cell r="G4002" t="str">
            <v>Fever Tree</v>
          </cell>
          <cell r="H4002" t="str">
            <v>MolsonCoors Beverage Company</v>
          </cell>
          <cell r="K4002" t="str">
            <v>Package</v>
          </cell>
          <cell r="L4002" t="str">
            <v>Yes</v>
          </cell>
        </row>
        <row r="4003">
          <cell r="G4003" t="str">
            <v>Fever Tree</v>
          </cell>
          <cell r="H4003" t="str">
            <v>MolsonCoors Beverage Company</v>
          </cell>
          <cell r="K4003" t="str">
            <v>Package</v>
          </cell>
          <cell r="L4003" t="str">
            <v>Yes</v>
          </cell>
        </row>
        <row r="4004">
          <cell r="G4004" t="str">
            <v>Fever Tree</v>
          </cell>
          <cell r="H4004" t="str">
            <v>MolsonCoors Beverage Company</v>
          </cell>
          <cell r="K4004" t="str">
            <v>Package</v>
          </cell>
          <cell r="L4004" t="str">
            <v>Yes</v>
          </cell>
        </row>
        <row r="4005">
          <cell r="G4005" t="str">
            <v>Fever Tree</v>
          </cell>
          <cell r="H4005" t="str">
            <v>MolsonCoors Beverage Company</v>
          </cell>
          <cell r="K4005" t="str">
            <v>Package</v>
          </cell>
          <cell r="L4005" t="str">
            <v>Yes</v>
          </cell>
        </row>
        <row r="4006">
          <cell r="G4006" t="str">
            <v>Fever Tree</v>
          </cell>
          <cell r="H4006" t="str">
            <v>MolsonCoors Beverage Company</v>
          </cell>
          <cell r="K4006" t="str">
            <v>Package</v>
          </cell>
          <cell r="L4006" t="str">
            <v>Yes</v>
          </cell>
        </row>
        <row r="4007">
          <cell r="G4007" t="str">
            <v>Fever Tree</v>
          </cell>
          <cell r="H4007" t="str">
            <v>MolsonCoors Beverage Company</v>
          </cell>
          <cell r="K4007" t="str">
            <v>Package</v>
          </cell>
          <cell r="L4007" t="str">
            <v>Yes</v>
          </cell>
        </row>
        <row r="4008">
          <cell r="G4008" t="str">
            <v>Fever Tree</v>
          </cell>
          <cell r="H4008" t="str">
            <v>MolsonCoors Beverage Company</v>
          </cell>
          <cell r="K4008" t="str">
            <v>Package</v>
          </cell>
          <cell r="L4008" t="str">
            <v>Yes</v>
          </cell>
        </row>
        <row r="4009">
          <cell r="G4009" t="str">
            <v>Fever Tree</v>
          </cell>
          <cell r="H4009" t="str">
            <v>MolsonCoors Beverage Company</v>
          </cell>
          <cell r="K4009" t="str">
            <v>Package</v>
          </cell>
          <cell r="L4009" t="str">
            <v>Yes</v>
          </cell>
        </row>
        <row r="4010">
          <cell r="G4010" t="str">
            <v>Fever Tree</v>
          </cell>
          <cell r="H4010" t="str">
            <v>MolsonCoors Beverage Company</v>
          </cell>
          <cell r="K4010" t="str">
            <v>Package</v>
          </cell>
          <cell r="L4010" t="str">
            <v>Yes</v>
          </cell>
        </row>
        <row r="4011">
          <cell r="G4011" t="str">
            <v>Fever Tree</v>
          </cell>
          <cell r="H4011" t="str">
            <v>MolsonCoors Beverage Company</v>
          </cell>
          <cell r="K4011" t="str">
            <v>Package</v>
          </cell>
          <cell r="L4011" t="str">
            <v>Yes</v>
          </cell>
        </row>
        <row r="4012">
          <cell r="G4012" t="str">
            <v>Fever Tree</v>
          </cell>
          <cell r="H4012" t="str">
            <v>MolsonCoors Beverage Company</v>
          </cell>
          <cell r="K4012" t="str">
            <v>Package</v>
          </cell>
          <cell r="L4012" t="str">
            <v>Yes</v>
          </cell>
        </row>
        <row r="4013">
          <cell r="G4013" t="str">
            <v>Fever Tree</v>
          </cell>
          <cell r="H4013" t="str">
            <v>MolsonCoors Beverage Company</v>
          </cell>
          <cell r="K4013" t="str">
            <v>Package</v>
          </cell>
          <cell r="L4013" t="str">
            <v>Yes</v>
          </cell>
        </row>
        <row r="4014">
          <cell r="G4014" t="str">
            <v>Fever Tree</v>
          </cell>
          <cell r="H4014" t="str">
            <v>MolsonCoors Beverage Company</v>
          </cell>
          <cell r="K4014" t="str">
            <v>Package</v>
          </cell>
          <cell r="L4014" t="str">
            <v>Yes</v>
          </cell>
        </row>
        <row r="4015">
          <cell r="G4015" t="str">
            <v>Fever Tree</v>
          </cell>
          <cell r="H4015" t="str">
            <v>MolsonCoors Beverage Company</v>
          </cell>
          <cell r="K4015" t="str">
            <v>Package</v>
          </cell>
          <cell r="L4015" t="str">
            <v>Yes</v>
          </cell>
        </row>
        <row r="4016">
          <cell r="G4016" t="str">
            <v>Fever Tree</v>
          </cell>
          <cell r="H4016" t="str">
            <v>MolsonCoors Beverage Company</v>
          </cell>
          <cell r="K4016" t="str">
            <v>Package</v>
          </cell>
          <cell r="L4016" t="str">
            <v>Yes</v>
          </cell>
        </row>
        <row r="4017">
          <cell r="G4017" t="str">
            <v>Fever Tree</v>
          </cell>
          <cell r="H4017" t="str">
            <v>MolsonCoors Beverage Company</v>
          </cell>
          <cell r="K4017" t="str">
            <v>Package</v>
          </cell>
          <cell r="L4017" t="str">
            <v>Yes</v>
          </cell>
        </row>
        <row r="4018">
          <cell r="G4018" t="str">
            <v>Fever Tree</v>
          </cell>
          <cell r="H4018" t="str">
            <v>MolsonCoors Beverage Company</v>
          </cell>
          <cell r="K4018" t="str">
            <v>Package</v>
          </cell>
          <cell r="L4018" t="str">
            <v>Yes</v>
          </cell>
        </row>
        <row r="4019">
          <cell r="G4019" t="str">
            <v>Fever Tree</v>
          </cell>
          <cell r="H4019" t="str">
            <v>MolsonCoors Beverage Company</v>
          </cell>
          <cell r="K4019" t="str">
            <v>Package</v>
          </cell>
          <cell r="L4019" t="str">
            <v>Yes</v>
          </cell>
        </row>
        <row r="4020">
          <cell r="G4020" t="str">
            <v>Saranac</v>
          </cell>
          <cell r="H4020" t="str">
            <v>FX Matt</v>
          </cell>
          <cell r="K4020" t="str">
            <v>Package</v>
          </cell>
          <cell r="L4020" t="str">
            <v>No</v>
          </cell>
        </row>
        <row r="4021">
          <cell r="G4021" t="str">
            <v>Saranac</v>
          </cell>
          <cell r="H4021" t="str">
            <v>FX Matt</v>
          </cell>
          <cell r="K4021" t="str">
            <v>Package</v>
          </cell>
          <cell r="L4021" t="str">
            <v>Yes</v>
          </cell>
        </row>
        <row r="4022">
          <cell r="G4022" t="str">
            <v>Saranac</v>
          </cell>
          <cell r="H4022" t="str">
            <v>FX Matt</v>
          </cell>
          <cell r="K4022" t="str">
            <v>Package</v>
          </cell>
          <cell r="L4022" t="str">
            <v>Yes</v>
          </cell>
        </row>
        <row r="4023">
          <cell r="G4023" t="str">
            <v>Saranac</v>
          </cell>
          <cell r="H4023" t="str">
            <v>FX Matt</v>
          </cell>
          <cell r="K4023" t="str">
            <v>Package</v>
          </cell>
          <cell r="L4023" t="str">
            <v>Yes</v>
          </cell>
        </row>
        <row r="4024">
          <cell r="G4024" t="str">
            <v>Saranac</v>
          </cell>
          <cell r="H4024" t="str">
            <v>FX Matt</v>
          </cell>
          <cell r="K4024" t="str">
            <v>Package</v>
          </cell>
          <cell r="L4024" t="str">
            <v>Yes</v>
          </cell>
        </row>
        <row r="4025">
          <cell r="G4025" t="str">
            <v>Saranac</v>
          </cell>
          <cell r="H4025" t="str">
            <v>FX Matt</v>
          </cell>
          <cell r="K4025" t="str">
            <v>Package</v>
          </cell>
          <cell r="L4025" t="str">
            <v>Yes</v>
          </cell>
        </row>
        <row r="4026">
          <cell r="G4026" t="str">
            <v>Poland Spring</v>
          </cell>
          <cell r="H4026" t="str">
            <v>Poland Spring</v>
          </cell>
          <cell r="K4026" t="str">
            <v>Package</v>
          </cell>
          <cell r="L4026" t="str">
            <v>Yes</v>
          </cell>
        </row>
        <row r="4027">
          <cell r="G4027" t="str">
            <v>Poland Spring</v>
          </cell>
          <cell r="H4027" t="str">
            <v>Poland Spring</v>
          </cell>
          <cell r="K4027" t="str">
            <v>Package</v>
          </cell>
          <cell r="L4027" t="str">
            <v>No</v>
          </cell>
        </row>
        <row r="4028">
          <cell r="G4028" t="str">
            <v>Poland Spring</v>
          </cell>
          <cell r="H4028" t="str">
            <v>Poland Spring</v>
          </cell>
          <cell r="K4028" t="str">
            <v>Package</v>
          </cell>
          <cell r="L4028" t="str">
            <v>No</v>
          </cell>
        </row>
        <row r="4029">
          <cell r="G4029" t="str">
            <v>Poland Spring</v>
          </cell>
          <cell r="H4029" t="str">
            <v>Poland Spring</v>
          </cell>
          <cell r="K4029" t="str">
            <v>Package</v>
          </cell>
          <cell r="L4029" t="str">
            <v>No</v>
          </cell>
        </row>
        <row r="4030">
          <cell r="G4030" t="str">
            <v>Poland Spring</v>
          </cell>
          <cell r="H4030" t="str">
            <v>Poland Spring</v>
          </cell>
          <cell r="K4030" t="str">
            <v>Package</v>
          </cell>
          <cell r="L4030" t="str">
            <v>Yes</v>
          </cell>
        </row>
        <row r="4031">
          <cell r="G4031" t="str">
            <v>Red Bull</v>
          </cell>
          <cell r="H4031" t="str">
            <v>Red Bull</v>
          </cell>
          <cell r="K4031" t="str">
            <v>Other Sellable</v>
          </cell>
          <cell r="L4031" t="str">
            <v>Yes</v>
          </cell>
        </row>
        <row r="4032">
          <cell r="G4032" t="str">
            <v>Red Bull</v>
          </cell>
          <cell r="H4032" t="str">
            <v>Red Bull</v>
          </cell>
          <cell r="K4032" t="str">
            <v>Other Sellable</v>
          </cell>
          <cell r="L4032" t="str">
            <v>Yes</v>
          </cell>
        </row>
        <row r="4033">
          <cell r="G4033" t="str">
            <v>Red Bull</v>
          </cell>
          <cell r="H4033" t="str">
            <v>Red Bull</v>
          </cell>
          <cell r="K4033" t="str">
            <v>Other Sellable</v>
          </cell>
          <cell r="L4033" t="str">
            <v>Yes</v>
          </cell>
        </row>
        <row r="4034">
          <cell r="G4034" t="str">
            <v>Red Bull</v>
          </cell>
          <cell r="H4034" t="str">
            <v>Red Bull</v>
          </cell>
          <cell r="K4034" t="str">
            <v>Other Sellable</v>
          </cell>
          <cell r="L4034" t="str">
            <v>Yes</v>
          </cell>
        </row>
        <row r="4035">
          <cell r="G4035" t="str">
            <v>Red Bull</v>
          </cell>
          <cell r="H4035" t="str">
            <v>Red Bull</v>
          </cell>
          <cell r="K4035" t="str">
            <v>Other Sellable</v>
          </cell>
          <cell r="L4035" t="str">
            <v>Yes</v>
          </cell>
        </row>
        <row r="4036">
          <cell r="G4036" t="str">
            <v>Red Bull</v>
          </cell>
          <cell r="H4036" t="str">
            <v>Red Bull</v>
          </cell>
          <cell r="K4036" t="str">
            <v>Other Sellable</v>
          </cell>
          <cell r="L4036" t="str">
            <v>No</v>
          </cell>
        </row>
        <row r="4037">
          <cell r="G4037" t="str">
            <v>Red Bull</v>
          </cell>
          <cell r="H4037" t="str">
            <v>Red Bull</v>
          </cell>
          <cell r="K4037" t="str">
            <v>Other Sellable</v>
          </cell>
          <cell r="L4037" t="str">
            <v>Yes</v>
          </cell>
        </row>
        <row r="4038">
          <cell r="G4038" t="str">
            <v>Red Bull</v>
          </cell>
          <cell r="H4038" t="str">
            <v>Red Bull</v>
          </cell>
          <cell r="K4038" t="str">
            <v>Other Sellable</v>
          </cell>
          <cell r="L4038" t="str">
            <v>Yes</v>
          </cell>
        </row>
        <row r="4039">
          <cell r="G4039" t="str">
            <v>Red Bull</v>
          </cell>
          <cell r="H4039" t="str">
            <v>Red Bull</v>
          </cell>
          <cell r="K4039" t="str">
            <v>Other Sellable</v>
          </cell>
          <cell r="L4039" t="str">
            <v>Yes</v>
          </cell>
        </row>
        <row r="4040">
          <cell r="G4040" t="str">
            <v>Red Bull</v>
          </cell>
          <cell r="H4040" t="str">
            <v>Red Bull</v>
          </cell>
          <cell r="K4040" t="str">
            <v>Other Sellable</v>
          </cell>
          <cell r="L4040" t="str">
            <v>Yes</v>
          </cell>
        </row>
        <row r="4041">
          <cell r="G4041" t="str">
            <v>Red Bull</v>
          </cell>
          <cell r="H4041" t="str">
            <v>Red Bull</v>
          </cell>
          <cell r="K4041" t="str">
            <v>Other Sellable</v>
          </cell>
          <cell r="L4041" t="str">
            <v>Yes</v>
          </cell>
        </row>
        <row r="4042">
          <cell r="G4042" t="str">
            <v>HOP WTR</v>
          </cell>
          <cell r="H4042" t="str">
            <v>HOP WTR</v>
          </cell>
          <cell r="K4042" t="str">
            <v>Package</v>
          </cell>
          <cell r="L4042" t="str">
            <v>Yes</v>
          </cell>
        </row>
        <row r="4043">
          <cell r="G4043" t="str">
            <v>HOP WTR</v>
          </cell>
          <cell r="H4043" t="str">
            <v>HOP WTR</v>
          </cell>
          <cell r="K4043" t="str">
            <v>Package</v>
          </cell>
          <cell r="L4043" t="str">
            <v>Yes</v>
          </cell>
        </row>
        <row r="4044">
          <cell r="G4044" t="str">
            <v>HOP WTR</v>
          </cell>
          <cell r="H4044" t="str">
            <v>HOP WTR</v>
          </cell>
          <cell r="K4044" t="str">
            <v>Package</v>
          </cell>
          <cell r="L4044" t="str">
            <v>Yes</v>
          </cell>
        </row>
        <row r="4045">
          <cell r="G4045" t="str">
            <v>HOP WTR</v>
          </cell>
          <cell r="H4045" t="str">
            <v>HOP WTR</v>
          </cell>
          <cell r="K4045" t="str">
            <v>Package</v>
          </cell>
          <cell r="L4045" t="str">
            <v>Yes</v>
          </cell>
        </row>
        <row r="4046">
          <cell r="G4046" t="str">
            <v>HOP WTR</v>
          </cell>
          <cell r="H4046" t="str">
            <v>HOP WTR</v>
          </cell>
          <cell r="K4046" t="str">
            <v>Package</v>
          </cell>
          <cell r="L4046" t="str">
            <v>Yes</v>
          </cell>
        </row>
        <row r="4047">
          <cell r="G4047" t="str">
            <v>HOP WTR</v>
          </cell>
          <cell r="H4047" t="str">
            <v>HOP WTR</v>
          </cell>
          <cell r="K4047" t="str">
            <v>Package</v>
          </cell>
          <cell r="L4047" t="str">
            <v>Yes</v>
          </cell>
        </row>
        <row r="4048">
          <cell r="G4048" t="str">
            <v>HOP WTR</v>
          </cell>
          <cell r="H4048" t="str">
            <v>HOP WTR</v>
          </cell>
          <cell r="K4048" t="str">
            <v>Package</v>
          </cell>
          <cell r="L4048" t="str">
            <v>Yes</v>
          </cell>
        </row>
        <row r="4049">
          <cell r="G4049" t="str">
            <v>NaKed Life</v>
          </cell>
          <cell r="H4049" t="str">
            <v>MolsonCoors Beverage Company</v>
          </cell>
          <cell r="K4049" t="str">
            <v>Package</v>
          </cell>
          <cell r="L4049" t="str">
            <v>Yes</v>
          </cell>
        </row>
        <row r="4050">
          <cell r="G4050" t="str">
            <v>NaKed Life</v>
          </cell>
          <cell r="H4050" t="str">
            <v>MolsonCoors Beverage Company</v>
          </cell>
          <cell r="K4050" t="str">
            <v>Package</v>
          </cell>
          <cell r="L4050" t="str">
            <v>Yes</v>
          </cell>
        </row>
        <row r="4051">
          <cell r="G4051" t="str">
            <v>NaKed Life</v>
          </cell>
          <cell r="H4051" t="str">
            <v>MolsonCoors Beverage Company</v>
          </cell>
          <cell r="K4051" t="str">
            <v>Package</v>
          </cell>
          <cell r="L4051" t="str">
            <v>Yes</v>
          </cell>
        </row>
        <row r="4052">
          <cell r="G4052" t="str">
            <v>NaKed Life</v>
          </cell>
          <cell r="H4052" t="str">
            <v>MolsonCoors Beverage Company</v>
          </cell>
          <cell r="K4052" t="str">
            <v>Package</v>
          </cell>
          <cell r="L4052" t="str">
            <v>Yes</v>
          </cell>
        </row>
        <row r="4053">
          <cell r="G4053" t="str">
            <v>NaKed Life</v>
          </cell>
          <cell r="H4053" t="str">
            <v>MolsonCoors Beverage Company</v>
          </cell>
          <cell r="K4053" t="str">
            <v>Package</v>
          </cell>
          <cell r="L4053" t="str">
            <v>Yes</v>
          </cell>
        </row>
        <row r="4054">
          <cell r="G4054" t="str">
            <v>HOP WTR</v>
          </cell>
          <cell r="H4054" t="str">
            <v>HOP WTR</v>
          </cell>
          <cell r="K4054" t="str">
            <v>Package</v>
          </cell>
          <cell r="L4054" t="str">
            <v>Yes</v>
          </cell>
        </row>
        <row r="4055">
          <cell r="G4055" t="str">
            <v>HOP WTR</v>
          </cell>
          <cell r="H4055" t="str">
            <v>HOP WTR</v>
          </cell>
          <cell r="K4055" t="str">
            <v>Package</v>
          </cell>
          <cell r="L4055" t="str">
            <v>Yes</v>
          </cell>
        </row>
        <row r="4056">
          <cell r="G4056" t="str">
            <v>HOP WTR</v>
          </cell>
          <cell r="H4056" t="str">
            <v>HOP WTR</v>
          </cell>
          <cell r="K4056" t="str">
            <v>Package</v>
          </cell>
          <cell r="L4056" t="str">
            <v>Yes</v>
          </cell>
        </row>
        <row r="4057">
          <cell r="G4057" t="str">
            <v>Beckett's D9</v>
          </cell>
          <cell r="H4057" t="str">
            <v>Emergent Beverage Partners</v>
          </cell>
          <cell r="K4057" t="str">
            <v>Package</v>
          </cell>
          <cell r="L4057" t="str">
            <v>Yes</v>
          </cell>
        </row>
        <row r="4058">
          <cell r="G4058" t="str">
            <v>Beckett's D9</v>
          </cell>
          <cell r="H4058" t="str">
            <v>Emergent Beverage Partners</v>
          </cell>
          <cell r="K4058" t="str">
            <v>Package</v>
          </cell>
          <cell r="L4058" t="str">
            <v>Yes</v>
          </cell>
        </row>
        <row r="4059">
          <cell r="G4059" t="str">
            <v>Beckett's D9</v>
          </cell>
          <cell r="H4059" t="str">
            <v>Emergent Beverage Partners</v>
          </cell>
          <cell r="K4059" t="str">
            <v>Package</v>
          </cell>
          <cell r="L4059" t="str">
            <v>Yes</v>
          </cell>
        </row>
        <row r="4060">
          <cell r="G4060" t="str">
            <v>Beckett's D9</v>
          </cell>
          <cell r="H4060" t="str">
            <v>Emergent Beverage Partners</v>
          </cell>
          <cell r="K4060" t="str">
            <v>Package</v>
          </cell>
          <cell r="L4060" t="str">
            <v>Yes</v>
          </cell>
        </row>
        <row r="4061">
          <cell r="G4061" t="str">
            <v>Buzbee's</v>
          </cell>
          <cell r="H4061" t="str">
            <v>Buzbee's Beverages USA LLC</v>
          </cell>
          <cell r="K4061" t="str">
            <v>Package</v>
          </cell>
          <cell r="L4061" t="str">
            <v>Yes</v>
          </cell>
        </row>
        <row r="4062">
          <cell r="G4062" t="str">
            <v>Buzbee's</v>
          </cell>
          <cell r="H4062" t="str">
            <v>Buzbee's Beverages USA LLC</v>
          </cell>
          <cell r="K4062" t="str">
            <v>Package</v>
          </cell>
          <cell r="L4062" t="str">
            <v>Yes</v>
          </cell>
        </row>
        <row r="4063">
          <cell r="G4063" t="str">
            <v>Buzbee's</v>
          </cell>
          <cell r="H4063" t="str">
            <v>Buzbee's Beverages USA LLC</v>
          </cell>
          <cell r="K4063" t="str">
            <v>Package</v>
          </cell>
          <cell r="L4063" t="str">
            <v>Yes</v>
          </cell>
        </row>
        <row r="4064">
          <cell r="G4064" t="str">
            <v>Buzbee's</v>
          </cell>
          <cell r="H4064" t="str">
            <v>Buzbee's Beverages USA LLC</v>
          </cell>
          <cell r="K4064" t="str">
            <v>Package</v>
          </cell>
          <cell r="L4064" t="str">
            <v>Yes</v>
          </cell>
        </row>
        <row r="4065">
          <cell r="G4065" t="str">
            <v>Brewt's</v>
          </cell>
          <cell r="H4065" t="str">
            <v>Brewt's LLC</v>
          </cell>
          <cell r="K4065" t="str">
            <v>Package</v>
          </cell>
          <cell r="L4065" t="str">
            <v>Yes</v>
          </cell>
        </row>
        <row r="4066">
          <cell r="G4066" t="str">
            <v>Brewt's</v>
          </cell>
          <cell r="H4066" t="str">
            <v>Brewt's LLC</v>
          </cell>
          <cell r="K4066" t="str">
            <v>Package</v>
          </cell>
          <cell r="L4066" t="str">
            <v>Yes</v>
          </cell>
        </row>
        <row r="4067">
          <cell r="G4067" t="str">
            <v>Brewt's</v>
          </cell>
          <cell r="H4067" t="str">
            <v>Brewt's LLC</v>
          </cell>
          <cell r="K4067" t="str">
            <v>Package</v>
          </cell>
          <cell r="L4067" t="str">
            <v>Yes</v>
          </cell>
        </row>
        <row r="4068">
          <cell r="G4068" t="str">
            <v>Brewt's</v>
          </cell>
          <cell r="H4068" t="str">
            <v>Brewt's LLC</v>
          </cell>
          <cell r="K4068" t="str">
            <v>Package</v>
          </cell>
          <cell r="L4068" t="str">
            <v>Yes</v>
          </cell>
        </row>
        <row r="4069">
          <cell r="G4069" t="str">
            <v>Brewt's</v>
          </cell>
          <cell r="H4069" t="str">
            <v>Brewt's LLC</v>
          </cell>
          <cell r="K4069" t="str">
            <v>Package</v>
          </cell>
          <cell r="L4069" t="str">
            <v>Yes</v>
          </cell>
        </row>
        <row r="4070">
          <cell r="G4070" t="str">
            <v>BJ'S Private Label Brewa</v>
          </cell>
          <cell r="H4070" t="str">
            <v>BJ'S Private Label Brew</v>
          </cell>
          <cell r="K4070" t="str">
            <v>Draft</v>
          </cell>
          <cell r="L4070" t="str">
            <v>Yes</v>
          </cell>
        </row>
        <row r="4071">
          <cell r="G4071" t="str">
            <v>BJ'S Private Label Brewa</v>
          </cell>
          <cell r="H4071" t="str">
            <v>BJ'S Private Label Brew</v>
          </cell>
          <cell r="K4071" t="str">
            <v>Package</v>
          </cell>
          <cell r="L4071" t="str">
            <v>Yes</v>
          </cell>
        </row>
        <row r="4072">
          <cell r="G4072" t="str">
            <v>BJ'S Private Label Brewa</v>
          </cell>
          <cell r="H4072" t="str">
            <v>BJ'S Private Label Brew</v>
          </cell>
          <cell r="K4072" t="str">
            <v>Draft</v>
          </cell>
          <cell r="L4072" t="str">
            <v>Yes</v>
          </cell>
        </row>
        <row r="4073">
          <cell r="G4073" t="str">
            <v>BJ'S Private Label Brewa</v>
          </cell>
          <cell r="H4073" t="str">
            <v>BJ'S Private Label Brew</v>
          </cell>
          <cell r="K4073" t="str">
            <v>Draft</v>
          </cell>
          <cell r="L4073" t="str">
            <v>Yes</v>
          </cell>
        </row>
        <row r="4074">
          <cell r="G4074" t="str">
            <v>BJ'S Private Label Brewa</v>
          </cell>
          <cell r="H4074" t="str">
            <v>BJ'S Private Label Brew</v>
          </cell>
          <cell r="K4074" t="str">
            <v>Package</v>
          </cell>
          <cell r="L4074" t="str">
            <v>No</v>
          </cell>
        </row>
        <row r="4075">
          <cell r="G4075" t="str">
            <v>BJ'S Private Label Brewa</v>
          </cell>
          <cell r="H4075" t="str">
            <v>BJ'S Private Label Brew</v>
          </cell>
          <cell r="K4075" t="str">
            <v>Draft</v>
          </cell>
          <cell r="L4075" t="str">
            <v>Yes</v>
          </cell>
        </row>
        <row r="4076">
          <cell r="G4076" t="str">
            <v>BJ'S Private Label Brewa</v>
          </cell>
          <cell r="H4076" t="str">
            <v>BJ'S Private Label Brew</v>
          </cell>
          <cell r="K4076" t="str">
            <v>Draft</v>
          </cell>
          <cell r="L4076" t="str">
            <v>Yes</v>
          </cell>
        </row>
        <row r="4077">
          <cell r="G4077" t="str">
            <v>BJ'S Private Label Brewa</v>
          </cell>
          <cell r="H4077" t="str">
            <v>BJ'S Private Label Brew</v>
          </cell>
          <cell r="K4077" t="str">
            <v>Package</v>
          </cell>
          <cell r="L4077" t="str">
            <v>Yes</v>
          </cell>
        </row>
        <row r="4078">
          <cell r="G4078" t="str">
            <v>Saratoga</v>
          </cell>
          <cell r="H4078" t="str">
            <v>Saratoga</v>
          </cell>
          <cell r="K4078" t="str">
            <v>Package</v>
          </cell>
          <cell r="L4078" t="str">
            <v>Yes</v>
          </cell>
        </row>
        <row r="4079">
          <cell r="G4079" t="str">
            <v>Saratoga</v>
          </cell>
          <cell r="H4079" t="str">
            <v>Saratoga</v>
          </cell>
          <cell r="K4079" t="str">
            <v>Package</v>
          </cell>
          <cell r="L4079" t="str">
            <v>Yes</v>
          </cell>
        </row>
        <row r="4080">
          <cell r="G4080" t="str">
            <v>Saratoga</v>
          </cell>
          <cell r="H4080" t="str">
            <v>Saratoga</v>
          </cell>
          <cell r="K4080" t="str">
            <v>Package</v>
          </cell>
          <cell r="L4080" t="str">
            <v>Yes</v>
          </cell>
        </row>
        <row r="4081">
          <cell r="G4081" t="str">
            <v>Saratoga</v>
          </cell>
          <cell r="H4081" t="str">
            <v>Saratoga</v>
          </cell>
          <cell r="K4081" t="str">
            <v>Package</v>
          </cell>
          <cell r="L4081" t="str">
            <v>Yes</v>
          </cell>
        </row>
        <row r="4082">
          <cell r="G4082" t="str">
            <v>Southern Tier Distilling</v>
          </cell>
          <cell r="H4082" t="str">
            <v>Southern Tier Distilling Company</v>
          </cell>
          <cell r="K4082" t="str">
            <v>Other Sellable</v>
          </cell>
          <cell r="L4082" t="str">
            <v>No</v>
          </cell>
        </row>
        <row r="4083">
          <cell r="G4083" t="str">
            <v>Southern Tier Distilling</v>
          </cell>
          <cell r="H4083" t="str">
            <v>Southern Tier Distilling Company</v>
          </cell>
          <cell r="K4083" t="str">
            <v>Package</v>
          </cell>
          <cell r="L4083" t="str">
            <v>Yes</v>
          </cell>
        </row>
        <row r="4084">
          <cell r="G4084" t="str">
            <v>Hard Fresco</v>
          </cell>
          <cell r="H4084" t="str">
            <v>Phusion Projects</v>
          </cell>
          <cell r="K4084" t="str">
            <v>Package</v>
          </cell>
          <cell r="L4084" t="str">
            <v>No</v>
          </cell>
        </row>
        <row r="4085">
          <cell r="G4085" t="str">
            <v>Hard Fresco</v>
          </cell>
          <cell r="H4085" t="str">
            <v>Phusion Projects</v>
          </cell>
          <cell r="K4085" t="str">
            <v>Package</v>
          </cell>
          <cell r="L4085" t="str">
            <v>No</v>
          </cell>
        </row>
        <row r="4086">
          <cell r="G4086" t="str">
            <v>Cayman Jack</v>
          </cell>
          <cell r="H4086" t="str">
            <v>Mark Anthony</v>
          </cell>
          <cell r="K4086" t="str">
            <v>Package</v>
          </cell>
          <cell r="L4086" t="str">
            <v>Yes</v>
          </cell>
        </row>
        <row r="4087">
          <cell r="G4087" t="str">
            <v>Cayman Jack</v>
          </cell>
          <cell r="H4087" t="str">
            <v>Mark Anthony</v>
          </cell>
          <cell r="K4087" t="str">
            <v>Package</v>
          </cell>
          <cell r="L4087" t="str">
            <v>Yes</v>
          </cell>
        </row>
        <row r="4088">
          <cell r="G4088" t="str">
            <v>Cayman Jack</v>
          </cell>
          <cell r="H4088" t="str">
            <v>Mark Anthony</v>
          </cell>
          <cell r="K4088" t="str">
            <v>Package</v>
          </cell>
          <cell r="L4088" t="str">
            <v>No</v>
          </cell>
        </row>
        <row r="4089">
          <cell r="G4089" t="str">
            <v>Cayman Jack</v>
          </cell>
          <cell r="H4089" t="str">
            <v>Mark Anthony</v>
          </cell>
          <cell r="K4089" t="str">
            <v>Package</v>
          </cell>
          <cell r="L4089" t="str">
            <v>Yes</v>
          </cell>
        </row>
        <row r="4090">
          <cell r="G4090" t="str">
            <v>Cayman Jack</v>
          </cell>
          <cell r="H4090" t="str">
            <v>Mark Anthony</v>
          </cell>
          <cell r="K4090" t="str">
            <v>Package</v>
          </cell>
          <cell r="L4090" t="str">
            <v>Yes</v>
          </cell>
        </row>
        <row r="4091">
          <cell r="G4091" t="str">
            <v>Cayman Jack</v>
          </cell>
          <cell r="H4091" t="str">
            <v>Mark Anthony</v>
          </cell>
          <cell r="K4091" t="str">
            <v>Package</v>
          </cell>
          <cell r="L4091" t="str">
            <v>Yes</v>
          </cell>
        </row>
        <row r="4092">
          <cell r="G4092" t="str">
            <v>Cayman Jack</v>
          </cell>
          <cell r="H4092" t="str">
            <v>Mark Anthony</v>
          </cell>
          <cell r="K4092" t="str">
            <v>Package</v>
          </cell>
          <cell r="L4092" t="str">
            <v>Yes</v>
          </cell>
        </row>
        <row r="4093">
          <cell r="G4093" t="str">
            <v>Cayman Jack</v>
          </cell>
          <cell r="H4093" t="str">
            <v>Mark Anthony</v>
          </cell>
          <cell r="K4093" t="str">
            <v>Package</v>
          </cell>
          <cell r="L4093" t="str">
            <v>Yes</v>
          </cell>
        </row>
        <row r="4094">
          <cell r="G4094" t="str">
            <v>Cayman Jack</v>
          </cell>
          <cell r="H4094" t="str">
            <v>Mark Anthony</v>
          </cell>
          <cell r="K4094" t="str">
            <v>Package</v>
          </cell>
          <cell r="L4094" t="str">
            <v>Yes</v>
          </cell>
        </row>
        <row r="4095">
          <cell r="G4095" t="str">
            <v>Cayman Jack</v>
          </cell>
          <cell r="H4095" t="str">
            <v>Mark Anthony</v>
          </cell>
          <cell r="K4095" t="str">
            <v>Package</v>
          </cell>
          <cell r="L4095" t="str">
            <v>Yes</v>
          </cell>
        </row>
        <row r="4096">
          <cell r="G4096" t="str">
            <v>Cayman Jack</v>
          </cell>
          <cell r="H4096" t="str">
            <v>Mark Anthony</v>
          </cell>
          <cell r="K4096" t="str">
            <v>Package</v>
          </cell>
          <cell r="L4096" t="str">
            <v>Yes</v>
          </cell>
        </row>
        <row r="4097">
          <cell r="G4097" t="str">
            <v>Cayman Jack</v>
          </cell>
          <cell r="H4097" t="str">
            <v>Mark Anthony</v>
          </cell>
          <cell r="K4097" t="str">
            <v>Package</v>
          </cell>
          <cell r="L4097" t="str">
            <v>Yes</v>
          </cell>
        </row>
        <row r="4098">
          <cell r="G4098" t="str">
            <v>Cayman Jack</v>
          </cell>
          <cell r="H4098" t="str">
            <v>Mark Anthony</v>
          </cell>
          <cell r="K4098" t="str">
            <v>Package</v>
          </cell>
          <cell r="L4098" t="str">
            <v>Yes</v>
          </cell>
        </row>
        <row r="4099">
          <cell r="G4099" t="str">
            <v>Cayman Jack</v>
          </cell>
          <cell r="H4099" t="str">
            <v>Mark Anthony</v>
          </cell>
          <cell r="K4099" t="str">
            <v>Package</v>
          </cell>
          <cell r="L4099" t="str">
            <v>Yes</v>
          </cell>
        </row>
        <row r="4100">
          <cell r="G4100" t="str">
            <v>Cayman Jack</v>
          </cell>
          <cell r="H4100" t="str">
            <v>Mark Anthony</v>
          </cell>
          <cell r="K4100" t="str">
            <v>Package</v>
          </cell>
          <cell r="L4100" t="str">
            <v>Yes</v>
          </cell>
        </row>
        <row r="4101">
          <cell r="G4101" t="str">
            <v>Cayman Jack</v>
          </cell>
          <cell r="H4101" t="str">
            <v>Mark Anthony</v>
          </cell>
          <cell r="K4101" t="str">
            <v>Package</v>
          </cell>
          <cell r="L4101" t="str">
            <v>Yes</v>
          </cell>
        </row>
        <row r="4102">
          <cell r="G4102" t="str">
            <v>Cayman Jack</v>
          </cell>
          <cell r="H4102" t="str">
            <v>Mark Anthony</v>
          </cell>
          <cell r="K4102" t="str">
            <v>Package</v>
          </cell>
          <cell r="L4102" t="str">
            <v>Yes</v>
          </cell>
        </row>
        <row r="4103">
          <cell r="G4103" t="str">
            <v>1911 Hard Cider</v>
          </cell>
          <cell r="H4103" t="str">
            <v>Beak &amp; Skiff</v>
          </cell>
          <cell r="K4103" t="str">
            <v>Package</v>
          </cell>
          <cell r="L4103" t="str">
            <v>Yes</v>
          </cell>
        </row>
        <row r="4104">
          <cell r="G4104" t="str">
            <v>1911 Hard Cider</v>
          </cell>
          <cell r="H4104" t="str">
            <v>Beak &amp; Skiff</v>
          </cell>
          <cell r="K4104" t="str">
            <v>Package</v>
          </cell>
          <cell r="L4104" t="str">
            <v>Yes</v>
          </cell>
        </row>
        <row r="4105">
          <cell r="G4105" t="str">
            <v>Southern Tier</v>
          </cell>
          <cell r="H4105" t="str">
            <v>Southern Tier Brewing Company</v>
          </cell>
          <cell r="K4105" t="str">
            <v>Package</v>
          </cell>
          <cell r="L4105" t="str">
            <v>Yes</v>
          </cell>
        </row>
        <row r="4106">
          <cell r="G4106" t="str">
            <v>Southern Tier</v>
          </cell>
          <cell r="H4106" t="str">
            <v>Southern Tier Brewing Company</v>
          </cell>
          <cell r="K4106" t="str">
            <v>Package</v>
          </cell>
          <cell r="L4106" t="str">
            <v>Yes</v>
          </cell>
        </row>
        <row r="4107">
          <cell r="G4107" t="str">
            <v>Lightstrike</v>
          </cell>
          <cell r="H4107" t="str">
            <v>New Belgium Brewing Company</v>
          </cell>
          <cell r="K4107" t="str">
            <v>Package</v>
          </cell>
          <cell r="L4107" t="str">
            <v>Yes</v>
          </cell>
        </row>
        <row r="4108">
          <cell r="G4108" t="str">
            <v>Monaco</v>
          </cell>
          <cell r="H4108" t="str">
            <v>MolsonCoors Beverage Company</v>
          </cell>
          <cell r="K4108" t="str">
            <v>Other Sellable</v>
          </cell>
          <cell r="L4108" t="str">
            <v>Yes</v>
          </cell>
        </row>
        <row r="4109">
          <cell r="G4109" t="str">
            <v>Monaco</v>
          </cell>
          <cell r="H4109" t="str">
            <v>MolsonCoors Beverage Company</v>
          </cell>
          <cell r="K4109" t="str">
            <v>Other Sellable</v>
          </cell>
          <cell r="L4109" t="str">
            <v>Yes</v>
          </cell>
        </row>
        <row r="4110">
          <cell r="G4110" t="str">
            <v>Monaco</v>
          </cell>
          <cell r="H4110" t="str">
            <v>MolsonCoors Beverage Company</v>
          </cell>
          <cell r="K4110" t="str">
            <v>Other Sellable</v>
          </cell>
          <cell r="L4110" t="str">
            <v>Yes</v>
          </cell>
        </row>
        <row r="4111">
          <cell r="G4111" t="str">
            <v>Monaco</v>
          </cell>
          <cell r="H4111" t="str">
            <v>MolsonCoors Beverage Company</v>
          </cell>
          <cell r="K4111" t="str">
            <v>Other Sellable</v>
          </cell>
          <cell r="L4111" t="str">
            <v>Yes</v>
          </cell>
        </row>
        <row r="4112">
          <cell r="G4112" t="str">
            <v>Monaco</v>
          </cell>
          <cell r="H4112" t="str">
            <v>MolsonCoors Beverage Company</v>
          </cell>
          <cell r="K4112" t="str">
            <v>Other Sellable</v>
          </cell>
          <cell r="L4112" t="str">
            <v>Yes</v>
          </cell>
        </row>
        <row r="4113">
          <cell r="G4113" t="str">
            <v>Monaco</v>
          </cell>
          <cell r="H4113" t="str">
            <v>MolsonCoors Beverage Company</v>
          </cell>
          <cell r="K4113" t="str">
            <v>Other Sellable</v>
          </cell>
          <cell r="L4113" t="str">
            <v>Yes</v>
          </cell>
        </row>
        <row r="4114">
          <cell r="G4114" t="str">
            <v>Monaco</v>
          </cell>
          <cell r="H4114" t="str">
            <v>MolsonCoors Beverage Company</v>
          </cell>
          <cell r="K4114" t="str">
            <v>Other Sellable</v>
          </cell>
          <cell r="L4114" t="str">
            <v>Yes</v>
          </cell>
        </row>
        <row r="4115">
          <cell r="G4115" t="str">
            <v>Monaco</v>
          </cell>
          <cell r="H4115" t="str">
            <v>MolsonCoors Beverage Company</v>
          </cell>
          <cell r="K4115" t="str">
            <v>Other Sellable</v>
          </cell>
          <cell r="L4115" t="str">
            <v>Yes</v>
          </cell>
        </row>
        <row r="4116">
          <cell r="G4116" t="str">
            <v>Monaco</v>
          </cell>
          <cell r="H4116" t="str">
            <v>MolsonCoors Beverage Company</v>
          </cell>
          <cell r="K4116" t="str">
            <v>Other Sellable</v>
          </cell>
          <cell r="L4116" t="str">
            <v>Yes</v>
          </cell>
        </row>
        <row r="4117">
          <cell r="G4117" t="str">
            <v>Monaco</v>
          </cell>
          <cell r="H4117" t="str">
            <v>MolsonCoors Beverage Company</v>
          </cell>
          <cell r="K4117" t="str">
            <v>Other Sellable</v>
          </cell>
          <cell r="L4117" t="str">
            <v>Yes</v>
          </cell>
        </row>
        <row r="4118">
          <cell r="G4118" t="str">
            <v>Monaco</v>
          </cell>
          <cell r="H4118" t="str">
            <v>MolsonCoors Beverage Company</v>
          </cell>
          <cell r="K4118" t="str">
            <v>Other Sellable</v>
          </cell>
          <cell r="L4118" t="str">
            <v>Yes</v>
          </cell>
        </row>
        <row r="4119">
          <cell r="G4119" t="str">
            <v>Monaco</v>
          </cell>
          <cell r="H4119" t="str">
            <v>MolsonCoors Beverage Company</v>
          </cell>
          <cell r="K4119" t="str">
            <v>Other Sellable</v>
          </cell>
          <cell r="L4119" t="str">
            <v>Yes</v>
          </cell>
        </row>
        <row r="4120">
          <cell r="G4120" t="str">
            <v>Monaco</v>
          </cell>
          <cell r="H4120" t="str">
            <v>MolsonCoors Beverage Company</v>
          </cell>
          <cell r="K4120" t="str">
            <v>Other Sellable</v>
          </cell>
          <cell r="L4120" t="str">
            <v>Yes</v>
          </cell>
        </row>
        <row r="4121">
          <cell r="G4121" t="str">
            <v>Monaco</v>
          </cell>
          <cell r="H4121" t="str">
            <v>MolsonCoors Beverage Company</v>
          </cell>
          <cell r="K4121" t="str">
            <v>Other Sellable</v>
          </cell>
          <cell r="L4121" t="str">
            <v>Yes</v>
          </cell>
        </row>
        <row r="4122">
          <cell r="G4122" t="str">
            <v>Monaco</v>
          </cell>
          <cell r="H4122" t="str">
            <v>MolsonCoors Beverage Company</v>
          </cell>
          <cell r="K4122" t="str">
            <v>Other Sellable</v>
          </cell>
          <cell r="L4122" t="str">
            <v>No</v>
          </cell>
        </row>
        <row r="4123">
          <cell r="G4123" t="str">
            <v>Monaco</v>
          </cell>
          <cell r="H4123" t="str">
            <v>MolsonCoors Beverage Company</v>
          </cell>
          <cell r="K4123" t="str">
            <v>Other Sellable</v>
          </cell>
          <cell r="L4123" t="str">
            <v>Yes</v>
          </cell>
        </row>
        <row r="4124">
          <cell r="G4124" t="str">
            <v>Monaco</v>
          </cell>
          <cell r="H4124" t="str">
            <v>MolsonCoors Beverage Company</v>
          </cell>
          <cell r="K4124" t="str">
            <v>Other Sellable</v>
          </cell>
          <cell r="L4124" t="str">
            <v>Yes</v>
          </cell>
        </row>
        <row r="4125">
          <cell r="G4125" t="str">
            <v>Monaco</v>
          </cell>
          <cell r="H4125" t="str">
            <v>MolsonCoors Beverage Company</v>
          </cell>
          <cell r="K4125" t="str">
            <v>Other Sellable</v>
          </cell>
          <cell r="L4125" t="str">
            <v>Yes</v>
          </cell>
        </row>
        <row r="4126">
          <cell r="G4126" t="str">
            <v>Monaco</v>
          </cell>
          <cell r="H4126" t="str">
            <v>MolsonCoors Beverage Company</v>
          </cell>
          <cell r="K4126" t="str">
            <v>Other Sellable</v>
          </cell>
          <cell r="L4126" t="str">
            <v>Yes</v>
          </cell>
        </row>
        <row r="4127">
          <cell r="G4127" t="str">
            <v>Monaco</v>
          </cell>
          <cell r="H4127" t="str">
            <v>MolsonCoors Beverage Company</v>
          </cell>
          <cell r="K4127" t="str">
            <v>Other Sellable</v>
          </cell>
          <cell r="L4127" t="str">
            <v>Yes</v>
          </cell>
        </row>
        <row r="4128">
          <cell r="G4128" t="str">
            <v>Monaco</v>
          </cell>
          <cell r="H4128" t="str">
            <v>MolsonCoors Beverage Company</v>
          </cell>
          <cell r="K4128" t="str">
            <v>Other Sellable</v>
          </cell>
          <cell r="L4128" t="str">
            <v>Yes</v>
          </cell>
        </row>
        <row r="4129">
          <cell r="G4129" t="str">
            <v>Monaco</v>
          </cell>
          <cell r="H4129" t="str">
            <v>MolsonCoors Beverage Company</v>
          </cell>
          <cell r="K4129" t="str">
            <v>Other Sellable</v>
          </cell>
          <cell r="L4129" t="str">
            <v>Yes</v>
          </cell>
        </row>
        <row r="4130">
          <cell r="G4130" t="str">
            <v>Monaco</v>
          </cell>
          <cell r="H4130" t="str">
            <v>MolsonCoors Beverage Company</v>
          </cell>
          <cell r="K4130" t="str">
            <v>Other Sellable</v>
          </cell>
          <cell r="L4130" t="str">
            <v>No</v>
          </cell>
        </row>
        <row r="4131">
          <cell r="G4131" t="str">
            <v>Monaco</v>
          </cell>
          <cell r="H4131" t="str">
            <v>MolsonCoors Beverage Company</v>
          </cell>
          <cell r="K4131" t="str">
            <v>Other Sellable</v>
          </cell>
          <cell r="L4131" t="str">
            <v>Yes</v>
          </cell>
        </row>
        <row r="4132">
          <cell r="G4132" t="str">
            <v>Monaco</v>
          </cell>
          <cell r="H4132" t="str">
            <v>MolsonCoors Beverage Company</v>
          </cell>
          <cell r="K4132" t="str">
            <v>Other Sellable</v>
          </cell>
          <cell r="L4132" t="str">
            <v>Yes</v>
          </cell>
        </row>
        <row r="4133">
          <cell r="G4133" t="str">
            <v>Monaco</v>
          </cell>
          <cell r="H4133" t="str">
            <v>MolsonCoors Beverage Company</v>
          </cell>
          <cell r="K4133" t="str">
            <v>Other Sellable</v>
          </cell>
          <cell r="L4133" t="str">
            <v>Yes</v>
          </cell>
        </row>
        <row r="4134">
          <cell r="G4134" t="str">
            <v>Monaco</v>
          </cell>
          <cell r="H4134" t="str">
            <v>MolsonCoors Beverage Company</v>
          </cell>
          <cell r="K4134" t="str">
            <v>Other Sellable</v>
          </cell>
          <cell r="L4134" t="str">
            <v>Yes</v>
          </cell>
        </row>
        <row r="4135">
          <cell r="G4135" t="str">
            <v>Monaco</v>
          </cell>
          <cell r="H4135" t="str">
            <v>MolsonCoors Beverage Company</v>
          </cell>
          <cell r="K4135" t="str">
            <v>Other Sellable</v>
          </cell>
          <cell r="L4135" t="str">
            <v>Yes</v>
          </cell>
        </row>
        <row r="4136">
          <cell r="G4136" t="str">
            <v>Monaco</v>
          </cell>
          <cell r="H4136" t="str">
            <v>MolsonCoors Beverage Company</v>
          </cell>
          <cell r="K4136" t="str">
            <v>Other Sellable</v>
          </cell>
          <cell r="L4136" t="str">
            <v>Yes</v>
          </cell>
        </row>
        <row r="4137">
          <cell r="G4137" t="str">
            <v>Monaco</v>
          </cell>
          <cell r="H4137" t="str">
            <v>MolsonCoors Beverage Company</v>
          </cell>
          <cell r="K4137" t="str">
            <v>Other Sellable</v>
          </cell>
          <cell r="L4137" t="str">
            <v>Yes</v>
          </cell>
        </row>
        <row r="4138">
          <cell r="G4138" t="str">
            <v>Monaco</v>
          </cell>
          <cell r="H4138" t="str">
            <v>MolsonCoors Beverage Company</v>
          </cell>
          <cell r="K4138" t="str">
            <v>Other Sellable</v>
          </cell>
          <cell r="L4138" t="str">
            <v>Yes</v>
          </cell>
        </row>
        <row r="4139">
          <cell r="G4139" t="str">
            <v>Monaco</v>
          </cell>
          <cell r="H4139" t="str">
            <v>MolsonCoors Beverage Company</v>
          </cell>
          <cell r="K4139" t="str">
            <v>Other Sellable</v>
          </cell>
          <cell r="L4139" t="str">
            <v>Yes</v>
          </cell>
        </row>
        <row r="4140">
          <cell r="G4140" t="str">
            <v>Monaco</v>
          </cell>
          <cell r="H4140" t="str">
            <v>MolsonCoors Beverage Company</v>
          </cell>
          <cell r="K4140" t="str">
            <v>Other Sellable</v>
          </cell>
          <cell r="L4140" t="str">
            <v>Yes</v>
          </cell>
        </row>
        <row r="4141">
          <cell r="G4141" t="str">
            <v>Monaco</v>
          </cell>
          <cell r="H4141" t="str">
            <v>MolsonCoors Beverage Company</v>
          </cell>
          <cell r="K4141" t="str">
            <v>Other Sellable</v>
          </cell>
          <cell r="L4141" t="str">
            <v>Yes</v>
          </cell>
        </row>
        <row r="4142">
          <cell r="G4142" t="str">
            <v>1911 Spirits</v>
          </cell>
          <cell r="H4142" t="str">
            <v>Beak &amp; Skiff</v>
          </cell>
          <cell r="K4142" t="str">
            <v>Other Sellable</v>
          </cell>
          <cell r="L4142" t="str">
            <v>Yes</v>
          </cell>
        </row>
        <row r="4143">
          <cell r="G4143" t="str">
            <v>1911 Spirits</v>
          </cell>
          <cell r="H4143" t="str">
            <v>Beak &amp; Skiff</v>
          </cell>
          <cell r="K4143" t="str">
            <v>Other Sellable</v>
          </cell>
          <cell r="L4143" t="str">
            <v>Yes</v>
          </cell>
        </row>
        <row r="4144">
          <cell r="G4144" t="str">
            <v>1911 Spirits</v>
          </cell>
          <cell r="H4144" t="str">
            <v>Beak &amp; Skiff</v>
          </cell>
          <cell r="K4144" t="str">
            <v>Other Sellable</v>
          </cell>
          <cell r="L4144" t="str">
            <v>Yes</v>
          </cell>
        </row>
        <row r="4145">
          <cell r="G4145" t="str">
            <v>1911 Spirits</v>
          </cell>
          <cell r="H4145" t="str">
            <v>Beak &amp; Skiff</v>
          </cell>
          <cell r="K4145" t="str">
            <v>Other Sellable</v>
          </cell>
          <cell r="L4145" t="str">
            <v>Yes</v>
          </cell>
        </row>
        <row r="4146">
          <cell r="G4146" t="str">
            <v>Plaid Duck</v>
          </cell>
          <cell r="H4146" t="str">
            <v>Park Street Imports</v>
          </cell>
          <cell r="K4146" t="str">
            <v>Other Sellable</v>
          </cell>
          <cell r="L4146" t="str">
            <v>Yes</v>
          </cell>
        </row>
        <row r="4147">
          <cell r="G4147" t="str">
            <v>White Claw</v>
          </cell>
          <cell r="H4147" t="str">
            <v>Mark Anthony</v>
          </cell>
          <cell r="K4147" t="str">
            <v>Other Sellable</v>
          </cell>
          <cell r="L4147" t="str">
            <v>No</v>
          </cell>
        </row>
        <row r="4148">
          <cell r="G4148" t="str">
            <v>White Claw</v>
          </cell>
          <cell r="H4148" t="str">
            <v>Mark Anthony</v>
          </cell>
          <cell r="K4148" t="str">
            <v>Other Sellable</v>
          </cell>
          <cell r="L4148" t="str">
            <v>No</v>
          </cell>
        </row>
        <row r="4149">
          <cell r="G4149" t="str">
            <v>Dillon's Cocktails</v>
          </cell>
          <cell r="H4149" t="str">
            <v>Mark Anthony</v>
          </cell>
          <cell r="K4149" t="str">
            <v>Other Sellable</v>
          </cell>
          <cell r="L4149" t="str">
            <v>Yes</v>
          </cell>
        </row>
        <row r="4150">
          <cell r="G4150" t="str">
            <v>Dillon's Cocktails</v>
          </cell>
          <cell r="H4150" t="str">
            <v>Mark Anthony</v>
          </cell>
          <cell r="K4150" t="str">
            <v>Other Sellable</v>
          </cell>
          <cell r="L4150" t="str">
            <v>Yes</v>
          </cell>
        </row>
        <row r="4151">
          <cell r="G4151" t="str">
            <v>Dillon's Cocktails</v>
          </cell>
          <cell r="H4151" t="str">
            <v>Mark Anthony</v>
          </cell>
          <cell r="K4151" t="str">
            <v>Other Sellable</v>
          </cell>
          <cell r="L4151" t="str">
            <v>Yes</v>
          </cell>
        </row>
        <row r="4152">
          <cell r="G4152" t="str">
            <v>Dillon's Cocktails</v>
          </cell>
          <cell r="H4152" t="str">
            <v>Mark Anthony</v>
          </cell>
          <cell r="K4152" t="str">
            <v>Other Sellable</v>
          </cell>
          <cell r="L4152" t="str">
            <v>Yes</v>
          </cell>
        </row>
        <row r="4153">
          <cell r="G4153" t="str">
            <v>Ole</v>
          </cell>
          <cell r="H4153" t="str">
            <v>Mark Anthony</v>
          </cell>
          <cell r="K4153" t="str">
            <v>Other Sellable</v>
          </cell>
          <cell r="L4153" t="str">
            <v>No</v>
          </cell>
        </row>
        <row r="4154">
          <cell r="G4154" t="str">
            <v>Ole</v>
          </cell>
          <cell r="H4154" t="str">
            <v>Mark Anthony</v>
          </cell>
          <cell r="K4154" t="str">
            <v>Other Sellable</v>
          </cell>
          <cell r="L4154" t="str">
            <v>Yes</v>
          </cell>
        </row>
        <row r="4155">
          <cell r="G4155" t="str">
            <v>Ole</v>
          </cell>
          <cell r="H4155" t="str">
            <v>Mark Anthony</v>
          </cell>
          <cell r="K4155" t="str">
            <v>Other Sellable</v>
          </cell>
          <cell r="L4155" t="str">
            <v>Yes</v>
          </cell>
        </row>
        <row r="4156">
          <cell r="G4156" t="str">
            <v>Ole</v>
          </cell>
          <cell r="H4156" t="str">
            <v>Mark Anthony</v>
          </cell>
          <cell r="K4156" t="str">
            <v>Other Sellable</v>
          </cell>
          <cell r="L4156" t="str">
            <v>Yes</v>
          </cell>
        </row>
        <row r="4157">
          <cell r="G4157" t="str">
            <v>Ole</v>
          </cell>
          <cell r="H4157" t="str">
            <v>Mark Anthony</v>
          </cell>
          <cell r="K4157" t="str">
            <v>Other Sellable</v>
          </cell>
          <cell r="L4157" t="str">
            <v>Yes</v>
          </cell>
        </row>
        <row r="4158">
          <cell r="G4158" t="str">
            <v>Ole</v>
          </cell>
          <cell r="H4158" t="str">
            <v>Mark Anthony</v>
          </cell>
          <cell r="K4158" t="str">
            <v>Other Sellable</v>
          </cell>
          <cell r="L4158" t="str">
            <v>Yes</v>
          </cell>
        </row>
        <row r="4159">
          <cell r="G4159" t="str">
            <v>Cape May</v>
          </cell>
          <cell r="H4159" t="str">
            <v>Cape May</v>
          </cell>
          <cell r="K4159" t="str">
            <v>Package</v>
          </cell>
          <cell r="L4159" t="str">
            <v>No</v>
          </cell>
        </row>
        <row r="4160">
          <cell r="G4160" t="str">
            <v>Cape May</v>
          </cell>
          <cell r="H4160" t="str">
            <v>Cape May</v>
          </cell>
          <cell r="K4160" t="str">
            <v>Package</v>
          </cell>
          <cell r="L4160" t="str">
            <v>No</v>
          </cell>
        </row>
        <row r="4161">
          <cell r="G4161" t="str">
            <v>Cape May</v>
          </cell>
          <cell r="H4161" t="str">
            <v>Cape May</v>
          </cell>
          <cell r="K4161" t="str">
            <v>Other Sellable</v>
          </cell>
          <cell r="L4161" t="str">
            <v>No</v>
          </cell>
        </row>
        <row r="4162">
          <cell r="G4162" t="str">
            <v>Cape May</v>
          </cell>
          <cell r="H4162" t="str">
            <v>Cape May</v>
          </cell>
          <cell r="K4162" t="str">
            <v>Other Sellable</v>
          </cell>
          <cell r="L4162" t="str">
            <v>No</v>
          </cell>
        </row>
        <row r="4163">
          <cell r="G4163" t="str">
            <v>Viva Tequila Seltzer</v>
          </cell>
          <cell r="H4163" t="str">
            <v>Viva Beverages Inc</v>
          </cell>
          <cell r="K4163" t="str">
            <v>Other Sellable</v>
          </cell>
          <cell r="L4163" t="str">
            <v>Yes</v>
          </cell>
        </row>
        <row r="4164">
          <cell r="G4164" t="str">
            <v>Viva Tequila Seltzer</v>
          </cell>
          <cell r="H4164" t="str">
            <v>Viva Beverages Inc</v>
          </cell>
          <cell r="K4164" t="str">
            <v>Other Sellable</v>
          </cell>
          <cell r="L4164" t="str">
            <v>Yes</v>
          </cell>
        </row>
        <row r="4165">
          <cell r="G4165" t="str">
            <v>Viva Tequila Seltzer</v>
          </cell>
          <cell r="H4165" t="str">
            <v>Viva Beverages Inc</v>
          </cell>
          <cell r="K4165" t="str">
            <v>Other Sellable</v>
          </cell>
          <cell r="L4165" t="str">
            <v>Yes</v>
          </cell>
        </row>
        <row r="4166">
          <cell r="G4166" t="str">
            <v>Viva Tequila Seltzer</v>
          </cell>
          <cell r="H4166" t="str">
            <v>Viva Beverages Inc</v>
          </cell>
          <cell r="K4166" t="str">
            <v>Other Sellable</v>
          </cell>
          <cell r="L4166" t="str">
            <v>Yes</v>
          </cell>
        </row>
        <row r="4167">
          <cell r="G4167" t="str">
            <v>Viva Tequila Seltzer</v>
          </cell>
          <cell r="H4167" t="str">
            <v>Viva Beverages Inc</v>
          </cell>
          <cell r="K4167" t="str">
            <v>Other Sellable</v>
          </cell>
          <cell r="L4167" t="str">
            <v>Yes</v>
          </cell>
        </row>
        <row r="4168">
          <cell r="G4168" t="str">
            <v>Viva Tequila Seltzer</v>
          </cell>
          <cell r="H4168" t="str">
            <v>Viva Beverages Inc</v>
          </cell>
          <cell r="K4168" t="str">
            <v>Other Sellable</v>
          </cell>
          <cell r="L4168" t="str">
            <v>Yes</v>
          </cell>
        </row>
        <row r="4169">
          <cell r="G4169" t="str">
            <v>Viva Tequila Seltzer</v>
          </cell>
          <cell r="H4169" t="str">
            <v>Viva Beverages Inc</v>
          </cell>
          <cell r="K4169" t="str">
            <v>Other Sellable</v>
          </cell>
          <cell r="L4169" t="str">
            <v>Yes</v>
          </cell>
        </row>
        <row r="4170">
          <cell r="G4170" t="str">
            <v>Viva Tequila Seltzer</v>
          </cell>
          <cell r="H4170" t="str">
            <v>Viva Beverages Inc</v>
          </cell>
          <cell r="K4170" t="str">
            <v>Other Sellable</v>
          </cell>
          <cell r="L4170" t="str">
            <v>Yes</v>
          </cell>
        </row>
        <row r="4171">
          <cell r="G4171" t="str">
            <v>Viva Tequila Seltzer</v>
          </cell>
          <cell r="H4171" t="str">
            <v>Viva Beverages Inc</v>
          </cell>
          <cell r="K4171" t="str">
            <v>Other Sellable</v>
          </cell>
          <cell r="L4171" t="str">
            <v>Yes</v>
          </cell>
        </row>
        <row r="4172">
          <cell r="G4172" t="str">
            <v>Right Coast</v>
          </cell>
          <cell r="H4172" t="str">
            <v>FX Matt</v>
          </cell>
          <cell r="K4172" t="str">
            <v>Other Sellable</v>
          </cell>
          <cell r="L4172" t="str">
            <v>Yes</v>
          </cell>
        </row>
        <row r="4173">
          <cell r="G4173" t="str">
            <v>Right Coast</v>
          </cell>
          <cell r="H4173" t="str">
            <v>FX Matt</v>
          </cell>
          <cell r="K4173" t="str">
            <v>Other Sellable</v>
          </cell>
          <cell r="L4173" t="str">
            <v>Yes</v>
          </cell>
        </row>
        <row r="4174">
          <cell r="G4174" t="str">
            <v>Right Coast</v>
          </cell>
          <cell r="H4174" t="str">
            <v>FX Matt</v>
          </cell>
          <cell r="K4174" t="str">
            <v>Other Sellable</v>
          </cell>
          <cell r="L4174" t="str">
            <v>Yes</v>
          </cell>
        </row>
        <row r="4175">
          <cell r="G4175" t="str">
            <v>Right Coast</v>
          </cell>
          <cell r="H4175" t="str">
            <v>FX Matt</v>
          </cell>
          <cell r="K4175" t="str">
            <v>Other Sellable</v>
          </cell>
          <cell r="L4175" t="str">
            <v>Yes</v>
          </cell>
        </row>
        <row r="4176">
          <cell r="G4176" t="str">
            <v>Southern Tier Distilling</v>
          </cell>
          <cell r="H4176" t="str">
            <v>Southern Tier Distilling Company</v>
          </cell>
          <cell r="K4176" t="str">
            <v>Other Sellable</v>
          </cell>
          <cell r="L4176" t="str">
            <v>Yes</v>
          </cell>
        </row>
        <row r="4177">
          <cell r="G4177" t="str">
            <v>Southern Tier Distilling</v>
          </cell>
          <cell r="H4177" t="str">
            <v>Southern Tier Distilling Company</v>
          </cell>
          <cell r="K4177" t="str">
            <v>Other Sellable</v>
          </cell>
          <cell r="L4177" t="str">
            <v>No</v>
          </cell>
        </row>
        <row r="4178">
          <cell r="G4178" t="str">
            <v>Southern Tier Distilling</v>
          </cell>
          <cell r="H4178" t="str">
            <v>Southern Tier Distilling Company</v>
          </cell>
          <cell r="K4178" t="str">
            <v>Other Sellable</v>
          </cell>
          <cell r="L4178" t="str">
            <v>Yes</v>
          </cell>
        </row>
        <row r="4179">
          <cell r="G4179" t="str">
            <v>Southern Tier Distilling</v>
          </cell>
          <cell r="H4179" t="str">
            <v>Southern Tier Distilling Company</v>
          </cell>
          <cell r="K4179" t="str">
            <v>Other Sellable</v>
          </cell>
          <cell r="L4179" t="str">
            <v>No</v>
          </cell>
        </row>
        <row r="4180">
          <cell r="G4180" t="str">
            <v>Southern Tier Distilling</v>
          </cell>
          <cell r="H4180" t="str">
            <v>Southern Tier Distilling Company</v>
          </cell>
          <cell r="K4180" t="str">
            <v>Other Sellable</v>
          </cell>
          <cell r="L4180" t="str">
            <v>No</v>
          </cell>
        </row>
        <row r="4181">
          <cell r="G4181" t="str">
            <v>Southern Tier Distilling</v>
          </cell>
          <cell r="H4181" t="str">
            <v>Southern Tier Distilling Company</v>
          </cell>
          <cell r="K4181" t="str">
            <v>Other Sellable</v>
          </cell>
          <cell r="L4181" t="str">
            <v>No</v>
          </cell>
        </row>
        <row r="4182">
          <cell r="G4182" t="str">
            <v>Southern Tier Distilling</v>
          </cell>
          <cell r="H4182" t="str">
            <v>Southern Tier Distilling Company</v>
          </cell>
          <cell r="K4182" t="str">
            <v>Other Sellable</v>
          </cell>
          <cell r="L4182" t="str">
            <v>No</v>
          </cell>
        </row>
        <row r="4183">
          <cell r="G4183" t="str">
            <v>Southern Tier Distilling</v>
          </cell>
          <cell r="H4183" t="str">
            <v>Southern Tier Distilling Company</v>
          </cell>
          <cell r="K4183" t="str">
            <v>Other Sellable</v>
          </cell>
          <cell r="L4183" t="str">
            <v>No</v>
          </cell>
        </row>
        <row r="4184">
          <cell r="G4184" t="str">
            <v>Southern Tier Distilling</v>
          </cell>
          <cell r="H4184" t="str">
            <v>Southern Tier Distilling Company</v>
          </cell>
          <cell r="K4184" t="str">
            <v>Other Sellable</v>
          </cell>
          <cell r="L4184" t="str">
            <v>No</v>
          </cell>
        </row>
        <row r="4185">
          <cell r="G4185" t="str">
            <v>Southern Tier Distilling</v>
          </cell>
          <cell r="H4185" t="str">
            <v>Southern Tier Distilling Company</v>
          </cell>
          <cell r="K4185" t="str">
            <v>Other Sellable</v>
          </cell>
          <cell r="L4185" t="str">
            <v>Yes</v>
          </cell>
        </row>
        <row r="4186">
          <cell r="G4186" t="str">
            <v>Southern Tier Distilling</v>
          </cell>
          <cell r="H4186" t="str">
            <v>Southern Tier Distilling Company</v>
          </cell>
          <cell r="K4186" t="str">
            <v>Other Sellable</v>
          </cell>
          <cell r="L4186" t="str">
            <v>Yes</v>
          </cell>
        </row>
        <row r="4187">
          <cell r="G4187" t="str">
            <v>Craftwell</v>
          </cell>
          <cell r="H4187" t="str">
            <v>2 Towns Ciderhouse</v>
          </cell>
          <cell r="K4187" t="str">
            <v>Other Sellable</v>
          </cell>
          <cell r="L4187" t="str">
            <v>No</v>
          </cell>
        </row>
        <row r="4188">
          <cell r="G4188" t="str">
            <v>Craftwell</v>
          </cell>
          <cell r="H4188" t="str">
            <v>2 Towns Ciderhouse</v>
          </cell>
          <cell r="K4188" t="str">
            <v>Other Sellable</v>
          </cell>
          <cell r="L4188" t="str">
            <v>No</v>
          </cell>
        </row>
        <row r="4189">
          <cell r="G4189" t="str">
            <v>Craftwell</v>
          </cell>
          <cell r="H4189" t="str">
            <v>2 Towns Ciderhouse</v>
          </cell>
          <cell r="K4189" t="str">
            <v>Other Sellable</v>
          </cell>
          <cell r="L4189" t="str">
            <v>No</v>
          </cell>
        </row>
        <row r="4190">
          <cell r="G4190" t="str">
            <v>Southern Tier Distilling</v>
          </cell>
          <cell r="H4190" t="str">
            <v>Southern Tier Distilling Company</v>
          </cell>
          <cell r="K4190" t="str">
            <v>Other Sellable</v>
          </cell>
          <cell r="L4190" t="str">
            <v>Yes</v>
          </cell>
        </row>
        <row r="4191">
          <cell r="G4191" t="str">
            <v>Craftwell</v>
          </cell>
          <cell r="H4191" t="str">
            <v>2 Towns Ciderhouse</v>
          </cell>
          <cell r="K4191" t="str">
            <v>Other Sellable</v>
          </cell>
          <cell r="L4191" t="str">
            <v>No</v>
          </cell>
        </row>
        <row r="4192">
          <cell r="G4192" t="str">
            <v>Craftwell</v>
          </cell>
          <cell r="H4192" t="str">
            <v>2 Towns Ciderhouse</v>
          </cell>
          <cell r="K4192" t="str">
            <v>Other Sellable</v>
          </cell>
          <cell r="L4192" t="str">
            <v>No</v>
          </cell>
        </row>
        <row r="4193">
          <cell r="G4193" t="str">
            <v>Craftwell</v>
          </cell>
          <cell r="H4193" t="str">
            <v>2 Towns Ciderhouse</v>
          </cell>
          <cell r="K4193" t="str">
            <v>Other Sellable</v>
          </cell>
          <cell r="L4193" t="str">
            <v>No</v>
          </cell>
        </row>
        <row r="4194">
          <cell r="G4194" t="str">
            <v>Southern Tier Distilling</v>
          </cell>
          <cell r="H4194" t="str">
            <v>Southern Tier Distilling Company</v>
          </cell>
          <cell r="K4194" t="str">
            <v>Other Sellable</v>
          </cell>
          <cell r="L4194" t="str">
            <v>Yes</v>
          </cell>
        </row>
        <row r="4195">
          <cell r="G4195" t="str">
            <v>Victory House Pour Vodka</v>
          </cell>
          <cell r="H4195" t="str">
            <v>Southern Tier Distilling Company</v>
          </cell>
          <cell r="K4195" t="str">
            <v>Other Sellable</v>
          </cell>
          <cell r="L4195" t="str">
            <v>Yes</v>
          </cell>
        </row>
        <row r="4196">
          <cell r="G4196" t="str">
            <v>Victory House Pour Vodka</v>
          </cell>
          <cell r="H4196" t="str">
            <v>Southern Tier Distilling Company</v>
          </cell>
          <cell r="K4196" t="str">
            <v>Other Sellable</v>
          </cell>
          <cell r="L4196" t="str">
            <v>Yes</v>
          </cell>
        </row>
        <row r="4197">
          <cell r="G4197" t="str">
            <v>Coastal Cocktails</v>
          </cell>
          <cell r="H4197" t="str">
            <v>Cavalier Ventures, LLC</v>
          </cell>
          <cell r="K4197" t="str">
            <v>Other Sellable</v>
          </cell>
          <cell r="L4197" t="str">
            <v>Yes</v>
          </cell>
        </row>
        <row r="4198">
          <cell r="G4198" t="str">
            <v>Coastal Cocktails</v>
          </cell>
          <cell r="H4198" t="str">
            <v>Cavalier Ventures, LLC</v>
          </cell>
          <cell r="K4198" t="str">
            <v>Other Sellable</v>
          </cell>
          <cell r="L4198" t="str">
            <v>Yes</v>
          </cell>
        </row>
        <row r="4199">
          <cell r="G4199" t="str">
            <v>Coastal Cocktails</v>
          </cell>
          <cell r="H4199" t="str">
            <v>Cavalier Ventures, LLC</v>
          </cell>
          <cell r="K4199" t="str">
            <v>Other Sellable</v>
          </cell>
          <cell r="L4199" t="str">
            <v>Yes</v>
          </cell>
        </row>
        <row r="4200">
          <cell r="G4200" t="str">
            <v>Coastal Cocktails</v>
          </cell>
          <cell r="H4200" t="str">
            <v>Cavalier Ventures, LLC</v>
          </cell>
          <cell r="K4200" t="str">
            <v>Other Sellable</v>
          </cell>
          <cell r="L4200" t="str">
            <v>Yes</v>
          </cell>
        </row>
        <row r="4201">
          <cell r="G4201" t="str">
            <v>Coastal Cocktails</v>
          </cell>
          <cell r="H4201" t="str">
            <v>Cavalier Ventures, LLC</v>
          </cell>
          <cell r="K4201" t="str">
            <v>Other Sellable</v>
          </cell>
          <cell r="L4201" t="str">
            <v>Yes</v>
          </cell>
        </row>
        <row r="4202">
          <cell r="G4202" t="str">
            <v>Coastal Cocktails</v>
          </cell>
          <cell r="H4202" t="str">
            <v>Cavalier Ventures, LLC</v>
          </cell>
          <cell r="K4202" t="str">
            <v>Other Sellable</v>
          </cell>
          <cell r="L4202" t="str">
            <v>Yes</v>
          </cell>
        </row>
        <row r="4203">
          <cell r="G4203" t="str">
            <v>Five O'Clock</v>
          </cell>
          <cell r="H4203" t="str">
            <v>Laird &amp; Company</v>
          </cell>
          <cell r="K4203" t="str">
            <v>Other Sellable</v>
          </cell>
          <cell r="L4203" t="str">
            <v>No</v>
          </cell>
        </row>
        <row r="4204">
          <cell r="G4204" t="str">
            <v>Five O'Clock</v>
          </cell>
          <cell r="H4204" t="str">
            <v>Laird &amp; Company</v>
          </cell>
          <cell r="K4204" t="str">
            <v>Other Sellable</v>
          </cell>
          <cell r="L4204" t="str">
            <v>No</v>
          </cell>
        </row>
        <row r="4205">
          <cell r="G4205" t="str">
            <v>Arizona Hard</v>
          </cell>
          <cell r="H4205" t="str">
            <v>Hornell Brewing Company</v>
          </cell>
          <cell r="K4205" t="str">
            <v>Other Sellable</v>
          </cell>
          <cell r="L4205" t="str">
            <v>Yes</v>
          </cell>
        </row>
        <row r="4206">
          <cell r="G4206" t="str">
            <v>Arizona Hard</v>
          </cell>
          <cell r="H4206" t="str">
            <v>Hornell Brewing Company</v>
          </cell>
          <cell r="K4206" t="str">
            <v>Other Sellable</v>
          </cell>
          <cell r="L4206" t="str">
            <v>Yes</v>
          </cell>
        </row>
        <row r="4207">
          <cell r="G4207" t="str">
            <v>Dogfish Head Spirits</v>
          </cell>
          <cell r="H4207" t="str">
            <v>Boston Beer Company</v>
          </cell>
          <cell r="K4207" t="str">
            <v>Other Sellable</v>
          </cell>
          <cell r="L4207" t="str">
            <v>Yes</v>
          </cell>
        </row>
        <row r="4208">
          <cell r="G4208" t="str">
            <v>Dogfish Head Spirits</v>
          </cell>
          <cell r="H4208" t="str">
            <v>Boston Beer Company</v>
          </cell>
          <cell r="K4208" t="str">
            <v>Other Sellable</v>
          </cell>
          <cell r="L4208" t="str">
            <v>Yes</v>
          </cell>
        </row>
        <row r="4209">
          <cell r="G4209" t="str">
            <v>Dogfish Head Spirits</v>
          </cell>
          <cell r="H4209" t="str">
            <v>Boston Beer Company</v>
          </cell>
          <cell r="K4209" t="str">
            <v>Other Sellable</v>
          </cell>
          <cell r="L4209" t="str">
            <v>Yes</v>
          </cell>
        </row>
        <row r="4210">
          <cell r="G4210" t="str">
            <v>Dogfish Head Spirits</v>
          </cell>
          <cell r="H4210" t="str">
            <v>Boston Beer Company</v>
          </cell>
          <cell r="K4210" t="str">
            <v>Other Sellable</v>
          </cell>
          <cell r="L4210" t="str">
            <v>Yes</v>
          </cell>
        </row>
        <row r="4211">
          <cell r="G4211" t="str">
            <v>Dogfish Head Spirits</v>
          </cell>
          <cell r="H4211" t="str">
            <v>Boston Beer Company</v>
          </cell>
          <cell r="K4211" t="str">
            <v>Other Sellable</v>
          </cell>
          <cell r="L4211" t="str">
            <v>Yes</v>
          </cell>
        </row>
        <row r="4212">
          <cell r="G4212" t="str">
            <v>Dogfish Head Spirits</v>
          </cell>
          <cell r="H4212" t="str">
            <v>Boston Beer Company</v>
          </cell>
          <cell r="K4212" t="str">
            <v>Other Sellable</v>
          </cell>
          <cell r="L4212" t="str">
            <v>Yes</v>
          </cell>
        </row>
        <row r="4213">
          <cell r="G4213" t="str">
            <v>Dogfish Head Spirits</v>
          </cell>
          <cell r="H4213" t="str">
            <v>Boston Beer Company</v>
          </cell>
          <cell r="K4213" t="str">
            <v>Other Sellable</v>
          </cell>
          <cell r="L4213" t="str">
            <v>Yes</v>
          </cell>
        </row>
        <row r="4214">
          <cell r="G4214" t="str">
            <v>Dogfish Head Spirits</v>
          </cell>
          <cell r="H4214" t="str">
            <v>Boston Beer Company</v>
          </cell>
          <cell r="K4214" t="str">
            <v>Other Sellable</v>
          </cell>
          <cell r="L4214" t="str">
            <v>Yes</v>
          </cell>
        </row>
        <row r="4215">
          <cell r="G4215" t="str">
            <v>Dogfish Head Spirits</v>
          </cell>
          <cell r="H4215" t="str">
            <v>Boston Beer Company</v>
          </cell>
          <cell r="K4215" t="str">
            <v>Other Sellable</v>
          </cell>
          <cell r="L4215" t="str">
            <v>Yes</v>
          </cell>
        </row>
        <row r="4216">
          <cell r="G4216" t="str">
            <v>Dogfish Head Spirits</v>
          </cell>
          <cell r="H4216" t="str">
            <v>Boston Beer Company</v>
          </cell>
          <cell r="K4216" t="str">
            <v>Other Sellable</v>
          </cell>
          <cell r="L4216" t="str">
            <v>Yes</v>
          </cell>
        </row>
        <row r="4217">
          <cell r="G4217" t="str">
            <v>Dogfish Head Spirits</v>
          </cell>
          <cell r="H4217" t="str">
            <v>Boston Beer Company</v>
          </cell>
          <cell r="K4217" t="str">
            <v>Other Sellable</v>
          </cell>
          <cell r="L4217" t="str">
            <v>Yes</v>
          </cell>
        </row>
        <row r="4218">
          <cell r="G4218" t="str">
            <v>Dogfish Head Spirits</v>
          </cell>
          <cell r="H4218" t="str">
            <v>Boston Beer Company</v>
          </cell>
          <cell r="K4218" t="str">
            <v>Other Sellable</v>
          </cell>
          <cell r="L4218" t="str">
            <v>Yes</v>
          </cell>
        </row>
        <row r="4219">
          <cell r="G4219" t="str">
            <v>Dogfish Head Spirits</v>
          </cell>
          <cell r="H4219" t="str">
            <v>Boston Beer Company</v>
          </cell>
          <cell r="K4219" t="str">
            <v>Other Sellable</v>
          </cell>
          <cell r="L4219" t="str">
            <v>Yes</v>
          </cell>
        </row>
        <row r="4220">
          <cell r="G4220" t="str">
            <v>Dogfish Head Spirits</v>
          </cell>
          <cell r="H4220" t="str">
            <v>Boston Beer Company</v>
          </cell>
          <cell r="K4220" t="str">
            <v>Other Sellable</v>
          </cell>
          <cell r="L4220" t="str">
            <v>Yes</v>
          </cell>
        </row>
        <row r="4221">
          <cell r="G4221" t="str">
            <v>Sun Cruiser</v>
          </cell>
          <cell r="H4221" t="str">
            <v>Boston Beer Company</v>
          </cell>
          <cell r="K4221" t="str">
            <v>Other Sellable</v>
          </cell>
          <cell r="L4221" t="str">
            <v>Yes</v>
          </cell>
        </row>
        <row r="4222">
          <cell r="G4222" t="str">
            <v>Sun Cruiser</v>
          </cell>
          <cell r="H4222" t="str">
            <v>Boston Beer Company</v>
          </cell>
          <cell r="K4222" t="str">
            <v>Other Sellable</v>
          </cell>
          <cell r="L4222" t="str">
            <v>Yes</v>
          </cell>
        </row>
        <row r="4223">
          <cell r="G4223" t="str">
            <v>Sun Cruiser</v>
          </cell>
          <cell r="H4223" t="str">
            <v>Boston Beer Company</v>
          </cell>
          <cell r="K4223" t="str">
            <v>Other Sellable</v>
          </cell>
          <cell r="L4223" t="str">
            <v>Yes</v>
          </cell>
        </row>
        <row r="4224">
          <cell r="G4224" t="str">
            <v>Sun Cruiser</v>
          </cell>
          <cell r="H4224" t="str">
            <v>Boston Beer Company</v>
          </cell>
          <cell r="K4224" t="str">
            <v>Other Sellable</v>
          </cell>
          <cell r="L4224" t="str">
            <v>Yes</v>
          </cell>
        </row>
        <row r="4225">
          <cell r="G4225" t="str">
            <v>Sun Cruiser</v>
          </cell>
          <cell r="H4225" t="str">
            <v>Boston Beer Company</v>
          </cell>
          <cell r="K4225" t="str">
            <v>Other Sellable</v>
          </cell>
          <cell r="L4225" t="str">
            <v>Yes</v>
          </cell>
        </row>
        <row r="4226">
          <cell r="G4226" t="str">
            <v>Sun Cruiser</v>
          </cell>
          <cell r="H4226" t="str">
            <v>Boston Beer Company</v>
          </cell>
          <cell r="K4226" t="str">
            <v>Other Sellable</v>
          </cell>
          <cell r="L4226" t="str">
            <v>Yes</v>
          </cell>
        </row>
        <row r="4227">
          <cell r="G4227" t="str">
            <v>Sun Cruiser</v>
          </cell>
          <cell r="H4227" t="str">
            <v>Boston Beer Company</v>
          </cell>
          <cell r="K4227" t="str">
            <v>Other Sellable</v>
          </cell>
          <cell r="L4227" t="str">
            <v>Yes</v>
          </cell>
        </row>
        <row r="4228">
          <cell r="G4228" t="str">
            <v>Sun Cruiser</v>
          </cell>
          <cell r="H4228" t="str">
            <v>Boston Beer Company</v>
          </cell>
          <cell r="K4228" t="str">
            <v>Other Sellable</v>
          </cell>
          <cell r="L4228" t="str">
            <v>Yes</v>
          </cell>
        </row>
        <row r="4229">
          <cell r="G4229" t="str">
            <v>Sun Cruiser</v>
          </cell>
          <cell r="H4229" t="str">
            <v>Boston Beer Company</v>
          </cell>
          <cell r="K4229" t="str">
            <v>Other Sellable</v>
          </cell>
          <cell r="L4229" t="str">
            <v>Yes</v>
          </cell>
        </row>
        <row r="4230">
          <cell r="G4230" t="str">
            <v>Sun Cruiser</v>
          </cell>
          <cell r="H4230" t="str">
            <v>Boston Beer Company</v>
          </cell>
          <cell r="K4230" t="str">
            <v>Other Sellable</v>
          </cell>
          <cell r="L4230" t="str">
            <v>Yes</v>
          </cell>
        </row>
        <row r="4231">
          <cell r="G4231" t="str">
            <v>Sun Cruiser</v>
          </cell>
          <cell r="H4231" t="str">
            <v>Boston Beer Company</v>
          </cell>
          <cell r="K4231" t="str">
            <v>Other Sellable</v>
          </cell>
          <cell r="L4231" t="str">
            <v>Yes</v>
          </cell>
        </row>
        <row r="4232">
          <cell r="G4232" t="str">
            <v>Sun Cruiser</v>
          </cell>
          <cell r="H4232" t="str">
            <v>Boston Beer Company</v>
          </cell>
          <cell r="K4232" t="str">
            <v>Other Sellable</v>
          </cell>
          <cell r="L4232" t="str">
            <v>Yes</v>
          </cell>
        </row>
        <row r="4233">
          <cell r="G4233" t="str">
            <v>Truly</v>
          </cell>
          <cell r="H4233" t="str">
            <v>Boston Beer Company</v>
          </cell>
          <cell r="K4233" t="str">
            <v>Other Sellable</v>
          </cell>
          <cell r="L4233" t="str">
            <v>Yes</v>
          </cell>
        </row>
        <row r="4234">
          <cell r="G4234" t="str">
            <v>Truly</v>
          </cell>
          <cell r="H4234" t="str">
            <v>Boston Beer Company</v>
          </cell>
          <cell r="K4234" t="str">
            <v>Other Sellable</v>
          </cell>
          <cell r="L4234" t="str">
            <v>Yes</v>
          </cell>
        </row>
        <row r="4235">
          <cell r="G4235" t="str">
            <v>Truly</v>
          </cell>
          <cell r="H4235" t="str">
            <v>Boston Beer Company</v>
          </cell>
          <cell r="K4235" t="str">
            <v>Other Sellable</v>
          </cell>
          <cell r="L4235" t="str">
            <v>Yes</v>
          </cell>
        </row>
        <row r="4236">
          <cell r="G4236" t="str">
            <v>Truly</v>
          </cell>
          <cell r="H4236" t="str">
            <v>Boston Beer Company</v>
          </cell>
          <cell r="K4236" t="str">
            <v>Other Sellable</v>
          </cell>
          <cell r="L4236" t="str">
            <v>Yes</v>
          </cell>
        </row>
        <row r="4237">
          <cell r="G4237" t="str">
            <v>Truly</v>
          </cell>
          <cell r="H4237" t="str">
            <v>Boston Beer Company</v>
          </cell>
          <cell r="K4237" t="str">
            <v>Other Sellable</v>
          </cell>
          <cell r="L4237" t="str">
            <v>Yes</v>
          </cell>
        </row>
        <row r="4238">
          <cell r="G4238" t="str">
            <v>Truly</v>
          </cell>
          <cell r="H4238" t="str">
            <v>Boston Beer Company</v>
          </cell>
          <cell r="K4238" t="str">
            <v>Other Sellable</v>
          </cell>
          <cell r="L4238" t="str">
            <v>Yes</v>
          </cell>
        </row>
        <row r="4239">
          <cell r="G4239" t="str">
            <v>Truly</v>
          </cell>
          <cell r="H4239" t="str">
            <v>Boston Beer Company</v>
          </cell>
          <cell r="K4239" t="str">
            <v>Other Sellable</v>
          </cell>
          <cell r="L4239" t="str">
            <v>Yes</v>
          </cell>
        </row>
        <row r="4240">
          <cell r="G4240" t="str">
            <v>Truly</v>
          </cell>
          <cell r="H4240" t="str">
            <v>Boston Beer Company</v>
          </cell>
          <cell r="K4240" t="str">
            <v>Other Sellable</v>
          </cell>
          <cell r="L4240" t="str">
            <v>Yes</v>
          </cell>
        </row>
        <row r="4241">
          <cell r="G4241" t="str">
            <v>Sun Cruiser</v>
          </cell>
          <cell r="H4241" t="str">
            <v>Boston Beer Company</v>
          </cell>
          <cell r="K4241" t="str">
            <v>Other Sellable</v>
          </cell>
          <cell r="L4241" t="str">
            <v>Yes</v>
          </cell>
        </row>
        <row r="4242">
          <cell r="G4242" t="str">
            <v>Sun Cruiser</v>
          </cell>
          <cell r="H4242" t="str">
            <v>Boston Beer Company</v>
          </cell>
          <cell r="K4242" t="str">
            <v>Other Sellable</v>
          </cell>
          <cell r="L4242" t="str">
            <v>Yes</v>
          </cell>
        </row>
        <row r="4243">
          <cell r="G4243" t="str">
            <v>Sun Cruiser</v>
          </cell>
          <cell r="H4243" t="str">
            <v>Boston Beer Company</v>
          </cell>
          <cell r="K4243" t="str">
            <v>Other Sellable</v>
          </cell>
          <cell r="L4243" t="str">
            <v>Yes</v>
          </cell>
        </row>
        <row r="4244">
          <cell r="G4244" t="str">
            <v>Sun Cruiser</v>
          </cell>
          <cell r="H4244" t="str">
            <v>Boston Beer Company</v>
          </cell>
          <cell r="K4244" t="str">
            <v>Other Sellable</v>
          </cell>
          <cell r="L4244" t="str">
            <v>Yes</v>
          </cell>
        </row>
        <row r="4245">
          <cell r="G4245" t="str">
            <v>Sun Cruiser</v>
          </cell>
          <cell r="H4245" t="str">
            <v>Boston Beer Company</v>
          </cell>
          <cell r="K4245" t="str">
            <v>Other Sellable</v>
          </cell>
          <cell r="L4245" t="str">
            <v>Yes</v>
          </cell>
        </row>
        <row r="4246">
          <cell r="G4246" t="str">
            <v>Sun Cruiser</v>
          </cell>
          <cell r="H4246" t="str">
            <v>Boston Beer Company</v>
          </cell>
          <cell r="K4246" t="str">
            <v>Other Sellable</v>
          </cell>
          <cell r="L4246" t="str">
            <v>Yes</v>
          </cell>
        </row>
        <row r="4247">
          <cell r="G4247" t="str">
            <v>Sun Cruiser</v>
          </cell>
          <cell r="H4247" t="str">
            <v>Boston Beer Company</v>
          </cell>
          <cell r="K4247" t="str">
            <v>Other Sellable</v>
          </cell>
          <cell r="L4247" t="str">
            <v>Yes</v>
          </cell>
        </row>
        <row r="4248">
          <cell r="G4248" t="str">
            <v>Sun Cruiser</v>
          </cell>
          <cell r="H4248" t="str">
            <v>Boston Beer Company</v>
          </cell>
          <cell r="K4248" t="str">
            <v>Other Sellable</v>
          </cell>
          <cell r="L4248" t="str">
            <v>Yes</v>
          </cell>
        </row>
        <row r="4249">
          <cell r="G4249" t="str">
            <v>Sun Cruiser</v>
          </cell>
          <cell r="H4249" t="str">
            <v>Boston Beer Company</v>
          </cell>
          <cell r="K4249" t="str">
            <v>Other Sellable</v>
          </cell>
          <cell r="L4249" t="str">
            <v>Yes</v>
          </cell>
        </row>
        <row r="4250">
          <cell r="G4250" t="str">
            <v>Sun Cruiser</v>
          </cell>
          <cell r="H4250" t="str">
            <v>Boston Beer Company</v>
          </cell>
          <cell r="K4250" t="str">
            <v>Other Sellable</v>
          </cell>
          <cell r="L4250" t="str">
            <v>Yes</v>
          </cell>
        </row>
        <row r="4251">
          <cell r="G4251" t="str">
            <v>Sun Cruiser</v>
          </cell>
          <cell r="H4251" t="str">
            <v>Boston Beer Company</v>
          </cell>
          <cell r="K4251" t="str">
            <v>Other Sellable</v>
          </cell>
          <cell r="L4251" t="str">
            <v>Yes</v>
          </cell>
        </row>
        <row r="4252">
          <cell r="G4252" t="str">
            <v>Sun Cruiser</v>
          </cell>
          <cell r="H4252" t="str">
            <v>Boston Beer Company</v>
          </cell>
          <cell r="K4252" t="str">
            <v>Other Sellable</v>
          </cell>
          <cell r="L4252" t="str">
            <v>Yes</v>
          </cell>
        </row>
        <row r="4253">
          <cell r="G4253" t="str">
            <v>Sun Cruiser</v>
          </cell>
          <cell r="H4253" t="str">
            <v>Boston Beer Company</v>
          </cell>
          <cell r="K4253" t="str">
            <v>Other Sellable</v>
          </cell>
          <cell r="L4253" t="str">
            <v>Yes</v>
          </cell>
        </row>
        <row r="4254">
          <cell r="G4254" t="str">
            <v>Sun Cruiser</v>
          </cell>
          <cell r="H4254" t="str">
            <v>Boston Beer Company</v>
          </cell>
          <cell r="K4254" t="str">
            <v>Other Sellable</v>
          </cell>
          <cell r="L4254" t="str">
            <v>Yes</v>
          </cell>
        </row>
        <row r="4255">
          <cell r="G4255" t="str">
            <v>Sun Cruiser</v>
          </cell>
          <cell r="H4255" t="str">
            <v>Boston Beer Company</v>
          </cell>
          <cell r="K4255" t="str">
            <v>Other Sellable</v>
          </cell>
          <cell r="L4255" t="str">
            <v>Yes</v>
          </cell>
        </row>
        <row r="4256">
          <cell r="G4256" t="str">
            <v>Sun Cruiser</v>
          </cell>
          <cell r="H4256" t="str">
            <v>Boston Beer Company</v>
          </cell>
          <cell r="K4256" t="str">
            <v>Other Sellable</v>
          </cell>
          <cell r="L4256" t="str">
            <v>Yes</v>
          </cell>
        </row>
        <row r="4257">
          <cell r="G4257" t="str">
            <v>Sun Cruiser</v>
          </cell>
          <cell r="H4257" t="str">
            <v>Boston Beer Company</v>
          </cell>
          <cell r="K4257" t="str">
            <v>Other Sellable</v>
          </cell>
          <cell r="L4257" t="str">
            <v>Yes</v>
          </cell>
        </row>
        <row r="4258">
          <cell r="G4258" t="str">
            <v>Sinless Vodka Cocktail</v>
          </cell>
          <cell r="H4258" t="str">
            <v>Boston Beer Company</v>
          </cell>
          <cell r="K4258" t="str">
            <v>Other Sellable</v>
          </cell>
          <cell r="L4258" t="str">
            <v>Yes</v>
          </cell>
        </row>
        <row r="4259">
          <cell r="G4259" t="str">
            <v>Sinless Vodka Cocktail</v>
          </cell>
          <cell r="H4259" t="str">
            <v>Boston Beer Company</v>
          </cell>
          <cell r="K4259" t="str">
            <v>Other Sellable</v>
          </cell>
          <cell r="L4259" t="str">
            <v>Yes</v>
          </cell>
        </row>
        <row r="4260">
          <cell r="G4260" t="str">
            <v>Sinless Vodka Cocktail</v>
          </cell>
          <cell r="H4260" t="str">
            <v>Boston Beer Company</v>
          </cell>
          <cell r="K4260" t="str">
            <v>Other Sellable</v>
          </cell>
          <cell r="L4260" t="str">
            <v>Yes</v>
          </cell>
        </row>
        <row r="4261">
          <cell r="G4261" t="str">
            <v>Sinless Vodka Cocktail</v>
          </cell>
          <cell r="H4261" t="str">
            <v>Boston Beer Company</v>
          </cell>
          <cell r="K4261" t="str">
            <v>Other Sellable</v>
          </cell>
          <cell r="L4261" t="str">
            <v>Yes</v>
          </cell>
        </row>
        <row r="4262">
          <cell r="G4262" t="str">
            <v>Fresca Mixed</v>
          </cell>
          <cell r="H4262" t="str">
            <v>SAZERAC INC</v>
          </cell>
          <cell r="K4262" t="str">
            <v>Other Sellable</v>
          </cell>
          <cell r="L4262" t="str">
            <v>No</v>
          </cell>
        </row>
        <row r="4263">
          <cell r="G4263" t="str">
            <v>Fresca Mixed</v>
          </cell>
          <cell r="H4263" t="str">
            <v>SAZERAC INC</v>
          </cell>
          <cell r="K4263" t="str">
            <v>Other Sellable</v>
          </cell>
          <cell r="L4263" t="str">
            <v>Yes</v>
          </cell>
        </row>
        <row r="4264">
          <cell r="G4264" t="str">
            <v>Fresca Mixed</v>
          </cell>
          <cell r="H4264" t="str">
            <v>SAZERAC INC</v>
          </cell>
          <cell r="K4264" t="str">
            <v>Other Sellable</v>
          </cell>
          <cell r="L4264" t="str">
            <v>No</v>
          </cell>
        </row>
        <row r="4265">
          <cell r="G4265" t="str">
            <v>Fresca Mixed</v>
          </cell>
          <cell r="H4265" t="str">
            <v>SAZERAC INC</v>
          </cell>
          <cell r="K4265" t="str">
            <v>Other Sellable</v>
          </cell>
          <cell r="L4265" t="str">
            <v>Yes</v>
          </cell>
        </row>
        <row r="4266">
          <cell r="G4266" t="str">
            <v>Carbliss</v>
          </cell>
          <cell r="H4266" t="str">
            <v>SN Food &amp; Beverage LLC</v>
          </cell>
          <cell r="K4266" t="str">
            <v>Other Sellable</v>
          </cell>
          <cell r="L4266" t="str">
            <v>Yes</v>
          </cell>
        </row>
        <row r="4267">
          <cell r="G4267" t="str">
            <v>Carbliss</v>
          </cell>
          <cell r="H4267" t="str">
            <v>SN Food &amp; Beverage LLC</v>
          </cell>
          <cell r="K4267" t="str">
            <v>Other Sellable</v>
          </cell>
          <cell r="L4267" t="str">
            <v>Yes</v>
          </cell>
        </row>
        <row r="4268">
          <cell r="G4268" t="str">
            <v>Carbliss</v>
          </cell>
          <cell r="H4268" t="str">
            <v>SN Food &amp; Beverage LLC</v>
          </cell>
          <cell r="K4268" t="str">
            <v>Other Sellable</v>
          </cell>
          <cell r="L4268" t="str">
            <v>Yes</v>
          </cell>
        </row>
        <row r="4269">
          <cell r="G4269" t="str">
            <v>Carbliss</v>
          </cell>
          <cell r="H4269" t="str">
            <v>SN Food &amp; Beverage LLC</v>
          </cell>
          <cell r="K4269" t="str">
            <v>Other Sellable</v>
          </cell>
          <cell r="L4269" t="str">
            <v>Yes</v>
          </cell>
        </row>
        <row r="4270">
          <cell r="G4270" t="str">
            <v>Carbliss</v>
          </cell>
          <cell r="H4270" t="str">
            <v>SN Food &amp; Beverage LLC</v>
          </cell>
          <cell r="K4270" t="str">
            <v>Other Sellable</v>
          </cell>
          <cell r="L4270" t="str">
            <v>Yes</v>
          </cell>
        </row>
        <row r="4271">
          <cell r="G4271" t="str">
            <v>Carbliss</v>
          </cell>
          <cell r="H4271" t="str">
            <v>SN Food &amp; Beverage LLC</v>
          </cell>
          <cell r="K4271" t="str">
            <v>Other Sellable</v>
          </cell>
          <cell r="L4271" t="str">
            <v>Yes</v>
          </cell>
        </row>
        <row r="4272">
          <cell r="G4272" t="str">
            <v>Carbliss</v>
          </cell>
          <cell r="H4272" t="str">
            <v>SN Food &amp; Beverage LLC</v>
          </cell>
          <cell r="K4272" t="str">
            <v>Other Sellable</v>
          </cell>
          <cell r="L4272" t="str">
            <v>Yes</v>
          </cell>
        </row>
        <row r="4273">
          <cell r="G4273" t="str">
            <v>Carbliss</v>
          </cell>
          <cell r="H4273" t="str">
            <v>SN Food &amp; Beverage LLC</v>
          </cell>
          <cell r="K4273" t="str">
            <v>Other Sellable</v>
          </cell>
          <cell r="L4273" t="str">
            <v>Yes</v>
          </cell>
        </row>
        <row r="4274">
          <cell r="G4274" t="str">
            <v>Carbliss</v>
          </cell>
          <cell r="H4274" t="str">
            <v>SN Food &amp; Beverage LLC</v>
          </cell>
          <cell r="K4274" t="str">
            <v>Other Sellable</v>
          </cell>
          <cell r="L4274" t="str">
            <v>Yes</v>
          </cell>
        </row>
        <row r="4275">
          <cell r="G4275" t="str">
            <v>Carbliss</v>
          </cell>
          <cell r="H4275" t="str">
            <v>SN Food &amp; Beverage LLC</v>
          </cell>
          <cell r="K4275" t="str">
            <v>Other Sellable</v>
          </cell>
          <cell r="L4275" t="str">
            <v>Yes</v>
          </cell>
        </row>
        <row r="4276">
          <cell r="G4276" t="str">
            <v>Carbliss</v>
          </cell>
          <cell r="H4276" t="str">
            <v>SN Food &amp; Beverage LLC</v>
          </cell>
          <cell r="K4276" t="str">
            <v>Other Sellable</v>
          </cell>
          <cell r="L4276" t="str">
            <v>Yes</v>
          </cell>
        </row>
        <row r="4277">
          <cell r="G4277" t="str">
            <v>Carbliss</v>
          </cell>
          <cell r="H4277" t="str">
            <v>SN Food &amp; Beverage LLC</v>
          </cell>
          <cell r="K4277" t="str">
            <v>Other Sellable</v>
          </cell>
          <cell r="L4277" t="str">
            <v>Yes</v>
          </cell>
        </row>
        <row r="4278">
          <cell r="G4278" t="str">
            <v>Maru-Hi</v>
          </cell>
          <cell r="H4278" t="str">
            <v>Suntory</v>
          </cell>
          <cell r="K4278" t="str">
            <v>Other Sellable</v>
          </cell>
          <cell r="L4278" t="str">
            <v>Yes</v>
          </cell>
        </row>
        <row r="4279">
          <cell r="G4279" t="str">
            <v>Maru-Hi</v>
          </cell>
          <cell r="H4279" t="str">
            <v>Suntory</v>
          </cell>
          <cell r="K4279" t="str">
            <v>Other Sellable</v>
          </cell>
          <cell r="L4279" t="str">
            <v>Yes</v>
          </cell>
        </row>
        <row r="4280">
          <cell r="G4280" t="str">
            <v>Maru-Hi</v>
          </cell>
          <cell r="H4280" t="str">
            <v>Suntory</v>
          </cell>
          <cell r="K4280" t="str">
            <v>Other Sellable</v>
          </cell>
          <cell r="L4280" t="str">
            <v>Yes</v>
          </cell>
        </row>
        <row r="4281">
          <cell r="G4281" t="str">
            <v>Maru-Hi</v>
          </cell>
          <cell r="H4281" t="str">
            <v>Suntory</v>
          </cell>
          <cell r="K4281" t="str">
            <v>Other Sellable</v>
          </cell>
          <cell r="L4281" t="str">
            <v>Yes</v>
          </cell>
        </row>
        <row r="4282">
          <cell r="G4282" t="str">
            <v>Maru-Hi</v>
          </cell>
          <cell r="H4282" t="str">
            <v>Suntory</v>
          </cell>
          <cell r="K4282" t="str">
            <v>Other Sellable</v>
          </cell>
          <cell r="L4282" t="str">
            <v>Yes</v>
          </cell>
        </row>
        <row r="4283">
          <cell r="G4283" t="str">
            <v>Southern Tier</v>
          </cell>
          <cell r="H4283" t="str">
            <v>Southern Tier Brewing Company</v>
          </cell>
          <cell r="K4283" t="str">
            <v>Package</v>
          </cell>
          <cell r="L4283" t="str">
            <v>No</v>
          </cell>
        </row>
        <row r="4284">
          <cell r="G4284" t="str">
            <v>Southern Tier</v>
          </cell>
          <cell r="H4284" t="str">
            <v>Southern Tier Brewing Company</v>
          </cell>
          <cell r="K4284" t="str">
            <v>Package</v>
          </cell>
          <cell r="L4284" t="str">
            <v>No</v>
          </cell>
        </row>
        <row r="4285">
          <cell r="G4285" t="str">
            <v>Great Lakes</v>
          </cell>
          <cell r="H4285" t="str">
            <v>Great Lakes</v>
          </cell>
          <cell r="K4285" t="str">
            <v>Package</v>
          </cell>
          <cell r="L4285" t="str">
            <v>Yes</v>
          </cell>
        </row>
        <row r="4286">
          <cell r="G4286" t="str">
            <v>Flying Fish</v>
          </cell>
          <cell r="H4286" t="str">
            <v>Flying Fish</v>
          </cell>
          <cell r="K4286" t="str">
            <v>Package</v>
          </cell>
          <cell r="L4286" t="str">
            <v>No</v>
          </cell>
        </row>
        <row r="4287">
          <cell r="G4287" t="str">
            <v>Shipyard</v>
          </cell>
          <cell r="H4287" t="str">
            <v>Total Beverage Solutions</v>
          </cell>
          <cell r="K4287" t="str">
            <v>Package</v>
          </cell>
          <cell r="L4287" t="str">
            <v>Yes</v>
          </cell>
        </row>
        <row r="4288">
          <cell r="G4288" t="str">
            <v>New Belgium Brewing Company</v>
          </cell>
          <cell r="H4288" t="str">
            <v>New Belgium Brewing Company</v>
          </cell>
          <cell r="K4288" t="str">
            <v>Package</v>
          </cell>
          <cell r="L4288" t="str">
            <v>No</v>
          </cell>
        </row>
        <row r="4289">
          <cell r="G4289" t="str">
            <v>New Belgium Brewing Company</v>
          </cell>
          <cell r="H4289" t="str">
            <v>New Belgium Brewing Company</v>
          </cell>
          <cell r="K4289" t="str">
            <v>Package</v>
          </cell>
          <cell r="L4289" t="str">
            <v>Yes</v>
          </cell>
        </row>
        <row r="4290">
          <cell r="G4290" t="str">
            <v>New Belgium Brewing Company</v>
          </cell>
          <cell r="H4290" t="str">
            <v>New Belgium Brewing Company</v>
          </cell>
          <cell r="K4290" t="str">
            <v>Package</v>
          </cell>
          <cell r="L4290" t="str">
            <v>Yes</v>
          </cell>
        </row>
        <row r="4291">
          <cell r="G4291" t="str">
            <v>Pabst Blue Ribbon</v>
          </cell>
          <cell r="H4291" t="str">
            <v>Pabst Brewing Company</v>
          </cell>
          <cell r="K4291" t="str">
            <v>Package</v>
          </cell>
          <cell r="L4291" t="str">
            <v>No</v>
          </cell>
        </row>
        <row r="4292">
          <cell r="G4292" t="str">
            <v>Pabst Blue Ribbon</v>
          </cell>
          <cell r="H4292" t="str">
            <v>Pabst Brewing Company</v>
          </cell>
          <cell r="K4292" t="str">
            <v>Package</v>
          </cell>
          <cell r="L4292" t="str">
            <v>No</v>
          </cell>
        </row>
        <row r="4293">
          <cell r="G4293" t="str">
            <v>Saranac</v>
          </cell>
          <cell r="H4293" t="str">
            <v>FX Matt</v>
          </cell>
          <cell r="K4293" t="str">
            <v>Draft</v>
          </cell>
          <cell r="L4293" t="str">
            <v>No</v>
          </cell>
        </row>
        <row r="4294">
          <cell r="G4294" t="str">
            <v>Saranac</v>
          </cell>
          <cell r="H4294" t="str">
            <v>FX Matt</v>
          </cell>
          <cell r="K4294" t="str">
            <v>Draft</v>
          </cell>
          <cell r="L4294" t="str">
            <v>No</v>
          </cell>
        </row>
        <row r="4295">
          <cell r="G4295" t="str">
            <v>Saranac</v>
          </cell>
          <cell r="H4295" t="str">
            <v>FX Matt</v>
          </cell>
          <cell r="K4295" t="str">
            <v>Package</v>
          </cell>
          <cell r="L4295" t="str">
            <v>No</v>
          </cell>
        </row>
        <row r="4296">
          <cell r="G4296" t="str">
            <v>Saranac</v>
          </cell>
          <cell r="H4296" t="str">
            <v>FX Matt</v>
          </cell>
          <cell r="K4296" t="str">
            <v>Package</v>
          </cell>
          <cell r="L4296" t="str">
            <v>No</v>
          </cell>
        </row>
        <row r="4297">
          <cell r="G4297" t="str">
            <v>Saranac</v>
          </cell>
          <cell r="H4297" t="str">
            <v>FX Matt</v>
          </cell>
          <cell r="K4297" t="str">
            <v>Package</v>
          </cell>
          <cell r="L4297" t="str">
            <v>No</v>
          </cell>
        </row>
        <row r="4298">
          <cell r="G4298" t="str">
            <v>Saranac</v>
          </cell>
          <cell r="H4298" t="str">
            <v>FX Matt</v>
          </cell>
          <cell r="K4298" t="str">
            <v>Package</v>
          </cell>
          <cell r="L4298" t="str">
            <v>No</v>
          </cell>
        </row>
        <row r="4299">
          <cell r="G4299" t="str">
            <v>Saranac</v>
          </cell>
          <cell r="H4299" t="str">
            <v>FX Matt</v>
          </cell>
          <cell r="K4299" t="str">
            <v>Package</v>
          </cell>
          <cell r="L4299" t="str">
            <v>No</v>
          </cell>
        </row>
        <row r="4300">
          <cell r="G4300" t="str">
            <v>Saranac</v>
          </cell>
          <cell r="H4300" t="str">
            <v>FX Matt</v>
          </cell>
          <cell r="K4300" t="str">
            <v>Package</v>
          </cell>
          <cell r="L4300" t="str">
            <v>No</v>
          </cell>
        </row>
        <row r="4301">
          <cell r="G4301" t="str">
            <v>Saranac</v>
          </cell>
          <cell r="H4301" t="str">
            <v>FX Matt</v>
          </cell>
          <cell r="K4301" t="str">
            <v>Package</v>
          </cell>
          <cell r="L4301" t="str">
            <v>No</v>
          </cell>
        </row>
        <row r="4302">
          <cell r="G4302" t="str">
            <v>Saranac</v>
          </cell>
          <cell r="H4302" t="str">
            <v>FX Matt</v>
          </cell>
          <cell r="K4302" t="str">
            <v>Package</v>
          </cell>
          <cell r="L4302" t="str">
            <v>No</v>
          </cell>
        </row>
        <row r="4303">
          <cell r="G4303" t="str">
            <v>Saranac</v>
          </cell>
          <cell r="H4303" t="str">
            <v>FX Matt</v>
          </cell>
          <cell r="K4303" t="str">
            <v>Draft</v>
          </cell>
          <cell r="L4303" t="str">
            <v>No</v>
          </cell>
        </row>
        <row r="4304">
          <cell r="G4304" t="str">
            <v>Saranac</v>
          </cell>
          <cell r="H4304" t="str">
            <v>FX Matt</v>
          </cell>
          <cell r="K4304" t="str">
            <v>Package</v>
          </cell>
          <cell r="L4304" t="str">
            <v>No</v>
          </cell>
        </row>
        <row r="4305">
          <cell r="G4305" t="str">
            <v>Evil Genius</v>
          </cell>
          <cell r="H4305" t="str">
            <v>Evil Genius</v>
          </cell>
          <cell r="K4305" t="str">
            <v>Package</v>
          </cell>
          <cell r="L4305" t="str">
            <v>No</v>
          </cell>
        </row>
        <row r="4306">
          <cell r="G4306" t="str">
            <v>White Claw</v>
          </cell>
          <cell r="H4306" t="str">
            <v>Mark Anthony</v>
          </cell>
          <cell r="K4306" t="str">
            <v>Package</v>
          </cell>
          <cell r="L4306" t="str">
            <v>No</v>
          </cell>
        </row>
        <row r="4307">
          <cell r="G4307" t="str">
            <v>White Claw</v>
          </cell>
          <cell r="H4307" t="str">
            <v>Mark Anthony</v>
          </cell>
          <cell r="K4307" t="str">
            <v>Package</v>
          </cell>
          <cell r="L4307" t="str">
            <v>Yes</v>
          </cell>
        </row>
        <row r="4308">
          <cell r="G4308" t="str">
            <v>White Claw</v>
          </cell>
          <cell r="H4308" t="str">
            <v>Mark Anthony</v>
          </cell>
          <cell r="K4308" t="str">
            <v>Package</v>
          </cell>
          <cell r="L4308" t="str">
            <v>Yes</v>
          </cell>
        </row>
        <row r="4309">
          <cell r="G4309" t="str">
            <v>White Claw</v>
          </cell>
          <cell r="H4309" t="str">
            <v>Mark Anthony</v>
          </cell>
          <cell r="K4309" t="str">
            <v>Package</v>
          </cell>
          <cell r="L4309" t="str">
            <v>Yes</v>
          </cell>
        </row>
        <row r="4310">
          <cell r="G4310" t="str">
            <v>White Claw</v>
          </cell>
          <cell r="H4310" t="str">
            <v>Mark Anthony</v>
          </cell>
          <cell r="K4310" t="str">
            <v>Package</v>
          </cell>
          <cell r="L4310" t="str">
            <v>Yes</v>
          </cell>
        </row>
        <row r="4311">
          <cell r="G4311" t="str">
            <v>White Claw</v>
          </cell>
          <cell r="H4311" t="str">
            <v>Mark Anthony</v>
          </cell>
          <cell r="K4311" t="str">
            <v>Package</v>
          </cell>
          <cell r="L4311" t="str">
            <v>Yes</v>
          </cell>
        </row>
        <row r="4312">
          <cell r="G4312" t="str">
            <v>White Claw</v>
          </cell>
          <cell r="H4312" t="str">
            <v>Mark Anthony</v>
          </cell>
          <cell r="K4312" t="str">
            <v>Package</v>
          </cell>
          <cell r="L4312" t="str">
            <v>Yes</v>
          </cell>
        </row>
        <row r="4313">
          <cell r="G4313" t="str">
            <v>White Claw</v>
          </cell>
          <cell r="H4313" t="str">
            <v>Mark Anthony</v>
          </cell>
          <cell r="K4313" t="str">
            <v>Package</v>
          </cell>
          <cell r="L4313" t="str">
            <v>Yes</v>
          </cell>
        </row>
        <row r="4314">
          <cell r="G4314" t="str">
            <v>White Claw</v>
          </cell>
          <cell r="H4314" t="str">
            <v>Mark Anthony</v>
          </cell>
          <cell r="K4314" t="str">
            <v>Package</v>
          </cell>
          <cell r="L4314" t="str">
            <v>Yes</v>
          </cell>
        </row>
        <row r="4315">
          <cell r="G4315" t="str">
            <v>White Claw</v>
          </cell>
          <cell r="H4315" t="str">
            <v>Mark Anthony</v>
          </cell>
          <cell r="K4315" t="str">
            <v>Package</v>
          </cell>
          <cell r="L4315" t="str">
            <v>Yes</v>
          </cell>
        </row>
        <row r="4316">
          <cell r="G4316" t="str">
            <v>White Claw</v>
          </cell>
          <cell r="H4316" t="str">
            <v>Mark Anthony</v>
          </cell>
          <cell r="K4316" t="str">
            <v>Package</v>
          </cell>
          <cell r="L4316" t="str">
            <v>Yes</v>
          </cell>
        </row>
        <row r="4317">
          <cell r="G4317" t="str">
            <v>White Claw</v>
          </cell>
          <cell r="H4317" t="str">
            <v>Mark Anthony</v>
          </cell>
          <cell r="K4317" t="str">
            <v>Package</v>
          </cell>
          <cell r="L4317" t="str">
            <v>Yes</v>
          </cell>
        </row>
        <row r="4318">
          <cell r="G4318" t="str">
            <v>White Claw</v>
          </cell>
          <cell r="H4318" t="str">
            <v>Mark Anthony</v>
          </cell>
          <cell r="K4318" t="str">
            <v>Package</v>
          </cell>
          <cell r="L4318" t="str">
            <v>Yes</v>
          </cell>
        </row>
        <row r="4319">
          <cell r="G4319" t="str">
            <v>White Claw</v>
          </cell>
          <cell r="H4319" t="str">
            <v>Mark Anthony</v>
          </cell>
          <cell r="K4319" t="str">
            <v>Package</v>
          </cell>
          <cell r="L4319" t="str">
            <v>Yes</v>
          </cell>
        </row>
        <row r="4320">
          <cell r="G4320" t="str">
            <v>White Claw</v>
          </cell>
          <cell r="H4320" t="str">
            <v>Mark Anthony</v>
          </cell>
          <cell r="K4320" t="str">
            <v>Package</v>
          </cell>
          <cell r="L4320" t="str">
            <v>Yes</v>
          </cell>
        </row>
        <row r="4321">
          <cell r="G4321" t="str">
            <v>White Claw</v>
          </cell>
          <cell r="H4321" t="str">
            <v>Mark Anthony</v>
          </cell>
          <cell r="K4321" t="str">
            <v>Package</v>
          </cell>
          <cell r="L4321" t="str">
            <v>Yes</v>
          </cell>
        </row>
        <row r="4322">
          <cell r="G4322" t="str">
            <v>White Claw</v>
          </cell>
          <cell r="H4322" t="str">
            <v>Mark Anthony</v>
          </cell>
          <cell r="K4322" t="str">
            <v>Package</v>
          </cell>
          <cell r="L4322" t="str">
            <v>Yes</v>
          </cell>
        </row>
        <row r="4323">
          <cell r="G4323" t="str">
            <v>White Claw</v>
          </cell>
          <cell r="H4323" t="str">
            <v>Mark Anthony</v>
          </cell>
          <cell r="K4323" t="str">
            <v>Package</v>
          </cell>
          <cell r="L4323" t="str">
            <v>Yes</v>
          </cell>
        </row>
        <row r="4324">
          <cell r="G4324" t="str">
            <v>White Claw</v>
          </cell>
          <cell r="H4324" t="str">
            <v>Mark Anthony</v>
          </cell>
          <cell r="K4324" t="str">
            <v>Package</v>
          </cell>
          <cell r="L4324" t="str">
            <v>Yes</v>
          </cell>
        </row>
        <row r="4325">
          <cell r="G4325" t="str">
            <v>White Claw</v>
          </cell>
          <cell r="H4325" t="str">
            <v>Mark Anthony</v>
          </cell>
          <cell r="K4325" t="str">
            <v>Package</v>
          </cell>
          <cell r="L4325" t="str">
            <v>Yes</v>
          </cell>
        </row>
        <row r="4326">
          <cell r="G4326" t="str">
            <v>White Claw</v>
          </cell>
          <cell r="H4326" t="str">
            <v>Mark Anthony</v>
          </cell>
          <cell r="K4326" t="str">
            <v>Package</v>
          </cell>
          <cell r="L4326" t="str">
            <v>Yes</v>
          </cell>
        </row>
        <row r="4327">
          <cell r="G4327" t="str">
            <v>White Claw</v>
          </cell>
          <cell r="H4327" t="str">
            <v>Mark Anthony</v>
          </cell>
          <cell r="K4327" t="str">
            <v>Package</v>
          </cell>
          <cell r="L4327" t="str">
            <v>No</v>
          </cell>
        </row>
        <row r="4328">
          <cell r="G4328" t="str">
            <v>White Claw</v>
          </cell>
          <cell r="H4328" t="str">
            <v>Mark Anthony</v>
          </cell>
          <cell r="K4328" t="str">
            <v>Package</v>
          </cell>
          <cell r="L4328" t="str">
            <v>Yes</v>
          </cell>
        </row>
        <row r="4329">
          <cell r="G4329" t="str">
            <v>White Claw</v>
          </cell>
          <cell r="H4329" t="str">
            <v>Mark Anthony</v>
          </cell>
          <cell r="K4329" t="str">
            <v>Package</v>
          </cell>
          <cell r="L4329" t="str">
            <v>No</v>
          </cell>
        </row>
        <row r="4330">
          <cell r="G4330" t="str">
            <v>White Claw</v>
          </cell>
          <cell r="H4330" t="str">
            <v>Mark Anthony</v>
          </cell>
          <cell r="K4330" t="str">
            <v>Package</v>
          </cell>
          <cell r="L4330" t="str">
            <v>Yes</v>
          </cell>
        </row>
        <row r="4331">
          <cell r="G4331" t="str">
            <v>White Claw</v>
          </cell>
          <cell r="H4331" t="str">
            <v>Mark Anthony</v>
          </cell>
          <cell r="K4331" t="str">
            <v>Package</v>
          </cell>
          <cell r="L4331" t="str">
            <v>Yes</v>
          </cell>
        </row>
        <row r="4332">
          <cell r="G4332" t="str">
            <v>White Claw</v>
          </cell>
          <cell r="H4332" t="str">
            <v>Mark Anthony</v>
          </cell>
          <cell r="K4332" t="str">
            <v>Package</v>
          </cell>
          <cell r="L4332" t="str">
            <v>Yes</v>
          </cell>
        </row>
        <row r="4333">
          <cell r="G4333" t="str">
            <v>White Claw</v>
          </cell>
          <cell r="H4333" t="str">
            <v>Mark Anthony</v>
          </cell>
          <cell r="K4333" t="str">
            <v>Package</v>
          </cell>
          <cell r="L4333" t="str">
            <v>Yes</v>
          </cell>
        </row>
        <row r="4334">
          <cell r="G4334" t="str">
            <v>White Claw</v>
          </cell>
          <cell r="H4334" t="str">
            <v>Mark Anthony</v>
          </cell>
          <cell r="K4334" t="str">
            <v>Package</v>
          </cell>
          <cell r="L4334" t="str">
            <v>Yes</v>
          </cell>
        </row>
        <row r="4335">
          <cell r="G4335" t="str">
            <v>White Claw</v>
          </cell>
          <cell r="H4335" t="str">
            <v>Mark Anthony</v>
          </cell>
          <cell r="K4335" t="str">
            <v>Package</v>
          </cell>
          <cell r="L4335" t="str">
            <v>Yes</v>
          </cell>
        </row>
        <row r="4336">
          <cell r="G4336" t="str">
            <v>White Claw</v>
          </cell>
          <cell r="H4336" t="str">
            <v>Mark Anthony</v>
          </cell>
          <cell r="K4336" t="str">
            <v>Package</v>
          </cell>
          <cell r="L4336" t="str">
            <v>Yes</v>
          </cell>
        </row>
        <row r="4337">
          <cell r="G4337" t="str">
            <v>White Claw</v>
          </cell>
          <cell r="H4337" t="str">
            <v>Mark Anthony</v>
          </cell>
          <cell r="K4337" t="str">
            <v>Package</v>
          </cell>
          <cell r="L4337" t="str">
            <v>Yes</v>
          </cell>
        </row>
        <row r="4338">
          <cell r="G4338" t="str">
            <v>White Claw</v>
          </cell>
          <cell r="H4338" t="str">
            <v>Mark Anthony</v>
          </cell>
          <cell r="K4338" t="str">
            <v>Package</v>
          </cell>
          <cell r="L4338" t="str">
            <v>Yes</v>
          </cell>
        </row>
        <row r="4339">
          <cell r="G4339" t="str">
            <v>White Claw</v>
          </cell>
          <cell r="H4339" t="str">
            <v>Mark Anthony</v>
          </cell>
          <cell r="K4339" t="str">
            <v>Package</v>
          </cell>
          <cell r="L4339" t="str">
            <v>Yes</v>
          </cell>
        </row>
        <row r="4340">
          <cell r="G4340" t="str">
            <v>White Claw</v>
          </cell>
          <cell r="H4340" t="str">
            <v>Mark Anthony</v>
          </cell>
          <cell r="K4340" t="str">
            <v>Package</v>
          </cell>
          <cell r="L4340" t="str">
            <v>Yes</v>
          </cell>
        </row>
        <row r="4341">
          <cell r="G4341" t="str">
            <v>White Claw</v>
          </cell>
          <cell r="H4341" t="str">
            <v>Mark Anthony</v>
          </cell>
          <cell r="K4341" t="str">
            <v>Package</v>
          </cell>
          <cell r="L4341" t="str">
            <v>Yes</v>
          </cell>
        </row>
        <row r="4342">
          <cell r="G4342" t="str">
            <v>White Claw</v>
          </cell>
          <cell r="H4342" t="str">
            <v>Mark Anthony</v>
          </cell>
          <cell r="K4342" t="str">
            <v>Package</v>
          </cell>
          <cell r="L4342" t="str">
            <v>Yes</v>
          </cell>
        </row>
        <row r="4343">
          <cell r="G4343" t="str">
            <v>White Claw</v>
          </cell>
          <cell r="H4343" t="str">
            <v>Mark Anthony</v>
          </cell>
          <cell r="K4343" t="str">
            <v>Package</v>
          </cell>
          <cell r="L4343" t="str">
            <v>Yes</v>
          </cell>
        </row>
        <row r="4344">
          <cell r="G4344" t="str">
            <v>White Claw</v>
          </cell>
          <cell r="H4344" t="str">
            <v>Mark Anthony</v>
          </cell>
          <cell r="K4344" t="str">
            <v>Package</v>
          </cell>
          <cell r="L4344" t="str">
            <v>Yes</v>
          </cell>
        </row>
        <row r="4345">
          <cell r="G4345" t="str">
            <v>White Claw</v>
          </cell>
          <cell r="H4345" t="str">
            <v>Mark Anthony</v>
          </cell>
          <cell r="K4345" t="str">
            <v>Package</v>
          </cell>
          <cell r="L4345" t="str">
            <v>Yes</v>
          </cell>
        </row>
        <row r="4346">
          <cell r="G4346" t="str">
            <v>White Claw</v>
          </cell>
          <cell r="H4346" t="str">
            <v>Mark Anthony</v>
          </cell>
          <cell r="K4346" t="str">
            <v>Package</v>
          </cell>
          <cell r="L4346" t="str">
            <v>Yes</v>
          </cell>
        </row>
        <row r="4347">
          <cell r="G4347" t="str">
            <v>White Claw</v>
          </cell>
          <cell r="H4347" t="str">
            <v>Mark Anthony</v>
          </cell>
          <cell r="K4347" t="str">
            <v>Package</v>
          </cell>
          <cell r="L4347" t="str">
            <v>Yes</v>
          </cell>
        </row>
        <row r="4348">
          <cell r="G4348" t="str">
            <v>White Claw</v>
          </cell>
          <cell r="H4348" t="str">
            <v>Mark Anthony</v>
          </cell>
          <cell r="K4348" t="str">
            <v>Package</v>
          </cell>
          <cell r="L4348" t="str">
            <v>Yes</v>
          </cell>
        </row>
        <row r="4349">
          <cell r="G4349" t="str">
            <v>Truly</v>
          </cell>
          <cell r="H4349" t="str">
            <v>Boston Beer Company</v>
          </cell>
          <cell r="K4349" t="str">
            <v>Package</v>
          </cell>
          <cell r="L4349" t="str">
            <v>Yes</v>
          </cell>
        </row>
        <row r="4350">
          <cell r="G4350" t="str">
            <v>Truly</v>
          </cell>
          <cell r="H4350" t="str">
            <v>Boston Beer Company</v>
          </cell>
          <cell r="K4350" t="str">
            <v>Package</v>
          </cell>
          <cell r="L4350" t="str">
            <v>Yes</v>
          </cell>
        </row>
        <row r="4351">
          <cell r="G4351" t="str">
            <v>Truly</v>
          </cell>
          <cell r="H4351" t="str">
            <v>Boston Beer Company</v>
          </cell>
          <cell r="K4351" t="str">
            <v>Package</v>
          </cell>
          <cell r="L4351" t="str">
            <v>Yes</v>
          </cell>
        </row>
        <row r="4352">
          <cell r="G4352" t="str">
            <v>Truly</v>
          </cell>
          <cell r="H4352" t="str">
            <v>Boston Beer Company</v>
          </cell>
          <cell r="K4352" t="str">
            <v>Package</v>
          </cell>
          <cell r="L4352" t="str">
            <v>Yes</v>
          </cell>
        </row>
        <row r="4353">
          <cell r="G4353" t="str">
            <v>Truly</v>
          </cell>
          <cell r="H4353" t="str">
            <v>Boston Beer Company</v>
          </cell>
          <cell r="K4353" t="str">
            <v>Package</v>
          </cell>
          <cell r="L4353" t="str">
            <v>Yes</v>
          </cell>
        </row>
        <row r="4354">
          <cell r="G4354" t="str">
            <v>Truly</v>
          </cell>
          <cell r="H4354" t="str">
            <v>Boston Beer Company</v>
          </cell>
          <cell r="K4354" t="str">
            <v>Package</v>
          </cell>
          <cell r="L4354" t="str">
            <v>Yes</v>
          </cell>
        </row>
        <row r="4355">
          <cell r="G4355" t="str">
            <v>Truly</v>
          </cell>
          <cell r="H4355" t="str">
            <v>Boston Beer Company</v>
          </cell>
          <cell r="K4355" t="str">
            <v>Package</v>
          </cell>
          <cell r="L4355" t="str">
            <v>Yes</v>
          </cell>
        </row>
        <row r="4356">
          <cell r="G4356" t="str">
            <v>Truly</v>
          </cell>
          <cell r="H4356" t="str">
            <v>Boston Beer Company</v>
          </cell>
          <cell r="K4356" t="str">
            <v>Package</v>
          </cell>
          <cell r="L4356" t="str">
            <v>Yes</v>
          </cell>
        </row>
        <row r="4357">
          <cell r="G4357" t="str">
            <v>Truly</v>
          </cell>
          <cell r="H4357" t="str">
            <v>Boston Beer Company</v>
          </cell>
          <cell r="K4357" t="str">
            <v>Package</v>
          </cell>
          <cell r="L4357" t="str">
            <v>Yes</v>
          </cell>
        </row>
        <row r="4358">
          <cell r="G4358" t="str">
            <v>Truly</v>
          </cell>
          <cell r="H4358" t="str">
            <v>Boston Beer Company</v>
          </cell>
          <cell r="K4358" t="str">
            <v>Package</v>
          </cell>
          <cell r="L4358" t="str">
            <v>Yes</v>
          </cell>
        </row>
        <row r="4359">
          <cell r="G4359" t="str">
            <v>Truly</v>
          </cell>
          <cell r="H4359" t="str">
            <v>Boston Beer Company</v>
          </cell>
          <cell r="K4359" t="str">
            <v>Package</v>
          </cell>
          <cell r="L4359" t="str">
            <v>Yes</v>
          </cell>
        </row>
        <row r="4360">
          <cell r="G4360" t="str">
            <v>Truly</v>
          </cell>
          <cell r="H4360" t="str">
            <v>Boston Beer Company</v>
          </cell>
          <cell r="K4360" t="str">
            <v>Package</v>
          </cell>
          <cell r="L4360" t="str">
            <v>Yes</v>
          </cell>
        </row>
        <row r="4361">
          <cell r="G4361" t="str">
            <v>Truly</v>
          </cell>
          <cell r="H4361" t="str">
            <v>Boston Beer Company</v>
          </cell>
          <cell r="K4361" t="str">
            <v>Package</v>
          </cell>
          <cell r="L4361" t="str">
            <v>Yes</v>
          </cell>
        </row>
        <row r="4362">
          <cell r="G4362" t="str">
            <v>Truly</v>
          </cell>
          <cell r="H4362" t="str">
            <v>Boston Beer Company</v>
          </cell>
          <cell r="K4362" t="str">
            <v>Package</v>
          </cell>
          <cell r="L4362" t="str">
            <v>Yes</v>
          </cell>
        </row>
        <row r="4363">
          <cell r="G4363" t="str">
            <v>Truly</v>
          </cell>
          <cell r="H4363" t="str">
            <v>Boston Beer Company</v>
          </cell>
          <cell r="K4363" t="str">
            <v>Package</v>
          </cell>
          <cell r="L4363" t="str">
            <v>Yes</v>
          </cell>
        </row>
        <row r="4364">
          <cell r="G4364" t="str">
            <v>Truly</v>
          </cell>
          <cell r="H4364" t="str">
            <v>Boston Beer Company</v>
          </cell>
          <cell r="K4364" t="str">
            <v>Package</v>
          </cell>
          <cell r="L4364" t="str">
            <v>Yes</v>
          </cell>
        </row>
        <row r="4365">
          <cell r="G4365" t="str">
            <v>Truly</v>
          </cell>
          <cell r="H4365" t="str">
            <v>Boston Beer Company</v>
          </cell>
          <cell r="K4365" t="str">
            <v>Package</v>
          </cell>
          <cell r="L4365" t="str">
            <v>Yes</v>
          </cell>
        </row>
        <row r="4366">
          <cell r="G4366" t="str">
            <v>Truly</v>
          </cell>
          <cell r="H4366" t="str">
            <v>Boston Beer Company</v>
          </cell>
          <cell r="K4366" t="str">
            <v>Package</v>
          </cell>
          <cell r="L4366" t="str">
            <v>Yes</v>
          </cell>
        </row>
        <row r="4367">
          <cell r="G4367" t="str">
            <v>Truly</v>
          </cell>
          <cell r="H4367" t="str">
            <v>Boston Beer Company</v>
          </cell>
          <cell r="K4367" t="str">
            <v>Draft</v>
          </cell>
          <cell r="L4367" t="str">
            <v>Yes</v>
          </cell>
        </row>
        <row r="4368">
          <cell r="G4368" t="str">
            <v>Truly</v>
          </cell>
          <cell r="H4368" t="str">
            <v>Boston Beer Company</v>
          </cell>
          <cell r="K4368" t="str">
            <v>Draft</v>
          </cell>
          <cell r="L4368" t="str">
            <v>Yes</v>
          </cell>
        </row>
        <row r="4369">
          <cell r="G4369" t="str">
            <v>Truly</v>
          </cell>
          <cell r="H4369" t="str">
            <v>Boston Beer Company</v>
          </cell>
          <cell r="K4369" t="str">
            <v>Package</v>
          </cell>
          <cell r="L4369" t="str">
            <v>Yes</v>
          </cell>
        </row>
        <row r="4370">
          <cell r="G4370" t="str">
            <v>Truly</v>
          </cell>
          <cell r="H4370" t="str">
            <v>Boston Beer Company</v>
          </cell>
          <cell r="K4370" t="str">
            <v>Package</v>
          </cell>
          <cell r="L4370" t="str">
            <v>Yes</v>
          </cell>
        </row>
        <row r="4371">
          <cell r="G4371" t="str">
            <v>Truly</v>
          </cell>
          <cell r="H4371" t="str">
            <v>Boston Beer Company</v>
          </cell>
          <cell r="K4371" t="str">
            <v>Package</v>
          </cell>
          <cell r="L4371" t="str">
            <v>Yes</v>
          </cell>
        </row>
        <row r="4372">
          <cell r="G4372" t="str">
            <v>Truly</v>
          </cell>
          <cell r="H4372" t="str">
            <v>Boston Beer Company</v>
          </cell>
          <cell r="K4372" t="str">
            <v>Package</v>
          </cell>
          <cell r="L4372" t="str">
            <v>Yes</v>
          </cell>
        </row>
        <row r="4373">
          <cell r="G4373" t="str">
            <v>Truly</v>
          </cell>
          <cell r="H4373" t="str">
            <v>Boston Beer Company</v>
          </cell>
          <cell r="K4373" t="str">
            <v>Package</v>
          </cell>
          <cell r="L4373" t="str">
            <v>Yes</v>
          </cell>
        </row>
        <row r="4374">
          <cell r="G4374" t="str">
            <v>Truly</v>
          </cell>
          <cell r="H4374" t="str">
            <v>Boston Beer Company</v>
          </cell>
          <cell r="K4374" t="str">
            <v>Package</v>
          </cell>
          <cell r="L4374" t="str">
            <v>Yes</v>
          </cell>
        </row>
        <row r="4375">
          <cell r="G4375" t="str">
            <v>Truly</v>
          </cell>
          <cell r="H4375" t="str">
            <v>Boston Beer Company</v>
          </cell>
          <cell r="K4375" t="str">
            <v>Package</v>
          </cell>
          <cell r="L4375" t="str">
            <v>Yes</v>
          </cell>
        </row>
        <row r="4376">
          <cell r="G4376" t="str">
            <v>Truly</v>
          </cell>
          <cell r="H4376" t="str">
            <v>Boston Beer Company</v>
          </cell>
          <cell r="K4376" t="str">
            <v>Package</v>
          </cell>
          <cell r="L4376" t="str">
            <v>Yes</v>
          </cell>
        </row>
        <row r="4377">
          <cell r="G4377" t="str">
            <v>Truly</v>
          </cell>
          <cell r="H4377" t="str">
            <v>Boston Beer Company</v>
          </cell>
          <cell r="K4377" t="str">
            <v>Package</v>
          </cell>
          <cell r="L4377" t="str">
            <v>Yes</v>
          </cell>
        </row>
        <row r="4378">
          <cell r="G4378" t="str">
            <v>Truly</v>
          </cell>
          <cell r="H4378" t="str">
            <v>Boston Beer Company</v>
          </cell>
          <cell r="K4378" t="str">
            <v>Package</v>
          </cell>
          <cell r="L4378" t="str">
            <v>Yes</v>
          </cell>
        </row>
        <row r="4379">
          <cell r="G4379" t="str">
            <v>Truly</v>
          </cell>
          <cell r="H4379" t="str">
            <v>Boston Beer Company</v>
          </cell>
          <cell r="K4379" t="str">
            <v>Package</v>
          </cell>
          <cell r="L4379" t="str">
            <v>Yes</v>
          </cell>
        </row>
        <row r="4380">
          <cell r="G4380" t="str">
            <v>Truly</v>
          </cell>
          <cell r="H4380" t="str">
            <v>Boston Beer Company</v>
          </cell>
          <cell r="K4380" t="str">
            <v>Package</v>
          </cell>
          <cell r="L4380" t="str">
            <v>Yes</v>
          </cell>
        </row>
        <row r="4381">
          <cell r="G4381" t="str">
            <v>Truly</v>
          </cell>
          <cell r="H4381" t="str">
            <v>Boston Beer Company</v>
          </cell>
          <cell r="K4381" t="str">
            <v>Package</v>
          </cell>
          <cell r="L4381" t="str">
            <v>Yes</v>
          </cell>
        </row>
        <row r="4382">
          <cell r="G4382" t="str">
            <v>Truly</v>
          </cell>
          <cell r="H4382" t="str">
            <v>Boston Beer Company</v>
          </cell>
          <cell r="K4382" t="str">
            <v>Package</v>
          </cell>
          <cell r="L4382" t="str">
            <v>Yes</v>
          </cell>
        </row>
        <row r="4383">
          <cell r="G4383" t="str">
            <v>Truly</v>
          </cell>
          <cell r="H4383" t="str">
            <v>Boston Beer Company</v>
          </cell>
          <cell r="K4383" t="str">
            <v>Package</v>
          </cell>
          <cell r="L4383" t="str">
            <v>Yes</v>
          </cell>
        </row>
        <row r="4384">
          <cell r="G4384" t="str">
            <v>Truly</v>
          </cell>
          <cell r="H4384" t="str">
            <v>Boston Beer Company</v>
          </cell>
          <cell r="K4384" t="str">
            <v>Package</v>
          </cell>
          <cell r="L4384" t="str">
            <v>Yes</v>
          </cell>
        </row>
        <row r="4385">
          <cell r="G4385" t="str">
            <v>Truly</v>
          </cell>
          <cell r="H4385" t="str">
            <v>Boston Beer Company</v>
          </cell>
          <cell r="K4385" t="str">
            <v>Package</v>
          </cell>
          <cell r="L4385" t="str">
            <v>Yes</v>
          </cell>
        </row>
        <row r="4386">
          <cell r="G4386" t="str">
            <v>Truly</v>
          </cell>
          <cell r="H4386" t="str">
            <v>Boston Beer Company</v>
          </cell>
          <cell r="K4386" t="str">
            <v>Package</v>
          </cell>
          <cell r="L4386" t="str">
            <v>Yes</v>
          </cell>
        </row>
        <row r="4387">
          <cell r="G4387" t="str">
            <v>Truly</v>
          </cell>
          <cell r="H4387" t="str">
            <v>Boston Beer Company</v>
          </cell>
          <cell r="K4387" t="str">
            <v>Package</v>
          </cell>
          <cell r="L4387" t="str">
            <v>Yes</v>
          </cell>
        </row>
        <row r="4388">
          <cell r="G4388" t="str">
            <v>Truly</v>
          </cell>
          <cell r="H4388" t="str">
            <v>Boston Beer Company</v>
          </cell>
          <cell r="K4388" t="str">
            <v>Package</v>
          </cell>
          <cell r="L4388" t="str">
            <v>No</v>
          </cell>
        </row>
        <row r="4389">
          <cell r="G4389" t="str">
            <v>Truly</v>
          </cell>
          <cell r="H4389" t="str">
            <v>Boston Beer Company</v>
          </cell>
          <cell r="K4389" t="str">
            <v>Package</v>
          </cell>
          <cell r="L4389" t="str">
            <v>Yes</v>
          </cell>
        </row>
        <row r="4390">
          <cell r="G4390" t="str">
            <v>Truly</v>
          </cell>
          <cell r="H4390" t="str">
            <v>Boston Beer Company</v>
          </cell>
          <cell r="K4390" t="str">
            <v>Package</v>
          </cell>
          <cell r="L4390" t="str">
            <v>Yes</v>
          </cell>
        </row>
        <row r="4391">
          <cell r="G4391" t="str">
            <v>Truly</v>
          </cell>
          <cell r="H4391" t="str">
            <v>Boston Beer Company</v>
          </cell>
          <cell r="K4391" t="str">
            <v>Package</v>
          </cell>
          <cell r="L4391" t="str">
            <v>Yes</v>
          </cell>
        </row>
        <row r="4392">
          <cell r="G4392" t="str">
            <v>Truly</v>
          </cell>
          <cell r="H4392" t="str">
            <v>Boston Beer Company</v>
          </cell>
          <cell r="K4392" t="str">
            <v>Package</v>
          </cell>
          <cell r="L4392" t="str">
            <v>Yes</v>
          </cell>
        </row>
        <row r="4393">
          <cell r="G4393" t="str">
            <v>Truly</v>
          </cell>
          <cell r="H4393" t="str">
            <v>Boston Beer Company</v>
          </cell>
          <cell r="K4393" t="str">
            <v>Package</v>
          </cell>
          <cell r="L4393" t="str">
            <v>No</v>
          </cell>
        </row>
        <row r="4394">
          <cell r="G4394" t="str">
            <v>Truly</v>
          </cell>
          <cell r="H4394" t="str">
            <v>Boston Beer Company</v>
          </cell>
          <cell r="K4394" t="str">
            <v>Package</v>
          </cell>
          <cell r="L4394" t="str">
            <v>Yes</v>
          </cell>
        </row>
        <row r="4395">
          <cell r="G4395" t="str">
            <v>Truly</v>
          </cell>
          <cell r="H4395" t="str">
            <v>Boston Beer Company</v>
          </cell>
          <cell r="K4395" t="str">
            <v>Package</v>
          </cell>
          <cell r="L4395" t="str">
            <v>Yes</v>
          </cell>
        </row>
        <row r="4396">
          <cell r="G4396" t="str">
            <v>Truly</v>
          </cell>
          <cell r="H4396" t="str">
            <v>Boston Beer Company</v>
          </cell>
          <cell r="K4396" t="str">
            <v>Package</v>
          </cell>
          <cell r="L4396" t="str">
            <v>Yes</v>
          </cell>
        </row>
        <row r="4397">
          <cell r="G4397" t="str">
            <v>Truly</v>
          </cell>
          <cell r="H4397" t="str">
            <v>Boston Beer Company</v>
          </cell>
          <cell r="K4397" t="str">
            <v>Package</v>
          </cell>
          <cell r="L4397" t="str">
            <v>Yes</v>
          </cell>
        </row>
        <row r="4398">
          <cell r="G4398" t="str">
            <v>Truly</v>
          </cell>
          <cell r="H4398" t="str">
            <v>Boston Beer Company</v>
          </cell>
          <cell r="K4398" t="str">
            <v>Package</v>
          </cell>
          <cell r="L4398" t="str">
            <v>Yes</v>
          </cell>
        </row>
        <row r="4399">
          <cell r="G4399" t="str">
            <v>Truly</v>
          </cell>
          <cell r="H4399" t="str">
            <v>Boston Beer Company</v>
          </cell>
          <cell r="K4399" t="str">
            <v>Package</v>
          </cell>
          <cell r="L4399" t="str">
            <v>Yes</v>
          </cell>
        </row>
        <row r="4400">
          <cell r="G4400" t="str">
            <v>Truly</v>
          </cell>
          <cell r="H4400" t="str">
            <v>Boston Beer Company</v>
          </cell>
          <cell r="K4400" t="str">
            <v>Package</v>
          </cell>
          <cell r="L4400" t="str">
            <v>Yes</v>
          </cell>
        </row>
        <row r="4401">
          <cell r="G4401" t="str">
            <v>Truly</v>
          </cell>
          <cell r="H4401" t="str">
            <v>Boston Beer Company</v>
          </cell>
          <cell r="K4401" t="str">
            <v>Package</v>
          </cell>
          <cell r="L4401" t="str">
            <v>Yes</v>
          </cell>
        </row>
        <row r="4402">
          <cell r="G4402" t="str">
            <v>Truly</v>
          </cell>
          <cell r="H4402" t="str">
            <v>Boston Beer Company</v>
          </cell>
          <cell r="K4402" t="str">
            <v>Package</v>
          </cell>
          <cell r="L4402" t="str">
            <v>Yes</v>
          </cell>
        </row>
        <row r="4403">
          <cell r="G4403" t="str">
            <v>Truly</v>
          </cell>
          <cell r="H4403" t="str">
            <v>Boston Beer Company</v>
          </cell>
          <cell r="K4403" t="str">
            <v>Package</v>
          </cell>
          <cell r="L4403" t="str">
            <v>Yes</v>
          </cell>
        </row>
        <row r="4404">
          <cell r="G4404" t="str">
            <v>White Claw</v>
          </cell>
          <cell r="H4404" t="str">
            <v>Mark Anthony</v>
          </cell>
          <cell r="K4404" t="str">
            <v>Package</v>
          </cell>
          <cell r="L4404" t="str">
            <v>Yes</v>
          </cell>
        </row>
        <row r="4405">
          <cell r="G4405" t="str">
            <v>White Claw</v>
          </cell>
          <cell r="H4405" t="str">
            <v>Mark Anthony</v>
          </cell>
          <cell r="K4405" t="str">
            <v>Package</v>
          </cell>
          <cell r="L4405" t="str">
            <v>Yes</v>
          </cell>
        </row>
        <row r="4406">
          <cell r="G4406" t="str">
            <v>White Claw</v>
          </cell>
          <cell r="H4406" t="str">
            <v>Mark Anthony</v>
          </cell>
          <cell r="K4406" t="str">
            <v>Package</v>
          </cell>
          <cell r="L4406" t="str">
            <v>Yes</v>
          </cell>
        </row>
        <row r="4407">
          <cell r="G4407" t="str">
            <v>Bold Rock</v>
          </cell>
          <cell r="H4407" t="str">
            <v>Bold Rock Hard Cider</v>
          </cell>
          <cell r="K4407" t="str">
            <v>Package</v>
          </cell>
          <cell r="L4407" t="str">
            <v>No</v>
          </cell>
        </row>
        <row r="4408">
          <cell r="G4408" t="str">
            <v>Bold Rock</v>
          </cell>
          <cell r="H4408" t="str">
            <v>Bold Rock Hard Cider</v>
          </cell>
          <cell r="K4408" t="str">
            <v>Package</v>
          </cell>
          <cell r="L4408" t="str">
            <v>No</v>
          </cell>
        </row>
        <row r="4409">
          <cell r="G4409" t="str">
            <v>Stewart's</v>
          </cell>
          <cell r="H4409" t="str">
            <v>Stewart's</v>
          </cell>
          <cell r="K4409" t="str">
            <v>Package</v>
          </cell>
          <cell r="L4409" t="str">
            <v>No</v>
          </cell>
        </row>
        <row r="4410">
          <cell r="G4410" t="str">
            <v>Stewart's</v>
          </cell>
          <cell r="H4410" t="str">
            <v>Stewart's</v>
          </cell>
          <cell r="K4410" t="str">
            <v>Package</v>
          </cell>
          <cell r="L4410" t="str">
            <v>No</v>
          </cell>
        </row>
        <row r="4411">
          <cell r="G4411" t="str">
            <v>Viva Tequila Seltzer</v>
          </cell>
          <cell r="H4411" t="str">
            <v>Viva Beverages Inc</v>
          </cell>
          <cell r="K4411" t="str">
            <v>Other Sellable</v>
          </cell>
          <cell r="L4411" t="str">
            <v>Yes</v>
          </cell>
        </row>
        <row r="4412">
          <cell r="G4412" t="str">
            <v>Southern Tier Distilling</v>
          </cell>
          <cell r="H4412" t="str">
            <v>Southern Tier Distilling Company</v>
          </cell>
          <cell r="K4412" t="str">
            <v>Other Sellable</v>
          </cell>
          <cell r="L4412" t="str">
            <v>No</v>
          </cell>
        </row>
        <row r="4413">
          <cell r="G4413" t="str">
            <v>Southern Tier Distilling</v>
          </cell>
          <cell r="H4413" t="str">
            <v>Southern Tier Distilling Company</v>
          </cell>
          <cell r="K4413" t="str">
            <v>Other Sellable</v>
          </cell>
          <cell r="L4413" t="str">
            <v>No</v>
          </cell>
        </row>
        <row r="4414">
          <cell r="G4414" t="str">
            <v>Southern Tier Distilling</v>
          </cell>
          <cell r="H4414" t="str">
            <v>Southern Tier Distilling Company</v>
          </cell>
          <cell r="K4414" t="str">
            <v>Other Sellable</v>
          </cell>
          <cell r="L4414" t="str">
            <v>No</v>
          </cell>
        </row>
        <row r="4415">
          <cell r="G4415" t="str">
            <v>Southern Tier Distilling</v>
          </cell>
          <cell r="H4415" t="str">
            <v>Southern Tier Distilling Company</v>
          </cell>
          <cell r="K4415" t="str">
            <v>Other Sellable</v>
          </cell>
          <cell r="L4415" t="str">
            <v>No</v>
          </cell>
        </row>
        <row r="4416">
          <cell r="G4416" t="str">
            <v>Southern Tier Distilling</v>
          </cell>
          <cell r="H4416" t="str">
            <v>Southern Tier Distilling Company</v>
          </cell>
          <cell r="K4416" t="str">
            <v>Other Sellable</v>
          </cell>
          <cell r="L4416" t="str">
            <v>No</v>
          </cell>
        </row>
        <row r="4417">
          <cell r="G4417" t="str">
            <v>Truly</v>
          </cell>
          <cell r="H4417" t="str">
            <v>Boston Beer Company</v>
          </cell>
          <cell r="K4417" t="str">
            <v>Other Sellable</v>
          </cell>
          <cell r="L4417" t="str">
            <v>No</v>
          </cell>
        </row>
        <row r="4418">
          <cell r="G4418" t="str">
            <v>Truly</v>
          </cell>
          <cell r="H4418" t="str">
            <v>Boston Beer Company</v>
          </cell>
          <cell r="K4418" t="str">
            <v>Other Sellable</v>
          </cell>
          <cell r="L4418" t="str">
            <v>Yes</v>
          </cell>
        </row>
        <row r="4419">
          <cell r="G4419" t="str">
            <v>Truly</v>
          </cell>
          <cell r="H4419" t="str">
            <v>Boston Beer Company</v>
          </cell>
          <cell r="K4419" t="str">
            <v>Other Sellable</v>
          </cell>
          <cell r="L4419" t="str">
            <v>No</v>
          </cell>
        </row>
        <row r="4420">
          <cell r="G4420" t="str">
            <v>Truly</v>
          </cell>
          <cell r="H4420" t="str">
            <v>Boston Beer Company</v>
          </cell>
          <cell r="K4420" t="str">
            <v>Other Sellable</v>
          </cell>
          <cell r="L4420" t="str">
            <v>No</v>
          </cell>
        </row>
        <row r="4421">
          <cell r="G4421" t="str">
            <v>Mamita's</v>
          </cell>
          <cell r="H4421" t="str">
            <v>Phusion Projects</v>
          </cell>
          <cell r="K4421" t="str">
            <v>Other Sellable</v>
          </cell>
          <cell r="L4421" t="str">
            <v>No</v>
          </cell>
        </row>
        <row r="4422">
          <cell r="G4422" t="str">
            <v>Mamita's</v>
          </cell>
          <cell r="H4422" t="str">
            <v>Phusion Projects</v>
          </cell>
          <cell r="K4422" t="str">
            <v>Other Sellable</v>
          </cell>
          <cell r="L4422" t="str">
            <v>No</v>
          </cell>
        </row>
        <row r="4423">
          <cell r="G4423" t="str">
            <v>Mamita's</v>
          </cell>
          <cell r="H4423" t="str">
            <v>Phusion Projects</v>
          </cell>
          <cell r="K4423" t="str">
            <v>Other Sellable</v>
          </cell>
          <cell r="L4423" t="str">
            <v>Yes</v>
          </cell>
        </row>
        <row r="4424">
          <cell r="G4424" t="str">
            <v>Fresca Hard Sparkling</v>
          </cell>
          <cell r="H4424" t="str">
            <v>SAZERAC INC</v>
          </cell>
          <cell r="K4424" t="str">
            <v>Package</v>
          </cell>
          <cell r="L4424" t="str">
            <v>Yes</v>
          </cell>
        </row>
        <row r="4425">
          <cell r="G4425" t="str">
            <v>Fresca Hard Sparkling</v>
          </cell>
          <cell r="H4425" t="str">
            <v>SAZERAC INC</v>
          </cell>
          <cell r="K4425" t="str">
            <v>Package</v>
          </cell>
          <cell r="L4425" t="str">
            <v>Yes</v>
          </cell>
        </row>
        <row r="4426">
          <cell r="G4426" t="str">
            <v>Fresca Hard Sparkling</v>
          </cell>
          <cell r="H4426" t="str">
            <v>SAZERAC INC</v>
          </cell>
          <cell r="K4426" t="str">
            <v>Package</v>
          </cell>
          <cell r="L4426" t="str">
            <v>Yes</v>
          </cell>
        </row>
        <row r="4427">
          <cell r="G4427" t="str">
            <v>Fresca Hard Sparkling</v>
          </cell>
          <cell r="H4427" t="str">
            <v>SAZERAC INC</v>
          </cell>
          <cell r="K4427" t="str">
            <v>Package</v>
          </cell>
          <cell r="L4427" t="str">
            <v>Yes</v>
          </cell>
        </row>
        <row r="4428">
          <cell r="G4428" t="str">
            <v>Fresca Hard Sparkling</v>
          </cell>
          <cell r="H4428" t="str">
            <v>SAZERAC INC</v>
          </cell>
          <cell r="K4428" t="str">
            <v>Package</v>
          </cell>
          <cell r="L4428" t="str">
            <v>Yes</v>
          </cell>
        </row>
        <row r="4429">
          <cell r="G4429" t="str">
            <v>Bardstown Bourbon</v>
          </cell>
          <cell r="H4429" t="str">
            <v>Bardstown Bourbon Co</v>
          </cell>
          <cell r="K4429" t="str">
            <v>Other Sellable</v>
          </cell>
          <cell r="L4429" t="str">
            <v>Yes</v>
          </cell>
        </row>
        <row r="4430">
          <cell r="G4430" t="str">
            <v>Good Day Soju</v>
          </cell>
          <cell r="H4430" t="str">
            <v>Bws Imports</v>
          </cell>
          <cell r="K4430" t="str">
            <v>Package</v>
          </cell>
          <cell r="L4430" t="str">
            <v>No</v>
          </cell>
        </row>
        <row r="4431">
          <cell r="G4431" t="str">
            <v>Duclaw</v>
          </cell>
          <cell r="H4431" t="str">
            <v>Duclaw Brewing</v>
          </cell>
          <cell r="K4431" t="str">
            <v>Draft</v>
          </cell>
          <cell r="L4431" t="str">
            <v>No</v>
          </cell>
        </row>
        <row r="4432">
          <cell r="G4432" t="str">
            <v>New Holland Brewing Co</v>
          </cell>
          <cell r="H4432" t="str">
            <v>Pabst Brewing Company</v>
          </cell>
          <cell r="K4432" t="str">
            <v>Package</v>
          </cell>
          <cell r="L4432" t="str">
            <v>Yes</v>
          </cell>
        </row>
        <row r="4433">
          <cell r="G4433" t="str">
            <v>BJ'S Private Label Brewa</v>
          </cell>
          <cell r="H4433" t="str">
            <v>BJ'S Private Label Brew</v>
          </cell>
          <cell r="K4433" t="str">
            <v>Draft</v>
          </cell>
          <cell r="L4433" t="str">
            <v>Yes</v>
          </cell>
        </row>
        <row r="4434">
          <cell r="G4434" t="str">
            <v>BJ'S Private Label Brewa</v>
          </cell>
          <cell r="H4434" t="str">
            <v>BJ'S Private Label Brew</v>
          </cell>
          <cell r="K4434" t="str">
            <v>Draft</v>
          </cell>
          <cell r="L4434" t="str">
            <v>Yes</v>
          </cell>
        </row>
        <row r="4435">
          <cell r="G4435" t="str">
            <v>1911 Spirits</v>
          </cell>
          <cell r="H4435" t="str">
            <v>Beak &amp; Skiff</v>
          </cell>
          <cell r="K4435" t="str">
            <v>Other Sellable</v>
          </cell>
          <cell r="L4435" t="str">
            <v>Yes</v>
          </cell>
        </row>
        <row r="4436">
          <cell r="G4436" t="str">
            <v>1911 Spirits</v>
          </cell>
          <cell r="H4436" t="str">
            <v>Beak &amp; Skiff</v>
          </cell>
          <cell r="K4436" t="str">
            <v>Other Sellable</v>
          </cell>
          <cell r="L4436" t="str">
            <v>Yes</v>
          </cell>
        </row>
        <row r="4437">
          <cell r="G4437" t="str">
            <v>OVO Vodka</v>
          </cell>
          <cell r="H4437" t="str">
            <v>OVO Vodka LLC</v>
          </cell>
          <cell r="K4437" t="str">
            <v>Other Sellable</v>
          </cell>
          <cell r="L4437" t="str">
            <v>Yes</v>
          </cell>
        </row>
        <row r="4438">
          <cell r="G4438" t="str">
            <v>OVO Vodka</v>
          </cell>
          <cell r="H4438" t="str">
            <v>OVO Vodka LLC</v>
          </cell>
          <cell r="K4438" t="str">
            <v>Other Sellable</v>
          </cell>
          <cell r="L4438" t="str">
            <v>No</v>
          </cell>
        </row>
        <row r="4439">
          <cell r="G4439" t="str">
            <v>OVO Vodka</v>
          </cell>
          <cell r="H4439" t="str">
            <v>OVO Vodka LLC</v>
          </cell>
          <cell r="K4439" t="str">
            <v>Other Sellable</v>
          </cell>
          <cell r="L4439" t="str">
            <v>Yes</v>
          </cell>
        </row>
        <row r="4440">
          <cell r="G4440" t="str">
            <v>OVO Vodka</v>
          </cell>
          <cell r="H4440" t="str">
            <v>OVO Vodka LLC</v>
          </cell>
          <cell r="K4440" t="str">
            <v>Other Sellable</v>
          </cell>
          <cell r="L4440" t="str">
            <v>Yes</v>
          </cell>
        </row>
        <row r="4441">
          <cell r="G4441" t="str">
            <v>The Old G</v>
          </cell>
          <cell r="H4441" t="str">
            <v>The Old G LLC</v>
          </cell>
          <cell r="K4441" t="str">
            <v>Other Sellable</v>
          </cell>
          <cell r="L4441" t="str">
            <v>No</v>
          </cell>
        </row>
        <row r="4442">
          <cell r="G4442" t="str">
            <v>Paradisse</v>
          </cell>
          <cell r="H4442" t="str">
            <v>Paradisse Spirits LLC</v>
          </cell>
          <cell r="K4442" t="str">
            <v>Other Sellable</v>
          </cell>
          <cell r="L4442" t="str">
            <v>Yes</v>
          </cell>
        </row>
        <row r="4443">
          <cell r="G4443" t="str">
            <v>Paradisse</v>
          </cell>
          <cell r="H4443" t="str">
            <v>Paradisse Spirits LLC</v>
          </cell>
          <cell r="K4443" t="str">
            <v>Other Sellable</v>
          </cell>
          <cell r="L4443" t="str">
            <v>No</v>
          </cell>
        </row>
        <row r="4444">
          <cell r="G4444" t="str">
            <v>Lock Stock &amp; Barrel</v>
          </cell>
          <cell r="H4444" t="str">
            <v>Cooper Spirits</v>
          </cell>
          <cell r="K4444" t="str">
            <v>Other Sellable</v>
          </cell>
          <cell r="L4444" t="str">
            <v>Yes</v>
          </cell>
        </row>
        <row r="4445">
          <cell r="G4445" t="str">
            <v>Lock Stock &amp; Barrel</v>
          </cell>
          <cell r="H4445" t="str">
            <v>Cooper Spirits</v>
          </cell>
          <cell r="K4445" t="str">
            <v>Other Sellable</v>
          </cell>
          <cell r="L4445" t="str">
            <v>Yes</v>
          </cell>
        </row>
        <row r="4446">
          <cell r="G4446" t="str">
            <v>2XO</v>
          </cell>
          <cell r="H4446" t="str">
            <v>Prestige Beverage Group</v>
          </cell>
          <cell r="K4446" t="str">
            <v>Other Sellable</v>
          </cell>
          <cell r="L4446" t="str">
            <v>Yes</v>
          </cell>
        </row>
        <row r="4447">
          <cell r="G4447" t="str">
            <v>2XO</v>
          </cell>
          <cell r="H4447" t="str">
            <v>Prestige Beverage Group</v>
          </cell>
          <cell r="K4447" t="str">
            <v>Other Sellable</v>
          </cell>
          <cell r="L4447" t="str">
            <v>Yes</v>
          </cell>
        </row>
        <row r="4448">
          <cell r="G4448" t="str">
            <v>2XO</v>
          </cell>
          <cell r="H4448" t="str">
            <v>Prestige Beverage Group</v>
          </cell>
          <cell r="K4448" t="str">
            <v>Other Sellable</v>
          </cell>
          <cell r="L4448" t="str">
            <v>No</v>
          </cell>
        </row>
        <row r="4449">
          <cell r="G4449" t="str">
            <v>2XO</v>
          </cell>
          <cell r="H4449" t="str">
            <v>Prestige Beverage Group</v>
          </cell>
          <cell r="K4449" t="str">
            <v>Other Sellable</v>
          </cell>
          <cell r="L4449" t="str">
            <v>No</v>
          </cell>
        </row>
        <row r="4450">
          <cell r="G4450" t="str">
            <v>2XO</v>
          </cell>
          <cell r="H4450" t="str">
            <v>Prestige Beverage Group</v>
          </cell>
          <cell r="K4450" t="str">
            <v>Other Sellable</v>
          </cell>
          <cell r="L4450" t="str">
            <v>Yes</v>
          </cell>
        </row>
        <row r="4451">
          <cell r="G4451" t="str">
            <v>2XO</v>
          </cell>
          <cell r="H4451" t="str">
            <v>Prestige Beverage Group</v>
          </cell>
          <cell r="K4451" t="str">
            <v>Other Sellable</v>
          </cell>
          <cell r="L4451" t="str">
            <v>No</v>
          </cell>
        </row>
        <row r="4452">
          <cell r="G4452" t="str">
            <v>Slow &amp; Low</v>
          </cell>
          <cell r="H4452" t="str">
            <v>Cooper Spirits</v>
          </cell>
          <cell r="K4452" t="str">
            <v>Other Sellable</v>
          </cell>
          <cell r="L4452" t="str">
            <v>Yes</v>
          </cell>
        </row>
        <row r="4453">
          <cell r="G4453" t="str">
            <v>Slow &amp; Low</v>
          </cell>
          <cell r="H4453" t="str">
            <v>Cooper Spirits</v>
          </cell>
          <cell r="K4453" t="str">
            <v>Other Sellable</v>
          </cell>
          <cell r="L4453" t="str">
            <v>Yes</v>
          </cell>
        </row>
        <row r="4454">
          <cell r="G4454" t="str">
            <v>Slow &amp; Low</v>
          </cell>
          <cell r="H4454" t="str">
            <v>Cooper Spirits</v>
          </cell>
          <cell r="K4454" t="str">
            <v>Other Sellable</v>
          </cell>
          <cell r="L4454" t="str">
            <v>Yes</v>
          </cell>
        </row>
        <row r="4455">
          <cell r="G4455" t="str">
            <v>Slow &amp; Low</v>
          </cell>
          <cell r="H4455" t="str">
            <v>Cooper Spirits</v>
          </cell>
          <cell r="K4455" t="str">
            <v>Other Sellable</v>
          </cell>
          <cell r="L4455" t="str">
            <v>Yes</v>
          </cell>
        </row>
        <row r="4456">
          <cell r="G4456" t="str">
            <v>Slow &amp; Low</v>
          </cell>
          <cell r="H4456" t="str">
            <v>Cooper Spirits</v>
          </cell>
          <cell r="K4456" t="str">
            <v>Other Sellable</v>
          </cell>
          <cell r="L4456" t="str">
            <v>Yes</v>
          </cell>
        </row>
        <row r="4457">
          <cell r="G4457" t="str">
            <v>Slow &amp; Low</v>
          </cell>
          <cell r="H4457" t="str">
            <v>Cooper Spirits</v>
          </cell>
          <cell r="K4457" t="str">
            <v>Other Sellable</v>
          </cell>
          <cell r="L4457" t="str">
            <v>Yes</v>
          </cell>
        </row>
        <row r="4458">
          <cell r="G4458" t="str">
            <v>Slow &amp; Low</v>
          </cell>
          <cell r="H4458" t="str">
            <v>Cooper Spirits</v>
          </cell>
          <cell r="K4458" t="str">
            <v>Other Sellable</v>
          </cell>
          <cell r="L4458" t="str">
            <v>Yes</v>
          </cell>
        </row>
        <row r="4459">
          <cell r="G4459" t="str">
            <v>Slow &amp; Low</v>
          </cell>
          <cell r="H4459" t="str">
            <v>Cooper Spirits</v>
          </cell>
          <cell r="K4459" t="str">
            <v>Other Sellable</v>
          </cell>
          <cell r="L4459" t="str">
            <v>No</v>
          </cell>
        </row>
        <row r="4460">
          <cell r="G4460" t="str">
            <v>Slow &amp; Low</v>
          </cell>
          <cell r="H4460" t="str">
            <v>Cooper Spirits</v>
          </cell>
          <cell r="K4460" t="str">
            <v>Other Sellable</v>
          </cell>
          <cell r="L4460" t="str">
            <v>Yes</v>
          </cell>
        </row>
        <row r="4461">
          <cell r="G4461" t="str">
            <v>Slow &amp; Low</v>
          </cell>
          <cell r="H4461" t="str">
            <v>Cooper Spirits</v>
          </cell>
          <cell r="K4461" t="str">
            <v>Other Sellable</v>
          </cell>
          <cell r="L4461" t="str">
            <v>Yes</v>
          </cell>
        </row>
        <row r="4462">
          <cell r="G4462" t="str">
            <v>Slow &amp; Low</v>
          </cell>
          <cell r="H4462" t="str">
            <v>Cooper Spirits</v>
          </cell>
          <cell r="K4462" t="str">
            <v>Other Sellable</v>
          </cell>
          <cell r="L4462" t="str">
            <v>Yes</v>
          </cell>
        </row>
        <row r="4463">
          <cell r="G4463" t="str">
            <v>Slow &amp; Low</v>
          </cell>
          <cell r="H4463" t="str">
            <v>Cooper Spirits</v>
          </cell>
          <cell r="K4463" t="str">
            <v>Other Sellable</v>
          </cell>
          <cell r="L4463" t="str">
            <v>Yes</v>
          </cell>
        </row>
        <row r="4464">
          <cell r="G4464" t="str">
            <v>Slow &amp; Low</v>
          </cell>
          <cell r="H4464" t="str">
            <v>Cooper Spirits</v>
          </cell>
          <cell r="K4464" t="str">
            <v>Other Sellable</v>
          </cell>
          <cell r="L4464" t="str">
            <v>Yes</v>
          </cell>
        </row>
        <row r="4465">
          <cell r="G4465" t="str">
            <v>Slow &amp; Low</v>
          </cell>
          <cell r="H4465" t="str">
            <v>Cooper Spirits</v>
          </cell>
          <cell r="K4465" t="str">
            <v>Other Sellable</v>
          </cell>
          <cell r="L4465" t="str">
            <v>Yes</v>
          </cell>
        </row>
        <row r="4466">
          <cell r="G4466" t="str">
            <v>Hetman Vodka</v>
          </cell>
          <cell r="H4466" t="str">
            <v>SPYRT Worldwide</v>
          </cell>
          <cell r="K4466" t="str">
            <v>Other Sellable</v>
          </cell>
          <cell r="L4466" t="str">
            <v>Yes</v>
          </cell>
        </row>
        <row r="4467">
          <cell r="G4467" t="str">
            <v>Ukrainian Spirit</v>
          </cell>
          <cell r="H4467" t="str">
            <v>SPYRT Worldwide</v>
          </cell>
          <cell r="K4467" t="str">
            <v>Other Sellable</v>
          </cell>
          <cell r="L4467" t="str">
            <v>Yes</v>
          </cell>
        </row>
        <row r="4468">
          <cell r="G4468" t="str">
            <v>Gin Pig</v>
          </cell>
          <cell r="H4468" t="str">
            <v>Warwick Valley</v>
          </cell>
          <cell r="K4468" t="str">
            <v>Other Sellable</v>
          </cell>
          <cell r="L4468" t="str">
            <v>Yes</v>
          </cell>
        </row>
        <row r="4469">
          <cell r="G4469" t="str">
            <v>Vodka Hog</v>
          </cell>
          <cell r="H4469" t="str">
            <v>Warwick Valley</v>
          </cell>
          <cell r="K4469" t="str">
            <v>Other Sellable</v>
          </cell>
          <cell r="L4469" t="str">
            <v>Yes</v>
          </cell>
        </row>
        <row r="4470">
          <cell r="G4470" t="str">
            <v>Warwick Gin</v>
          </cell>
          <cell r="H4470" t="str">
            <v>Warwick Valley</v>
          </cell>
          <cell r="K4470" t="str">
            <v>Other Sellable</v>
          </cell>
          <cell r="L4470" t="str">
            <v>Yes</v>
          </cell>
        </row>
        <row r="4471">
          <cell r="G4471" t="str">
            <v>Waterloo Gin</v>
          </cell>
          <cell r="H4471" t="str">
            <v>Waterloo Gin</v>
          </cell>
          <cell r="K4471" t="str">
            <v>Other Sellable</v>
          </cell>
          <cell r="L4471" t="str">
            <v>Yes</v>
          </cell>
        </row>
        <row r="4472">
          <cell r="G4472" t="str">
            <v>Waterloo Gin</v>
          </cell>
          <cell r="H4472" t="str">
            <v>Waterloo Gin</v>
          </cell>
          <cell r="K4472" t="str">
            <v>Other Sellable</v>
          </cell>
          <cell r="L4472" t="str">
            <v>Yes</v>
          </cell>
        </row>
        <row r="4473">
          <cell r="G4473" t="str">
            <v>Waterloo Gin</v>
          </cell>
          <cell r="H4473" t="str">
            <v>Waterloo Gin</v>
          </cell>
          <cell r="K4473" t="str">
            <v>Other Sellable</v>
          </cell>
          <cell r="L4473" t="str">
            <v>Yes</v>
          </cell>
        </row>
        <row r="4474">
          <cell r="G4474" t="str">
            <v>Waterloo Gin</v>
          </cell>
          <cell r="H4474" t="str">
            <v>Waterloo Gin</v>
          </cell>
          <cell r="K4474" t="str">
            <v>Other Sellable</v>
          </cell>
          <cell r="L4474" t="str">
            <v>No</v>
          </cell>
        </row>
        <row r="4475">
          <cell r="G4475" t="str">
            <v>Waterloo Gin</v>
          </cell>
          <cell r="H4475" t="str">
            <v>Waterloo Gin</v>
          </cell>
          <cell r="K4475" t="str">
            <v>Other Sellable</v>
          </cell>
          <cell r="L4475" t="str">
            <v>No</v>
          </cell>
        </row>
        <row r="4476">
          <cell r="G4476" t="str">
            <v>Waterloo Gin</v>
          </cell>
          <cell r="H4476" t="str">
            <v>Waterloo Gin</v>
          </cell>
          <cell r="K4476" t="str">
            <v>Other Sellable</v>
          </cell>
          <cell r="L4476" t="str">
            <v>No</v>
          </cell>
        </row>
        <row r="4477">
          <cell r="G4477" t="str">
            <v>American Fruit</v>
          </cell>
          <cell r="H4477" t="str">
            <v>American Fruits</v>
          </cell>
          <cell r="K4477" t="str">
            <v>Other Sellable</v>
          </cell>
          <cell r="L4477" t="str">
            <v>Yes</v>
          </cell>
        </row>
        <row r="4478">
          <cell r="G4478" t="str">
            <v>American Fruit</v>
          </cell>
          <cell r="H4478" t="str">
            <v>American Fruits</v>
          </cell>
          <cell r="K4478" t="str">
            <v>Other Sellable</v>
          </cell>
          <cell r="L4478" t="str">
            <v>Yes</v>
          </cell>
        </row>
        <row r="4479">
          <cell r="G4479" t="str">
            <v>American Fruit</v>
          </cell>
          <cell r="H4479" t="str">
            <v>American Fruits</v>
          </cell>
          <cell r="K4479" t="str">
            <v>Other Sellable</v>
          </cell>
          <cell r="L4479" t="str">
            <v>Yes</v>
          </cell>
        </row>
        <row r="4480">
          <cell r="G4480" t="str">
            <v>American Fruit</v>
          </cell>
          <cell r="H4480" t="str">
            <v>American Fruits</v>
          </cell>
          <cell r="K4480" t="str">
            <v>Other Sellable</v>
          </cell>
          <cell r="L4480" t="str">
            <v>Yes</v>
          </cell>
        </row>
        <row r="4481">
          <cell r="G4481" t="str">
            <v>Leyenda 1925</v>
          </cell>
          <cell r="H4481" t="str">
            <v>1925 Spirits LLC</v>
          </cell>
          <cell r="K4481" t="str">
            <v>Other Sellable</v>
          </cell>
          <cell r="L4481" t="str">
            <v>Yes</v>
          </cell>
        </row>
        <row r="4482">
          <cell r="G4482" t="str">
            <v>Leyenda 1925</v>
          </cell>
          <cell r="H4482" t="str">
            <v>1925 Spirits LLC</v>
          </cell>
          <cell r="K4482" t="str">
            <v>Other Sellable</v>
          </cell>
          <cell r="L4482" t="str">
            <v>No</v>
          </cell>
        </row>
        <row r="4483">
          <cell r="G4483" t="str">
            <v>Leyenda 1925</v>
          </cell>
          <cell r="H4483" t="str">
            <v>1925 Spirits LLC</v>
          </cell>
          <cell r="K4483" t="str">
            <v>Other Sellable</v>
          </cell>
          <cell r="L4483" t="str">
            <v>Yes</v>
          </cell>
        </row>
        <row r="4484">
          <cell r="G4484" t="str">
            <v>Eleven20 Tequila</v>
          </cell>
          <cell r="H4484" t="str">
            <v>Eleven20</v>
          </cell>
          <cell r="K4484" t="str">
            <v>Other Sellable</v>
          </cell>
          <cell r="L4484" t="str">
            <v>Yes</v>
          </cell>
        </row>
        <row r="4485">
          <cell r="G4485" t="str">
            <v>Eleven20 Tequila</v>
          </cell>
          <cell r="H4485" t="str">
            <v>Eleven20</v>
          </cell>
          <cell r="K4485" t="str">
            <v>Other Sellable</v>
          </cell>
          <cell r="L4485" t="str">
            <v>Yes</v>
          </cell>
        </row>
        <row r="4486">
          <cell r="G4486" t="str">
            <v>Eleven20 Tequila</v>
          </cell>
          <cell r="H4486" t="str">
            <v>Eleven20</v>
          </cell>
          <cell r="K4486" t="str">
            <v>Other Sellable</v>
          </cell>
          <cell r="L4486" t="str">
            <v>Yes</v>
          </cell>
        </row>
        <row r="4487">
          <cell r="G4487" t="str">
            <v>Eleven20 Tequila</v>
          </cell>
          <cell r="H4487" t="str">
            <v>Eleven20</v>
          </cell>
          <cell r="K4487" t="str">
            <v>Other Sellable</v>
          </cell>
          <cell r="L4487" t="str">
            <v>Yes</v>
          </cell>
        </row>
        <row r="4488">
          <cell r="G4488" t="str">
            <v>Eleven20 Tequila</v>
          </cell>
          <cell r="H4488" t="str">
            <v>Eleven20</v>
          </cell>
          <cell r="K4488" t="str">
            <v>Other Sellable</v>
          </cell>
          <cell r="L4488" t="str">
            <v>Yes</v>
          </cell>
        </row>
        <row r="4489">
          <cell r="G4489" t="str">
            <v>Sammy's Beach Bum</v>
          </cell>
          <cell r="H4489" t="str">
            <v>US Beverage</v>
          </cell>
          <cell r="K4489" t="str">
            <v>Other Sellable</v>
          </cell>
          <cell r="L4489" t="str">
            <v>Yes</v>
          </cell>
        </row>
        <row r="4490">
          <cell r="G4490" t="str">
            <v>Sammy's Beach Bum</v>
          </cell>
          <cell r="H4490" t="str">
            <v>US Beverage</v>
          </cell>
          <cell r="K4490" t="str">
            <v>Other Sellable</v>
          </cell>
          <cell r="L4490" t="str">
            <v>Yes</v>
          </cell>
        </row>
        <row r="4491">
          <cell r="G4491" t="str">
            <v>Sammy's Beach Bum</v>
          </cell>
          <cell r="H4491" t="str">
            <v>US Beverage</v>
          </cell>
          <cell r="K4491" t="str">
            <v>Other Sellable</v>
          </cell>
          <cell r="L4491" t="str">
            <v>Yes</v>
          </cell>
        </row>
        <row r="4492">
          <cell r="G4492" t="str">
            <v>Sammy's Beach Bum</v>
          </cell>
          <cell r="H4492" t="str">
            <v>US Beverage</v>
          </cell>
          <cell r="K4492" t="str">
            <v>Other Sellable</v>
          </cell>
          <cell r="L4492" t="str">
            <v>No</v>
          </cell>
        </row>
        <row r="4493">
          <cell r="G4493" t="str">
            <v>Sammy's Beach Bum</v>
          </cell>
          <cell r="H4493" t="str">
            <v>US Beverage</v>
          </cell>
          <cell r="K4493" t="str">
            <v>Other Sellable</v>
          </cell>
          <cell r="L4493" t="str">
            <v>No</v>
          </cell>
        </row>
        <row r="4494">
          <cell r="G4494" t="str">
            <v>Sammy's Beach Bum</v>
          </cell>
          <cell r="H4494" t="str">
            <v>US Beverage</v>
          </cell>
          <cell r="K4494" t="str">
            <v>Other Sellable</v>
          </cell>
          <cell r="L4494" t="str">
            <v>No</v>
          </cell>
        </row>
        <row r="4495">
          <cell r="G4495" t="str">
            <v>1911 Spirits</v>
          </cell>
          <cell r="H4495" t="str">
            <v>Beak &amp; Skiff</v>
          </cell>
          <cell r="K4495" t="str">
            <v>Other Sellable</v>
          </cell>
          <cell r="L4495" t="str">
            <v>No</v>
          </cell>
        </row>
        <row r="4496">
          <cell r="G4496" t="str">
            <v>Molly's</v>
          </cell>
          <cell r="H4496" t="str">
            <v>Molly's</v>
          </cell>
          <cell r="K4496" t="str">
            <v>Other Sellable</v>
          </cell>
          <cell r="L4496" t="str">
            <v>Yes</v>
          </cell>
        </row>
        <row r="4497">
          <cell r="G4497" t="str">
            <v>Molly's</v>
          </cell>
          <cell r="H4497" t="str">
            <v>Molly's</v>
          </cell>
          <cell r="K4497" t="str">
            <v>Other Sellable</v>
          </cell>
          <cell r="L4497" t="str">
            <v>Yes</v>
          </cell>
        </row>
        <row r="4498">
          <cell r="G4498" t="str">
            <v>Molly's</v>
          </cell>
          <cell r="H4498" t="str">
            <v>Molly's</v>
          </cell>
          <cell r="K4498" t="str">
            <v>Other Sellable</v>
          </cell>
          <cell r="L4498" t="str">
            <v>Yes</v>
          </cell>
        </row>
        <row r="4499">
          <cell r="G4499" t="str">
            <v>Molly's</v>
          </cell>
          <cell r="H4499" t="str">
            <v>Molly's</v>
          </cell>
          <cell r="K4499" t="str">
            <v>Other Sellable</v>
          </cell>
          <cell r="L4499" t="str">
            <v>Yes</v>
          </cell>
        </row>
        <row r="4500">
          <cell r="G4500" t="str">
            <v>Molly's</v>
          </cell>
          <cell r="H4500" t="str">
            <v>Molly's</v>
          </cell>
          <cell r="K4500" t="str">
            <v>Other Sellable</v>
          </cell>
          <cell r="L4500" t="str">
            <v>Yes</v>
          </cell>
        </row>
        <row r="4501">
          <cell r="G4501" t="str">
            <v>Molly's</v>
          </cell>
          <cell r="H4501" t="str">
            <v>Molly's</v>
          </cell>
          <cell r="K4501" t="str">
            <v>Other Sellable</v>
          </cell>
          <cell r="L4501" t="str">
            <v>Yes</v>
          </cell>
        </row>
        <row r="4502">
          <cell r="G4502" t="str">
            <v>Molly's</v>
          </cell>
          <cell r="H4502" t="str">
            <v>Molly's</v>
          </cell>
          <cell r="K4502" t="str">
            <v>Other Sellable</v>
          </cell>
          <cell r="L4502" t="str">
            <v>Yes</v>
          </cell>
        </row>
        <row r="4503">
          <cell r="G4503" t="str">
            <v>Pride &amp; Clarke</v>
          </cell>
          <cell r="H4503" t="str">
            <v>Pride &amp; Clarke</v>
          </cell>
          <cell r="K4503" t="str">
            <v>Other Sellable</v>
          </cell>
          <cell r="L4503" t="str">
            <v>Yes</v>
          </cell>
        </row>
        <row r="4504">
          <cell r="G4504" t="str">
            <v>Pride &amp; Clarke</v>
          </cell>
          <cell r="H4504" t="str">
            <v>Pride &amp; Clarke</v>
          </cell>
          <cell r="K4504" t="str">
            <v>Other Sellable</v>
          </cell>
          <cell r="L4504" t="str">
            <v>Yes</v>
          </cell>
        </row>
        <row r="4505">
          <cell r="G4505" t="str">
            <v>Pride &amp; Clarke</v>
          </cell>
          <cell r="H4505" t="str">
            <v>Pride &amp; Clarke</v>
          </cell>
          <cell r="K4505" t="str">
            <v>Other Sellable</v>
          </cell>
          <cell r="L4505" t="str">
            <v>Yes</v>
          </cell>
        </row>
        <row r="4506">
          <cell r="G4506" t="str">
            <v>Pride &amp; Clarke</v>
          </cell>
          <cell r="H4506" t="str">
            <v>Pride &amp; Clarke</v>
          </cell>
          <cell r="K4506" t="str">
            <v>Other Sellable</v>
          </cell>
          <cell r="L4506" t="str">
            <v>Yes</v>
          </cell>
        </row>
        <row r="4507">
          <cell r="G4507" t="str">
            <v>Pride &amp; Clarke</v>
          </cell>
          <cell r="H4507" t="str">
            <v>Pride &amp; Clarke</v>
          </cell>
          <cell r="K4507" t="str">
            <v>Other Sellable</v>
          </cell>
          <cell r="L4507" t="str">
            <v>Yes</v>
          </cell>
        </row>
        <row r="4508">
          <cell r="G4508" t="str">
            <v>Pride &amp; Clarke</v>
          </cell>
          <cell r="H4508" t="str">
            <v>Pride &amp; Clarke</v>
          </cell>
          <cell r="K4508" t="str">
            <v>Other Sellable</v>
          </cell>
          <cell r="L4508" t="str">
            <v>No</v>
          </cell>
        </row>
        <row r="4509">
          <cell r="G4509" t="str">
            <v>Pride &amp; Clarke</v>
          </cell>
          <cell r="H4509" t="str">
            <v>Pride &amp; Clarke</v>
          </cell>
          <cell r="K4509" t="str">
            <v>Other Sellable</v>
          </cell>
          <cell r="L4509" t="str">
            <v>No</v>
          </cell>
        </row>
        <row r="4510">
          <cell r="G4510" t="str">
            <v>Pride &amp; Clarke</v>
          </cell>
          <cell r="H4510" t="str">
            <v>Pride &amp; Clarke</v>
          </cell>
          <cell r="K4510" t="str">
            <v>Other Sellable</v>
          </cell>
          <cell r="L4510" t="str">
            <v>Yes</v>
          </cell>
        </row>
        <row r="4511">
          <cell r="G4511" t="str">
            <v>Greek Spirits</v>
          </cell>
          <cell r="H4511" t="str">
            <v>Prestige</v>
          </cell>
          <cell r="K4511" t="str">
            <v>Other Sellable</v>
          </cell>
          <cell r="L4511" t="str">
            <v>Yes</v>
          </cell>
        </row>
        <row r="4512">
          <cell r="G4512" t="str">
            <v>Greek Spirits</v>
          </cell>
          <cell r="H4512" t="str">
            <v>Prestige</v>
          </cell>
          <cell r="K4512" t="str">
            <v>Other Sellable</v>
          </cell>
          <cell r="L4512" t="str">
            <v>Yes</v>
          </cell>
        </row>
        <row r="4513">
          <cell r="G4513" t="str">
            <v>Striped Pig</v>
          </cell>
          <cell r="H4513" t="str">
            <v>Local Choice Inc</v>
          </cell>
          <cell r="K4513" t="str">
            <v>Other Sellable</v>
          </cell>
          <cell r="L4513" t="str">
            <v>Yes</v>
          </cell>
        </row>
        <row r="4514">
          <cell r="G4514" t="str">
            <v>Striped Pig</v>
          </cell>
          <cell r="H4514" t="str">
            <v>Local Choice Inc</v>
          </cell>
          <cell r="K4514" t="str">
            <v>Other Sellable</v>
          </cell>
          <cell r="L4514" t="str">
            <v>Yes</v>
          </cell>
        </row>
        <row r="4515">
          <cell r="G4515" t="str">
            <v>Striped Pig</v>
          </cell>
          <cell r="H4515" t="str">
            <v>Local Choice Inc</v>
          </cell>
          <cell r="K4515" t="str">
            <v>Other Sellable</v>
          </cell>
          <cell r="L4515" t="str">
            <v>Yes</v>
          </cell>
        </row>
        <row r="4516">
          <cell r="G4516" t="str">
            <v>Striped Pig</v>
          </cell>
          <cell r="H4516" t="str">
            <v>Local Choice Inc</v>
          </cell>
          <cell r="K4516" t="str">
            <v>Other Sellable</v>
          </cell>
          <cell r="L4516" t="str">
            <v>Yes</v>
          </cell>
        </row>
        <row r="4517">
          <cell r="G4517" t="str">
            <v>YaVe Tequila</v>
          </cell>
          <cell r="H4517" t="str">
            <v>Cruz Beverage</v>
          </cell>
          <cell r="K4517" t="str">
            <v>Other Sellable</v>
          </cell>
          <cell r="L4517" t="str">
            <v>Yes</v>
          </cell>
        </row>
        <row r="4518">
          <cell r="G4518" t="str">
            <v>YaVe Tequila</v>
          </cell>
          <cell r="H4518" t="str">
            <v>Cruz Beverage</v>
          </cell>
          <cell r="K4518" t="str">
            <v>Other Sellable</v>
          </cell>
          <cell r="L4518" t="str">
            <v>Yes</v>
          </cell>
        </row>
        <row r="4519">
          <cell r="G4519" t="str">
            <v>YaVe Tequila</v>
          </cell>
          <cell r="H4519" t="str">
            <v>Cruz Beverage</v>
          </cell>
          <cell r="K4519" t="str">
            <v>Other Sellable</v>
          </cell>
          <cell r="L4519" t="str">
            <v>Yes</v>
          </cell>
        </row>
        <row r="4520">
          <cell r="G4520" t="str">
            <v>YaVe Tequila</v>
          </cell>
          <cell r="H4520" t="str">
            <v>Cruz Beverage</v>
          </cell>
          <cell r="K4520" t="str">
            <v>Other Sellable</v>
          </cell>
          <cell r="L4520" t="str">
            <v>Yes</v>
          </cell>
        </row>
        <row r="4521">
          <cell r="G4521" t="str">
            <v>YaVe Tequila</v>
          </cell>
          <cell r="H4521" t="str">
            <v>Cruz Beverage</v>
          </cell>
          <cell r="K4521" t="str">
            <v>Other Sellable</v>
          </cell>
          <cell r="L4521" t="str">
            <v>Yes</v>
          </cell>
        </row>
        <row r="4522">
          <cell r="G4522" t="str">
            <v>Travelers Club</v>
          </cell>
          <cell r="H4522" t="str">
            <v>Travelers Club</v>
          </cell>
          <cell r="K4522" t="str">
            <v>Other Sellable</v>
          </cell>
          <cell r="L4522" t="str">
            <v>Yes</v>
          </cell>
        </row>
        <row r="4523">
          <cell r="G4523" t="str">
            <v>Travelers Club</v>
          </cell>
          <cell r="H4523" t="str">
            <v>Travelers Club</v>
          </cell>
          <cell r="K4523" t="str">
            <v>Other Sellable</v>
          </cell>
          <cell r="L4523" t="str">
            <v>Yes</v>
          </cell>
        </row>
        <row r="4524">
          <cell r="G4524" t="str">
            <v>Travelers Club</v>
          </cell>
          <cell r="H4524" t="str">
            <v>Travelers Club</v>
          </cell>
          <cell r="K4524" t="str">
            <v>Other Sellable</v>
          </cell>
          <cell r="L4524" t="str">
            <v>Yes</v>
          </cell>
        </row>
        <row r="4525">
          <cell r="G4525" t="str">
            <v>Travelers Club</v>
          </cell>
          <cell r="H4525" t="str">
            <v>Travelers Club</v>
          </cell>
          <cell r="K4525" t="str">
            <v>Other Sellable</v>
          </cell>
          <cell r="L4525" t="str">
            <v>Yes</v>
          </cell>
        </row>
        <row r="4526">
          <cell r="G4526" t="str">
            <v>Travelers Club</v>
          </cell>
          <cell r="H4526" t="str">
            <v>Travelers Club</v>
          </cell>
          <cell r="K4526" t="str">
            <v>Other Sellable</v>
          </cell>
          <cell r="L4526" t="str">
            <v>Yes</v>
          </cell>
        </row>
        <row r="4527">
          <cell r="G4527" t="str">
            <v>Travelers Club</v>
          </cell>
          <cell r="H4527" t="str">
            <v>Travelers Club</v>
          </cell>
          <cell r="K4527" t="str">
            <v>Other Sellable</v>
          </cell>
          <cell r="L4527" t="str">
            <v>Yes</v>
          </cell>
        </row>
        <row r="4528">
          <cell r="G4528" t="str">
            <v>Travelers Club</v>
          </cell>
          <cell r="H4528" t="str">
            <v>Travelers Club</v>
          </cell>
          <cell r="K4528" t="str">
            <v>Other Sellable</v>
          </cell>
          <cell r="L4528" t="str">
            <v>Yes</v>
          </cell>
        </row>
        <row r="4529">
          <cell r="G4529" t="str">
            <v>Travelers Club</v>
          </cell>
          <cell r="H4529" t="str">
            <v>Travelers Club</v>
          </cell>
          <cell r="K4529" t="str">
            <v>Other Sellable</v>
          </cell>
          <cell r="L4529" t="str">
            <v>Yes</v>
          </cell>
        </row>
        <row r="4530">
          <cell r="G4530" t="str">
            <v>Travelers Club</v>
          </cell>
          <cell r="H4530" t="str">
            <v>Travelers Club</v>
          </cell>
          <cell r="K4530" t="str">
            <v>Other Sellable</v>
          </cell>
          <cell r="L4530" t="str">
            <v>Yes</v>
          </cell>
        </row>
        <row r="4531">
          <cell r="G4531" t="str">
            <v>Travelers Club</v>
          </cell>
          <cell r="H4531" t="str">
            <v>Travelers Club</v>
          </cell>
          <cell r="K4531" t="str">
            <v>Other Sellable</v>
          </cell>
          <cell r="L4531" t="str">
            <v>Yes</v>
          </cell>
        </row>
        <row r="4532">
          <cell r="G4532" t="str">
            <v>Travelers Club</v>
          </cell>
          <cell r="H4532" t="str">
            <v>Travelers Club</v>
          </cell>
          <cell r="K4532" t="str">
            <v>Other Sellable</v>
          </cell>
          <cell r="L4532" t="str">
            <v>Yes</v>
          </cell>
        </row>
        <row r="4533">
          <cell r="G4533" t="str">
            <v>Travelers Club</v>
          </cell>
          <cell r="H4533" t="str">
            <v>Travelers Club</v>
          </cell>
          <cell r="K4533" t="str">
            <v>Other Sellable</v>
          </cell>
          <cell r="L4533" t="str">
            <v>Yes</v>
          </cell>
        </row>
        <row r="4534">
          <cell r="G4534" t="str">
            <v>48 Blocks</v>
          </cell>
          <cell r="H4534" t="str">
            <v>Little Water Distillery</v>
          </cell>
          <cell r="K4534" t="str">
            <v>Other Sellable</v>
          </cell>
          <cell r="L4534" t="str">
            <v>Yes</v>
          </cell>
        </row>
        <row r="4535">
          <cell r="G4535" t="str">
            <v>48 Blocks</v>
          </cell>
          <cell r="H4535" t="str">
            <v>Little Water Distillery</v>
          </cell>
          <cell r="K4535" t="str">
            <v>Other Sellable</v>
          </cell>
          <cell r="L4535" t="str">
            <v>Yes</v>
          </cell>
        </row>
        <row r="4536">
          <cell r="G4536" t="str">
            <v>48 Blocks</v>
          </cell>
          <cell r="H4536" t="str">
            <v>Little Water Distillery</v>
          </cell>
          <cell r="K4536" t="str">
            <v>Other Sellable</v>
          </cell>
          <cell r="L4536" t="str">
            <v>Yes</v>
          </cell>
        </row>
        <row r="4537">
          <cell r="G4537" t="str">
            <v>48 Blocks</v>
          </cell>
          <cell r="H4537" t="str">
            <v>Little Water Distillery</v>
          </cell>
          <cell r="K4537" t="str">
            <v>Other Sellable</v>
          </cell>
          <cell r="L4537" t="str">
            <v>Yes</v>
          </cell>
        </row>
        <row r="4538">
          <cell r="G4538" t="str">
            <v>48 Blocks</v>
          </cell>
          <cell r="H4538" t="str">
            <v>Little Water Distillery</v>
          </cell>
          <cell r="K4538" t="str">
            <v>Other Sellable</v>
          </cell>
          <cell r="L4538" t="str">
            <v>Yes</v>
          </cell>
        </row>
        <row r="4539">
          <cell r="G4539" t="str">
            <v>Rusted Revolver</v>
          </cell>
          <cell r="H4539" t="str">
            <v>Little Water Distillery</v>
          </cell>
          <cell r="K4539" t="str">
            <v>Other Sellable</v>
          </cell>
          <cell r="L4539" t="str">
            <v>Yes</v>
          </cell>
        </row>
        <row r="4540">
          <cell r="G4540" t="str">
            <v>Whitecap</v>
          </cell>
          <cell r="H4540" t="str">
            <v>Little Water Distillery</v>
          </cell>
          <cell r="K4540" t="str">
            <v>Other Sellable</v>
          </cell>
          <cell r="L4540" t="str">
            <v>Yes</v>
          </cell>
        </row>
        <row r="4541">
          <cell r="G4541" t="str">
            <v>Whitecap</v>
          </cell>
          <cell r="H4541" t="str">
            <v>Little Water Distillery</v>
          </cell>
          <cell r="K4541" t="str">
            <v>Other Sellable</v>
          </cell>
          <cell r="L4541" t="str">
            <v>Yes</v>
          </cell>
        </row>
        <row r="4542">
          <cell r="G4542" t="str">
            <v>Southern Tier Distilling</v>
          </cell>
          <cell r="H4542" t="str">
            <v>Southern Tier Distilling Company</v>
          </cell>
          <cell r="K4542" t="str">
            <v>Other Sellable</v>
          </cell>
          <cell r="L4542" t="str">
            <v>No</v>
          </cell>
        </row>
        <row r="4543">
          <cell r="G4543" t="str">
            <v>Southern Tier Distilling</v>
          </cell>
          <cell r="H4543" t="str">
            <v>Southern Tier Distilling Company</v>
          </cell>
          <cell r="K4543" t="str">
            <v>Other Sellable</v>
          </cell>
          <cell r="L4543" t="str">
            <v>No</v>
          </cell>
        </row>
        <row r="4544">
          <cell r="G4544" t="str">
            <v>Southern Tier Distilling</v>
          </cell>
          <cell r="H4544" t="str">
            <v>Southern Tier Distilling Company</v>
          </cell>
          <cell r="K4544" t="str">
            <v>Other Sellable</v>
          </cell>
          <cell r="L4544" t="str">
            <v>No</v>
          </cell>
        </row>
        <row r="4545">
          <cell r="G4545" t="str">
            <v>Southern Tier Distilling</v>
          </cell>
          <cell r="H4545" t="str">
            <v>Southern Tier Distilling Company</v>
          </cell>
          <cell r="K4545" t="str">
            <v>Other Sellable</v>
          </cell>
          <cell r="L4545" t="str">
            <v>No</v>
          </cell>
        </row>
        <row r="4546">
          <cell r="G4546" t="str">
            <v>Southern Tier Distilling</v>
          </cell>
          <cell r="H4546" t="str">
            <v>Southern Tier Distilling Company</v>
          </cell>
          <cell r="K4546" t="str">
            <v>Other Sellable</v>
          </cell>
          <cell r="L4546" t="str">
            <v>No</v>
          </cell>
        </row>
        <row r="4547">
          <cell r="G4547" t="str">
            <v>Southern Tier Distilling</v>
          </cell>
          <cell r="H4547" t="str">
            <v>Southern Tier Distilling Company</v>
          </cell>
          <cell r="K4547" t="str">
            <v>Other Sellable</v>
          </cell>
          <cell r="L4547" t="str">
            <v>Yes</v>
          </cell>
        </row>
        <row r="4548">
          <cell r="G4548" t="str">
            <v>Southern Tier Distilling</v>
          </cell>
          <cell r="H4548" t="str">
            <v>Southern Tier Distilling Company</v>
          </cell>
          <cell r="K4548" t="str">
            <v>Other Sellable</v>
          </cell>
          <cell r="L4548" t="str">
            <v>No</v>
          </cell>
        </row>
        <row r="4549">
          <cell r="G4549" t="str">
            <v>Southern Tier Distilling</v>
          </cell>
          <cell r="H4549" t="str">
            <v>Southern Tier Distilling Company</v>
          </cell>
          <cell r="K4549" t="str">
            <v>Other Sellable</v>
          </cell>
          <cell r="L4549" t="str">
            <v>Yes</v>
          </cell>
        </row>
        <row r="4550">
          <cell r="G4550" t="str">
            <v>Southern Tier Distilling</v>
          </cell>
          <cell r="H4550" t="str">
            <v>Southern Tier Distilling Company</v>
          </cell>
          <cell r="K4550" t="str">
            <v>Other Sellable</v>
          </cell>
          <cell r="L4550" t="str">
            <v>Yes</v>
          </cell>
        </row>
        <row r="4551">
          <cell r="G4551" t="str">
            <v>Southern Tier Distilling</v>
          </cell>
          <cell r="H4551" t="str">
            <v>Southern Tier Distilling Company</v>
          </cell>
          <cell r="K4551" t="str">
            <v>Other Sellable</v>
          </cell>
          <cell r="L4551" t="str">
            <v>No</v>
          </cell>
        </row>
        <row r="4552">
          <cell r="G4552" t="str">
            <v>Southern Tier Distilling</v>
          </cell>
          <cell r="H4552" t="str">
            <v>Southern Tier Distilling Company</v>
          </cell>
          <cell r="K4552" t="str">
            <v>Other Sellable</v>
          </cell>
          <cell r="L4552" t="str">
            <v>Yes</v>
          </cell>
        </row>
        <row r="4553">
          <cell r="G4553" t="str">
            <v>Southern Tier Distilling</v>
          </cell>
          <cell r="H4553" t="str">
            <v>Southern Tier Distilling Company</v>
          </cell>
          <cell r="K4553" t="str">
            <v>Other Sellable</v>
          </cell>
          <cell r="L4553" t="str">
            <v>No</v>
          </cell>
        </row>
        <row r="4554">
          <cell r="G4554" t="str">
            <v>Southern Tier Distilling</v>
          </cell>
          <cell r="H4554" t="str">
            <v>Southern Tier Distilling Company</v>
          </cell>
          <cell r="K4554" t="str">
            <v>Other Sellable</v>
          </cell>
          <cell r="L4554" t="str">
            <v>No</v>
          </cell>
        </row>
        <row r="4555">
          <cell r="G4555" t="str">
            <v>Southern Tier Distilling</v>
          </cell>
          <cell r="H4555" t="str">
            <v>Southern Tier Distilling Company</v>
          </cell>
          <cell r="K4555" t="str">
            <v>Other Sellable</v>
          </cell>
          <cell r="L4555" t="str">
            <v>Yes</v>
          </cell>
        </row>
        <row r="4556">
          <cell r="G4556" t="str">
            <v>Southern Tier Distilling</v>
          </cell>
          <cell r="H4556" t="str">
            <v>Southern Tier Distilling Company</v>
          </cell>
          <cell r="K4556" t="str">
            <v>Other Sellable</v>
          </cell>
          <cell r="L4556" t="str">
            <v>No</v>
          </cell>
        </row>
        <row r="4557">
          <cell r="G4557" t="str">
            <v>Dogfish Head Spirits</v>
          </cell>
          <cell r="H4557" t="str">
            <v>Boston Beer Company</v>
          </cell>
          <cell r="K4557" t="str">
            <v>Other Sellable</v>
          </cell>
          <cell r="L4557" t="str">
            <v>Yes</v>
          </cell>
        </row>
        <row r="4558">
          <cell r="G4558" t="str">
            <v>Dogfish Head Spirits</v>
          </cell>
          <cell r="H4558" t="str">
            <v>Boston Beer Company</v>
          </cell>
          <cell r="K4558" t="str">
            <v>Other Sellable</v>
          </cell>
          <cell r="L4558" t="str">
            <v>Yes</v>
          </cell>
        </row>
        <row r="4559">
          <cell r="G4559" t="str">
            <v>Dogfish Head Spirits</v>
          </cell>
          <cell r="H4559" t="str">
            <v>Boston Beer Company</v>
          </cell>
          <cell r="K4559" t="str">
            <v>Other Sellable</v>
          </cell>
          <cell r="L4559" t="str">
            <v>Yes</v>
          </cell>
        </row>
        <row r="4560">
          <cell r="G4560" t="str">
            <v>Dogfish Head Spirits</v>
          </cell>
          <cell r="H4560" t="str">
            <v>Boston Beer Company</v>
          </cell>
          <cell r="K4560" t="str">
            <v>Other Sellable</v>
          </cell>
          <cell r="L4560" t="str">
            <v>Yes</v>
          </cell>
        </row>
        <row r="4561">
          <cell r="G4561" t="str">
            <v>Dogfish Head Spirits</v>
          </cell>
          <cell r="H4561" t="str">
            <v>Boston Beer Company</v>
          </cell>
          <cell r="K4561" t="str">
            <v>Other Sellable</v>
          </cell>
          <cell r="L4561" t="str">
            <v>Yes</v>
          </cell>
        </row>
        <row r="4562">
          <cell r="G4562" t="str">
            <v>Dogfish Head Spirits</v>
          </cell>
          <cell r="H4562" t="str">
            <v>Boston Beer Company</v>
          </cell>
          <cell r="K4562" t="str">
            <v>Other Sellable</v>
          </cell>
          <cell r="L4562" t="str">
            <v>Yes</v>
          </cell>
        </row>
        <row r="4563">
          <cell r="G4563" t="str">
            <v>Dogfish Head Spirits</v>
          </cell>
          <cell r="H4563" t="str">
            <v>Boston Beer Company</v>
          </cell>
          <cell r="K4563" t="str">
            <v>Other Sellable</v>
          </cell>
          <cell r="L4563" t="str">
            <v>Yes</v>
          </cell>
        </row>
        <row r="4564">
          <cell r="G4564" t="str">
            <v>Dogfish Head Spirits</v>
          </cell>
          <cell r="H4564" t="str">
            <v>Boston Beer Company</v>
          </cell>
          <cell r="K4564" t="str">
            <v>Other Sellable</v>
          </cell>
          <cell r="L4564" t="str">
            <v>Yes</v>
          </cell>
        </row>
        <row r="4565">
          <cell r="G4565" t="str">
            <v>Dogfish Head Spirits</v>
          </cell>
          <cell r="H4565" t="str">
            <v>Boston Beer Company</v>
          </cell>
          <cell r="K4565" t="str">
            <v>Other Sellable</v>
          </cell>
          <cell r="L4565" t="str">
            <v>Yes</v>
          </cell>
        </row>
        <row r="4566">
          <cell r="G4566" t="str">
            <v>Dogfish Head Spirits</v>
          </cell>
          <cell r="H4566" t="str">
            <v>Boston Beer Company</v>
          </cell>
          <cell r="K4566" t="str">
            <v>Other Sellable</v>
          </cell>
          <cell r="L4566" t="str">
            <v>Yes</v>
          </cell>
        </row>
        <row r="4567">
          <cell r="G4567" t="str">
            <v>Dogfish Head Spirits</v>
          </cell>
          <cell r="H4567" t="str">
            <v>Boston Beer Company</v>
          </cell>
          <cell r="K4567" t="str">
            <v>Other Sellable</v>
          </cell>
          <cell r="L4567" t="str">
            <v>No</v>
          </cell>
        </row>
        <row r="4568">
          <cell r="G4568" t="str">
            <v>Dogfish Head Spirits</v>
          </cell>
          <cell r="H4568" t="str">
            <v>Boston Beer Company</v>
          </cell>
          <cell r="K4568" t="str">
            <v>Other Sellable</v>
          </cell>
          <cell r="L4568" t="str">
            <v>No</v>
          </cell>
        </row>
        <row r="4569">
          <cell r="G4569" t="str">
            <v>Dogfish Head Spirits</v>
          </cell>
          <cell r="H4569" t="str">
            <v>Boston Beer Company</v>
          </cell>
          <cell r="K4569" t="str">
            <v>Other Sellable</v>
          </cell>
          <cell r="L4569" t="str">
            <v>No</v>
          </cell>
        </row>
        <row r="4570">
          <cell r="G4570" t="str">
            <v>Dogfish Head Spirits</v>
          </cell>
          <cell r="H4570" t="str">
            <v>Boston Beer Company</v>
          </cell>
          <cell r="K4570" t="str">
            <v>Other Sellable</v>
          </cell>
          <cell r="L4570" t="str">
            <v>No</v>
          </cell>
        </row>
        <row r="4571">
          <cell r="G4571" t="str">
            <v>Dogfish Head Spirits</v>
          </cell>
          <cell r="H4571" t="str">
            <v>Boston Beer Company</v>
          </cell>
          <cell r="K4571" t="str">
            <v>Other Sellable</v>
          </cell>
          <cell r="L4571" t="str">
            <v>No</v>
          </cell>
        </row>
        <row r="4572">
          <cell r="G4572" t="str">
            <v>Dogfish Head Spirits</v>
          </cell>
          <cell r="H4572" t="str">
            <v>Boston Beer Company</v>
          </cell>
          <cell r="K4572" t="str">
            <v>Other Sellable</v>
          </cell>
          <cell r="L4572" t="str">
            <v>No</v>
          </cell>
        </row>
        <row r="4573">
          <cell r="G4573" t="str">
            <v>Kiki</v>
          </cell>
          <cell r="H4573" t="str">
            <v>Kiki</v>
          </cell>
          <cell r="K4573" t="str">
            <v>Other Sellable</v>
          </cell>
          <cell r="L4573" t="str">
            <v>Yes</v>
          </cell>
        </row>
        <row r="4574">
          <cell r="G4574" t="str">
            <v>Kiki</v>
          </cell>
          <cell r="H4574" t="str">
            <v>Kiki</v>
          </cell>
          <cell r="K4574" t="str">
            <v>Other Sellable</v>
          </cell>
          <cell r="L4574" t="str">
            <v>Yes</v>
          </cell>
        </row>
        <row r="4575">
          <cell r="G4575" t="str">
            <v>La Bodega</v>
          </cell>
          <cell r="H4575" t="str">
            <v>Surface Brands</v>
          </cell>
          <cell r="K4575" t="str">
            <v>Other Sellable</v>
          </cell>
          <cell r="L4575" t="str">
            <v>Yes</v>
          </cell>
        </row>
        <row r="4576">
          <cell r="G4576" t="str">
            <v>La Bodega</v>
          </cell>
          <cell r="H4576" t="str">
            <v>Surface Brands</v>
          </cell>
          <cell r="K4576" t="str">
            <v>Other Sellable</v>
          </cell>
          <cell r="L4576" t="str">
            <v>Yes</v>
          </cell>
        </row>
        <row r="4577">
          <cell r="G4577" t="str">
            <v>Jerzey Jungle</v>
          </cell>
          <cell r="H4577" t="str">
            <v>Jerzey Jungle LLC</v>
          </cell>
          <cell r="K4577" t="str">
            <v>Other Sellable</v>
          </cell>
          <cell r="L4577" t="str">
            <v>Yes</v>
          </cell>
        </row>
        <row r="4578">
          <cell r="G4578" t="str">
            <v>Jerzey Jungle</v>
          </cell>
          <cell r="H4578" t="str">
            <v>Jerzey Jungle LLC</v>
          </cell>
          <cell r="K4578" t="str">
            <v>Other Sellable</v>
          </cell>
          <cell r="L4578" t="str">
            <v>Yes</v>
          </cell>
        </row>
        <row r="4579">
          <cell r="G4579" t="str">
            <v>Desquite</v>
          </cell>
          <cell r="H4579" t="str">
            <v>Licores Artesanales</v>
          </cell>
          <cell r="K4579" t="str">
            <v>Other Sellable</v>
          </cell>
          <cell r="L4579" t="str">
            <v>Yes</v>
          </cell>
        </row>
        <row r="4580">
          <cell r="G4580" t="str">
            <v>Desquite</v>
          </cell>
          <cell r="H4580" t="str">
            <v>Licores Artesanales</v>
          </cell>
          <cell r="K4580" t="str">
            <v>Other Sellable</v>
          </cell>
          <cell r="L4580" t="str">
            <v>Yes</v>
          </cell>
        </row>
        <row r="4581">
          <cell r="G4581" t="str">
            <v>Desquite</v>
          </cell>
          <cell r="H4581" t="str">
            <v>Licores Artesanales</v>
          </cell>
          <cell r="K4581" t="str">
            <v>Other Sellable</v>
          </cell>
          <cell r="L4581" t="str">
            <v>No</v>
          </cell>
        </row>
        <row r="4582">
          <cell r="G4582" t="str">
            <v>Desquite</v>
          </cell>
          <cell r="H4582" t="str">
            <v>Licores Artesanales</v>
          </cell>
          <cell r="K4582" t="str">
            <v>Other Sellable</v>
          </cell>
          <cell r="L4582" t="str">
            <v>No</v>
          </cell>
        </row>
        <row r="4583">
          <cell r="G4583" t="str">
            <v>Rompe Corazon</v>
          </cell>
          <cell r="H4583" t="str">
            <v>Primos Imports LLC</v>
          </cell>
          <cell r="K4583" t="str">
            <v>Other Sellable</v>
          </cell>
          <cell r="L4583" t="str">
            <v>Yes</v>
          </cell>
        </row>
        <row r="4584">
          <cell r="G4584" t="str">
            <v>Rompe Corazon</v>
          </cell>
          <cell r="H4584" t="str">
            <v>Primos Imports LLC</v>
          </cell>
          <cell r="K4584" t="str">
            <v>Other Sellable</v>
          </cell>
          <cell r="L4584" t="str">
            <v>Yes</v>
          </cell>
        </row>
        <row r="4585">
          <cell r="G4585" t="str">
            <v>Guaname Rompope</v>
          </cell>
          <cell r="H4585" t="str">
            <v>Primos Imports LLC</v>
          </cell>
          <cell r="K4585" t="str">
            <v>Other Sellable</v>
          </cell>
          <cell r="L4585" t="str">
            <v>Yes</v>
          </cell>
        </row>
        <row r="4586">
          <cell r="G4586" t="str">
            <v>Bardstown Green River</v>
          </cell>
          <cell r="H4586" t="str">
            <v>Bardstown Bourbon Co</v>
          </cell>
          <cell r="K4586" t="str">
            <v>Other Sellable</v>
          </cell>
          <cell r="L4586" t="str">
            <v>Yes</v>
          </cell>
        </row>
        <row r="4587">
          <cell r="G4587" t="str">
            <v>Bardstown Green River</v>
          </cell>
          <cell r="H4587" t="str">
            <v>Bardstown Bourbon Co</v>
          </cell>
          <cell r="K4587" t="str">
            <v>Other Sellable</v>
          </cell>
          <cell r="L4587" t="str">
            <v>Yes</v>
          </cell>
        </row>
        <row r="4588">
          <cell r="G4588" t="str">
            <v>Bardstown Green River</v>
          </cell>
          <cell r="H4588" t="str">
            <v>Bardstown Bourbon Co</v>
          </cell>
          <cell r="K4588" t="str">
            <v>Other Sellable</v>
          </cell>
          <cell r="L4588" t="str">
            <v>Yes</v>
          </cell>
        </row>
        <row r="4589">
          <cell r="G4589" t="str">
            <v>Bardstown Green River</v>
          </cell>
          <cell r="H4589" t="str">
            <v>Bardstown Bourbon Co</v>
          </cell>
          <cell r="K4589" t="str">
            <v>Other Sellable</v>
          </cell>
          <cell r="L4589" t="str">
            <v>Yes</v>
          </cell>
        </row>
        <row r="4590">
          <cell r="G4590" t="str">
            <v>Bardstown Bourbon</v>
          </cell>
          <cell r="H4590" t="str">
            <v>Bardstown Bourbon Co</v>
          </cell>
          <cell r="K4590" t="str">
            <v>Other Sellable</v>
          </cell>
          <cell r="L4590" t="str">
            <v>Yes</v>
          </cell>
        </row>
        <row r="4591">
          <cell r="G4591" t="str">
            <v>Bardstown Bourbon</v>
          </cell>
          <cell r="H4591" t="str">
            <v>Bardstown Bourbon Co</v>
          </cell>
          <cell r="K4591" t="str">
            <v>Other Sellable</v>
          </cell>
          <cell r="L4591" t="str">
            <v>Yes</v>
          </cell>
        </row>
        <row r="4592">
          <cell r="G4592" t="str">
            <v>Bardstown Bourbon</v>
          </cell>
          <cell r="H4592" t="str">
            <v>Bardstown Bourbon Co</v>
          </cell>
          <cell r="K4592" t="str">
            <v>Other Sellable</v>
          </cell>
          <cell r="L4592" t="str">
            <v>Yes</v>
          </cell>
        </row>
        <row r="4593">
          <cell r="G4593" t="str">
            <v>Bardstown Bourbon</v>
          </cell>
          <cell r="H4593" t="str">
            <v>Bardstown Bourbon Co</v>
          </cell>
          <cell r="K4593" t="str">
            <v>Other Sellable</v>
          </cell>
          <cell r="L4593" t="str">
            <v>Yes</v>
          </cell>
        </row>
        <row r="4594">
          <cell r="G4594" t="str">
            <v>Bardstown Bourbon</v>
          </cell>
          <cell r="H4594" t="str">
            <v>Bardstown Bourbon Co</v>
          </cell>
          <cell r="K4594" t="str">
            <v>Other Sellable</v>
          </cell>
          <cell r="L4594" t="str">
            <v>No</v>
          </cell>
        </row>
        <row r="4595">
          <cell r="G4595" t="str">
            <v>Bardstown Bourbon</v>
          </cell>
          <cell r="H4595" t="str">
            <v>Bardstown Bourbon Co</v>
          </cell>
          <cell r="K4595" t="str">
            <v>Other Sellable</v>
          </cell>
          <cell r="L4595" t="str">
            <v>No</v>
          </cell>
        </row>
        <row r="4596">
          <cell r="G4596" t="str">
            <v>Bardstown Bourbon</v>
          </cell>
          <cell r="H4596" t="str">
            <v>Bardstown Bourbon Co</v>
          </cell>
          <cell r="K4596" t="str">
            <v>Other Sellable</v>
          </cell>
          <cell r="L4596" t="str">
            <v>No</v>
          </cell>
        </row>
        <row r="4597">
          <cell r="G4597" t="str">
            <v>Bardstown Bourbon</v>
          </cell>
          <cell r="H4597" t="str">
            <v>Bardstown Bourbon Co</v>
          </cell>
          <cell r="K4597" t="str">
            <v>Other Sellable</v>
          </cell>
          <cell r="L4597" t="str">
            <v>No</v>
          </cell>
        </row>
        <row r="4598">
          <cell r="G4598" t="str">
            <v>Bardstown Bourbon</v>
          </cell>
          <cell r="H4598" t="str">
            <v>Bardstown Bourbon Co</v>
          </cell>
          <cell r="K4598" t="str">
            <v>Other Sellable</v>
          </cell>
          <cell r="L4598" t="str">
            <v>No</v>
          </cell>
        </row>
        <row r="4599">
          <cell r="G4599" t="str">
            <v>Bardstown Bourbon</v>
          </cell>
          <cell r="H4599" t="str">
            <v>Bardstown Bourbon Co</v>
          </cell>
          <cell r="K4599" t="str">
            <v>Other Sellable</v>
          </cell>
          <cell r="L4599" t="str">
            <v>No</v>
          </cell>
        </row>
        <row r="4600">
          <cell r="G4600" t="str">
            <v>Bardstown Bourbon</v>
          </cell>
          <cell r="H4600" t="str">
            <v>Bardstown Bourbon Co</v>
          </cell>
          <cell r="K4600" t="str">
            <v>Other Sellable</v>
          </cell>
          <cell r="L4600" t="str">
            <v>Yes</v>
          </cell>
        </row>
        <row r="4601">
          <cell r="G4601" t="str">
            <v>Bardstown Green River</v>
          </cell>
          <cell r="H4601" t="str">
            <v>Bardstown Bourbon Co</v>
          </cell>
          <cell r="K4601" t="str">
            <v>Other Sellable</v>
          </cell>
          <cell r="L4601" t="str">
            <v>Yes</v>
          </cell>
        </row>
        <row r="4602">
          <cell r="G4602" t="str">
            <v>Bardstown Green River</v>
          </cell>
          <cell r="H4602" t="str">
            <v>Bardstown Bourbon Co</v>
          </cell>
          <cell r="K4602" t="str">
            <v>Other Sellable</v>
          </cell>
          <cell r="L4602" t="str">
            <v>Yes</v>
          </cell>
        </row>
        <row r="4603">
          <cell r="G4603" t="str">
            <v>Bardstown Green River</v>
          </cell>
          <cell r="H4603" t="str">
            <v>Bardstown Bourbon Co</v>
          </cell>
          <cell r="K4603" t="str">
            <v>Other Sellable</v>
          </cell>
          <cell r="L4603" t="str">
            <v>Yes</v>
          </cell>
        </row>
        <row r="4604">
          <cell r="G4604" t="str">
            <v>Bardstown Bourbon</v>
          </cell>
          <cell r="H4604" t="str">
            <v>Bardstown Bourbon Co</v>
          </cell>
          <cell r="K4604" t="str">
            <v>Other Sellable</v>
          </cell>
          <cell r="L4604" t="str">
            <v>Yes</v>
          </cell>
        </row>
        <row r="4605">
          <cell r="G4605" t="str">
            <v>Bardstown Bourbon</v>
          </cell>
          <cell r="H4605" t="str">
            <v>Bardstown Bourbon Co</v>
          </cell>
          <cell r="K4605" t="str">
            <v>Other Sellable</v>
          </cell>
          <cell r="L4605" t="str">
            <v>Yes</v>
          </cell>
        </row>
        <row r="4606">
          <cell r="G4606" t="str">
            <v>Bardstown Bourbon</v>
          </cell>
          <cell r="H4606" t="str">
            <v>Bardstown Bourbon Co</v>
          </cell>
          <cell r="K4606" t="str">
            <v>Other Sellable</v>
          </cell>
          <cell r="L4606" t="str">
            <v>Yes</v>
          </cell>
        </row>
        <row r="4607">
          <cell r="G4607" t="str">
            <v>Bardstown Green River</v>
          </cell>
          <cell r="H4607" t="str">
            <v>Bardstown Bourbon Co</v>
          </cell>
          <cell r="K4607" t="str">
            <v>Other Sellable</v>
          </cell>
          <cell r="L4607" t="str">
            <v>Yes</v>
          </cell>
        </row>
        <row r="4608">
          <cell r="G4608" t="str">
            <v>Bardstown Bourbon</v>
          </cell>
          <cell r="H4608" t="str">
            <v>Bardstown Bourbon Co</v>
          </cell>
          <cell r="K4608" t="str">
            <v>Other Sellable</v>
          </cell>
          <cell r="L4608" t="str">
            <v>Yes</v>
          </cell>
        </row>
        <row r="4609">
          <cell r="G4609" t="str">
            <v>Bardstown Bourbon</v>
          </cell>
          <cell r="H4609" t="str">
            <v>Bardstown Bourbon Co</v>
          </cell>
          <cell r="K4609" t="str">
            <v>Other Sellable</v>
          </cell>
          <cell r="L4609" t="str">
            <v>No</v>
          </cell>
        </row>
        <row r="4610">
          <cell r="G4610" t="str">
            <v>Bardstown Green River</v>
          </cell>
          <cell r="H4610" t="str">
            <v>Bardstown Bourbon Co</v>
          </cell>
          <cell r="K4610" t="str">
            <v>Other Sellable</v>
          </cell>
          <cell r="L4610" t="str">
            <v>No</v>
          </cell>
        </row>
        <row r="4611">
          <cell r="G4611" t="str">
            <v>Bardstown Green River</v>
          </cell>
          <cell r="H4611" t="str">
            <v>Bardstown Bourbon Co</v>
          </cell>
          <cell r="K4611" t="str">
            <v>Other Sellable</v>
          </cell>
          <cell r="L4611" t="str">
            <v>Yes</v>
          </cell>
        </row>
        <row r="4612">
          <cell r="G4612" t="str">
            <v>Bardstown Green River</v>
          </cell>
          <cell r="H4612" t="str">
            <v>Bardstown Bourbon Co</v>
          </cell>
          <cell r="K4612" t="str">
            <v>Other Sellable</v>
          </cell>
          <cell r="L4612" t="str">
            <v>Yes</v>
          </cell>
        </row>
        <row r="4613">
          <cell r="G4613" t="str">
            <v>Bardstown Green River</v>
          </cell>
          <cell r="H4613" t="str">
            <v>Bardstown Bourbon Co</v>
          </cell>
          <cell r="K4613" t="str">
            <v>Other Sellable</v>
          </cell>
          <cell r="L4613" t="str">
            <v>Yes</v>
          </cell>
        </row>
        <row r="4614">
          <cell r="G4614" t="str">
            <v>Bardstown Bourbon</v>
          </cell>
          <cell r="H4614" t="str">
            <v>Bardstown Bourbon Co</v>
          </cell>
          <cell r="K4614" t="str">
            <v>Other Sellable</v>
          </cell>
          <cell r="L4614" t="str">
            <v>Yes</v>
          </cell>
        </row>
        <row r="4615">
          <cell r="G4615" t="str">
            <v>Bardstown Bourbon</v>
          </cell>
          <cell r="H4615" t="str">
            <v>Bardstown Bourbon Co</v>
          </cell>
          <cell r="K4615" t="str">
            <v>Other Sellable</v>
          </cell>
          <cell r="L4615" t="str">
            <v>No</v>
          </cell>
        </row>
        <row r="4616">
          <cell r="G4616" t="str">
            <v>Bardstown Bourbon</v>
          </cell>
          <cell r="H4616" t="str">
            <v>Bardstown Bourbon Co</v>
          </cell>
          <cell r="K4616" t="str">
            <v>Other Sellable</v>
          </cell>
          <cell r="L4616" t="str">
            <v>No</v>
          </cell>
        </row>
        <row r="4617">
          <cell r="G4617" t="str">
            <v>Long Trail</v>
          </cell>
          <cell r="H4617" t="str">
            <v>Harpoon Brewery</v>
          </cell>
          <cell r="K4617" t="str">
            <v>Package</v>
          </cell>
          <cell r="L4617" t="str">
            <v>Yes</v>
          </cell>
        </row>
        <row r="4618">
          <cell r="G4618" t="str">
            <v>Long Trail</v>
          </cell>
          <cell r="H4618" t="str">
            <v>Harpoon Brewery</v>
          </cell>
          <cell r="K4618" t="str">
            <v>Package</v>
          </cell>
          <cell r="L4618" t="str">
            <v>Yes</v>
          </cell>
        </row>
        <row r="4619">
          <cell r="G4619" t="str">
            <v>Long Trail</v>
          </cell>
          <cell r="H4619" t="str">
            <v>Harpoon Brewery</v>
          </cell>
          <cell r="K4619" t="str">
            <v>Package</v>
          </cell>
          <cell r="L4619" t="str">
            <v>Yes</v>
          </cell>
        </row>
        <row r="4620">
          <cell r="G4620" t="str">
            <v>Barn Brew</v>
          </cell>
          <cell r="H4620" t="str">
            <v>Barn Brew Co</v>
          </cell>
          <cell r="K4620" t="str">
            <v>Package</v>
          </cell>
          <cell r="L4620" t="str">
            <v>No</v>
          </cell>
        </row>
        <row r="4621">
          <cell r="G4621" t="str">
            <v>Lark Infused D9</v>
          </cell>
          <cell r="H4621" t="str">
            <v>Emergent Beverage Partners</v>
          </cell>
          <cell r="K4621" t="str">
            <v>Package</v>
          </cell>
          <cell r="L4621" t="str">
            <v>Yes</v>
          </cell>
        </row>
        <row r="4622">
          <cell r="G4622" t="str">
            <v>Lark Infused D9</v>
          </cell>
          <cell r="H4622" t="str">
            <v>Emergent Beverage Partners</v>
          </cell>
          <cell r="K4622" t="str">
            <v>Package</v>
          </cell>
          <cell r="L4622" t="str">
            <v>Yes</v>
          </cell>
        </row>
        <row r="4623">
          <cell r="G4623" t="str">
            <v>Herb &amp; Bloom</v>
          </cell>
          <cell r="H4623" t="str">
            <v>Tilray Alternative Beverage</v>
          </cell>
          <cell r="K4623" t="str">
            <v>Package</v>
          </cell>
          <cell r="L4623" t="str">
            <v>No</v>
          </cell>
        </row>
        <row r="4624">
          <cell r="G4624" t="str">
            <v>Herb &amp; Bloom</v>
          </cell>
          <cell r="H4624" t="str">
            <v>Tilray Alternative Beverage</v>
          </cell>
          <cell r="K4624" t="str">
            <v>Package</v>
          </cell>
          <cell r="L4624" t="str">
            <v>No</v>
          </cell>
        </row>
        <row r="4625">
          <cell r="G4625" t="str">
            <v>Herb &amp; Bloom</v>
          </cell>
          <cell r="H4625" t="str">
            <v>Tilray Alternative Beverage</v>
          </cell>
          <cell r="K4625" t="str">
            <v>Package</v>
          </cell>
          <cell r="L4625" t="str">
            <v>No</v>
          </cell>
        </row>
        <row r="4626">
          <cell r="G4626" t="str">
            <v>Herb &amp; Bloom</v>
          </cell>
          <cell r="H4626" t="str">
            <v>Tilray Alternative Beverage</v>
          </cell>
          <cell r="K4626" t="str">
            <v>Package</v>
          </cell>
          <cell r="L4626" t="str">
            <v>No</v>
          </cell>
        </row>
        <row r="4627">
          <cell r="G4627" t="str">
            <v>Herb &amp; Bloom</v>
          </cell>
          <cell r="H4627" t="str">
            <v>Tilray Alternative Beverage</v>
          </cell>
          <cell r="K4627" t="str">
            <v>Package</v>
          </cell>
          <cell r="L4627" t="str">
            <v>No</v>
          </cell>
        </row>
        <row r="4628">
          <cell r="G4628" t="str">
            <v>Herb &amp; Bloom</v>
          </cell>
          <cell r="H4628" t="str">
            <v>Tilray Alternative Beverage</v>
          </cell>
          <cell r="K4628" t="str">
            <v>Package</v>
          </cell>
          <cell r="L4628" t="str">
            <v>No</v>
          </cell>
        </row>
        <row r="4629">
          <cell r="G4629" t="str">
            <v>Fizzy Jane</v>
          </cell>
          <cell r="H4629" t="str">
            <v>Tilray Alternative Beverage</v>
          </cell>
          <cell r="K4629" t="str">
            <v>Package</v>
          </cell>
          <cell r="L4629" t="str">
            <v>Yes</v>
          </cell>
        </row>
        <row r="4630">
          <cell r="G4630" t="str">
            <v>Fizzy Jane</v>
          </cell>
          <cell r="H4630" t="str">
            <v>Tilray Alternative Beverage</v>
          </cell>
          <cell r="K4630" t="str">
            <v>Package</v>
          </cell>
          <cell r="L4630" t="str">
            <v>Yes</v>
          </cell>
        </row>
        <row r="4631">
          <cell r="G4631" t="str">
            <v>Fizzy Jane</v>
          </cell>
          <cell r="H4631" t="str">
            <v>Tilray Alternative Beverage</v>
          </cell>
          <cell r="K4631" t="str">
            <v>Package</v>
          </cell>
          <cell r="L4631" t="str">
            <v>Yes</v>
          </cell>
        </row>
        <row r="4632">
          <cell r="G4632" t="str">
            <v>Crooked Beverage</v>
          </cell>
          <cell r="H4632" t="str">
            <v>Emergent Beverage Partners</v>
          </cell>
          <cell r="K4632" t="str">
            <v>Package</v>
          </cell>
          <cell r="L4632" t="str">
            <v>No</v>
          </cell>
        </row>
        <row r="4633">
          <cell r="G4633" t="str">
            <v>Hectare's</v>
          </cell>
          <cell r="H4633" t="str">
            <v>Emergent Beverage Partners</v>
          </cell>
          <cell r="K4633" t="str">
            <v>Package</v>
          </cell>
          <cell r="L4633" t="str">
            <v>No</v>
          </cell>
        </row>
        <row r="4634">
          <cell r="G4634" t="str">
            <v>Hectare's</v>
          </cell>
          <cell r="H4634" t="str">
            <v>Emergent Beverage Partners</v>
          </cell>
          <cell r="K4634" t="str">
            <v>Package</v>
          </cell>
          <cell r="L4634" t="str">
            <v>Yes</v>
          </cell>
        </row>
        <row r="4635">
          <cell r="G4635" t="str">
            <v>Crooked Beverage</v>
          </cell>
          <cell r="H4635" t="str">
            <v>Emergent Beverage Partners</v>
          </cell>
          <cell r="K4635" t="str">
            <v>Package</v>
          </cell>
          <cell r="L4635" t="str">
            <v>No</v>
          </cell>
        </row>
        <row r="4636">
          <cell r="G4636" t="str">
            <v>Hectare's</v>
          </cell>
          <cell r="H4636" t="str">
            <v>Emergent Beverage Partners</v>
          </cell>
          <cell r="K4636" t="str">
            <v>Package</v>
          </cell>
          <cell r="L4636" t="str">
            <v>Yes</v>
          </cell>
        </row>
        <row r="4637">
          <cell r="G4637" t="str">
            <v>Crescent 9</v>
          </cell>
          <cell r="H4637" t="str">
            <v>Crescent Canna</v>
          </cell>
          <cell r="K4637" t="str">
            <v>Package</v>
          </cell>
          <cell r="L4637" t="str">
            <v>No</v>
          </cell>
        </row>
        <row r="4638">
          <cell r="G4638" t="str">
            <v>Crescent 9</v>
          </cell>
          <cell r="H4638" t="str">
            <v>Crescent Canna</v>
          </cell>
          <cell r="K4638" t="str">
            <v>Package</v>
          </cell>
          <cell r="L4638" t="str">
            <v>Yes</v>
          </cell>
        </row>
        <row r="4639">
          <cell r="G4639" t="str">
            <v>Crescent 9</v>
          </cell>
          <cell r="H4639" t="str">
            <v>Crescent Canna</v>
          </cell>
          <cell r="K4639" t="str">
            <v>Package</v>
          </cell>
          <cell r="L4639" t="str">
            <v>Yes</v>
          </cell>
        </row>
        <row r="4640">
          <cell r="G4640" t="str">
            <v>Crooked Beverage</v>
          </cell>
          <cell r="H4640" t="str">
            <v>Emergent Beverage Partners</v>
          </cell>
          <cell r="K4640" t="str">
            <v>Package</v>
          </cell>
          <cell r="L4640" t="str">
            <v>No</v>
          </cell>
        </row>
        <row r="4641">
          <cell r="G4641" t="str">
            <v>Hectare's</v>
          </cell>
          <cell r="H4641" t="str">
            <v>Emergent Beverage Partners</v>
          </cell>
          <cell r="K4641" t="str">
            <v>Package</v>
          </cell>
          <cell r="L4641" t="str">
            <v>No</v>
          </cell>
        </row>
        <row r="4642">
          <cell r="G4642" t="str">
            <v>Crooked Beverage</v>
          </cell>
          <cell r="H4642" t="str">
            <v>Emergent Beverage Partners</v>
          </cell>
          <cell r="K4642" t="str">
            <v>Package</v>
          </cell>
          <cell r="L4642" t="str">
            <v>No</v>
          </cell>
        </row>
        <row r="4643">
          <cell r="G4643" t="str">
            <v>Lark Infused D9</v>
          </cell>
          <cell r="H4643" t="str">
            <v>Emergent Beverage Partners</v>
          </cell>
          <cell r="K4643" t="str">
            <v>Package</v>
          </cell>
          <cell r="L4643" t="str">
            <v>No</v>
          </cell>
        </row>
        <row r="4644">
          <cell r="G4644" t="str">
            <v>Happy Flower</v>
          </cell>
          <cell r="H4644" t="str">
            <v>Tilray Alternative Beverage</v>
          </cell>
          <cell r="K4644" t="str">
            <v>Package</v>
          </cell>
          <cell r="L4644" t="str">
            <v>Yes</v>
          </cell>
        </row>
        <row r="4645">
          <cell r="G4645" t="str">
            <v>Mota'Lada</v>
          </cell>
          <cell r="H4645" t="str">
            <v>Blaze Life LLC</v>
          </cell>
          <cell r="K4645" t="str">
            <v>Package</v>
          </cell>
          <cell r="L4645" t="str">
            <v>No</v>
          </cell>
        </row>
        <row r="4646">
          <cell r="G4646" t="str">
            <v>Dad Grass</v>
          </cell>
          <cell r="H4646" t="str">
            <v>Dad Grass</v>
          </cell>
          <cell r="K4646" t="str">
            <v>Package</v>
          </cell>
          <cell r="L4646" t="str">
            <v>Yes</v>
          </cell>
        </row>
        <row r="4647">
          <cell r="G4647" t="str">
            <v>Dad Grass</v>
          </cell>
          <cell r="H4647" t="str">
            <v>Dad Grass</v>
          </cell>
          <cell r="K4647" t="str">
            <v>Package</v>
          </cell>
          <cell r="L4647" t="str">
            <v>Yes</v>
          </cell>
        </row>
        <row r="4648">
          <cell r="G4648" t="str">
            <v>Barn Brew</v>
          </cell>
          <cell r="H4648" t="str">
            <v>Barn Brew Co</v>
          </cell>
          <cell r="K4648" t="str">
            <v>Package</v>
          </cell>
          <cell r="L4648" t="str">
            <v>Yes</v>
          </cell>
        </row>
        <row r="4649">
          <cell r="G4649" t="str">
            <v>Barn Brew</v>
          </cell>
          <cell r="H4649" t="str">
            <v>Barn Brew Co</v>
          </cell>
          <cell r="K4649" t="str">
            <v>Package</v>
          </cell>
          <cell r="L4649" t="str">
            <v>Yes</v>
          </cell>
        </row>
        <row r="4650">
          <cell r="G4650" t="str">
            <v>Barn Brew</v>
          </cell>
          <cell r="H4650" t="str">
            <v>Barn Brew Co</v>
          </cell>
          <cell r="K4650" t="str">
            <v>Package</v>
          </cell>
          <cell r="L4650" t="str">
            <v>Yes</v>
          </cell>
        </row>
        <row r="4651">
          <cell r="G4651" t="str">
            <v>Barn Brew</v>
          </cell>
          <cell r="H4651" t="str">
            <v>Barn Brew Co</v>
          </cell>
          <cell r="K4651" t="str">
            <v>Package</v>
          </cell>
          <cell r="L4651" t="str">
            <v>Yes</v>
          </cell>
        </row>
        <row r="4652">
          <cell r="G4652" t="str">
            <v>Barn Brew</v>
          </cell>
          <cell r="H4652" t="str">
            <v>Barn Brew Co</v>
          </cell>
          <cell r="K4652" t="str">
            <v>Package</v>
          </cell>
          <cell r="L4652" t="str">
            <v>Yes</v>
          </cell>
        </row>
        <row r="4653">
          <cell r="G4653" t="str">
            <v>Bodega Chiller</v>
          </cell>
          <cell r="H4653" t="str">
            <v>Blaze Life LLC</v>
          </cell>
          <cell r="K4653" t="str">
            <v>Package</v>
          </cell>
          <cell r="L4653" t="str">
            <v>No</v>
          </cell>
        </row>
        <row r="4654">
          <cell r="G4654" t="str">
            <v>Bodega Chiller</v>
          </cell>
          <cell r="H4654" t="str">
            <v>Blaze Life LLC</v>
          </cell>
          <cell r="K4654" t="str">
            <v>Package</v>
          </cell>
          <cell r="L4654" t="str">
            <v>No</v>
          </cell>
        </row>
        <row r="4655">
          <cell r="G4655" t="str">
            <v>Bodega Chiller</v>
          </cell>
          <cell r="H4655" t="str">
            <v>Blaze Life LLC</v>
          </cell>
          <cell r="K4655" t="str">
            <v>Package</v>
          </cell>
          <cell r="L4655" t="str">
            <v>No</v>
          </cell>
        </row>
        <row r="4656">
          <cell r="G4656" t="str">
            <v>Happy Flower</v>
          </cell>
          <cell r="H4656" t="str">
            <v>Tilray Alternative Beverage</v>
          </cell>
          <cell r="K4656" t="str">
            <v>Package</v>
          </cell>
          <cell r="L4656" t="str">
            <v>Yes</v>
          </cell>
        </row>
        <row r="4657">
          <cell r="G4657" t="str">
            <v>Happy Flower</v>
          </cell>
          <cell r="H4657" t="str">
            <v>Tilray Alternative Beverage</v>
          </cell>
          <cell r="K4657" t="str">
            <v>Package</v>
          </cell>
          <cell r="L4657" t="str">
            <v>Yes</v>
          </cell>
        </row>
        <row r="4658">
          <cell r="G4658" t="str">
            <v>Happy Flower</v>
          </cell>
          <cell r="H4658" t="str">
            <v>Tilray Alternative Beverage</v>
          </cell>
          <cell r="K4658" t="str">
            <v>Package</v>
          </cell>
          <cell r="L4658" t="str">
            <v>Yes</v>
          </cell>
        </row>
        <row r="4659">
          <cell r="G4659" t="str">
            <v>Hectare's</v>
          </cell>
          <cell r="H4659" t="str">
            <v>Emergent Beverage Partners</v>
          </cell>
          <cell r="K4659" t="str">
            <v>Package</v>
          </cell>
          <cell r="L4659" t="str">
            <v>No</v>
          </cell>
        </row>
        <row r="4660">
          <cell r="G4660" t="str">
            <v>Hectare's</v>
          </cell>
          <cell r="H4660" t="str">
            <v>Emergent Beverage Partners</v>
          </cell>
          <cell r="K4660" t="str">
            <v>Package</v>
          </cell>
          <cell r="L4660" t="str">
            <v>No</v>
          </cell>
        </row>
        <row r="4661">
          <cell r="G4661" t="str">
            <v>Bella Ray</v>
          </cell>
          <cell r="H4661" t="str">
            <v>Bella Ray Beverage</v>
          </cell>
          <cell r="K4661" t="str">
            <v>Package</v>
          </cell>
          <cell r="L4661" t="str">
            <v>Yes</v>
          </cell>
        </row>
        <row r="4662">
          <cell r="G4662" t="str">
            <v>Bella Ray</v>
          </cell>
          <cell r="H4662" t="str">
            <v>Bella Ray Beverage</v>
          </cell>
          <cell r="K4662" t="str">
            <v>Package</v>
          </cell>
          <cell r="L4662" t="str">
            <v>Yes</v>
          </cell>
        </row>
        <row r="4663">
          <cell r="G4663" t="str">
            <v>Bella Ray</v>
          </cell>
          <cell r="H4663" t="str">
            <v>Bella Ray Beverage</v>
          </cell>
          <cell r="K4663" t="str">
            <v>Package</v>
          </cell>
          <cell r="L4663" t="str">
            <v>Yes</v>
          </cell>
        </row>
        <row r="4664">
          <cell r="G4664" t="str">
            <v>Bella Ray</v>
          </cell>
          <cell r="H4664" t="str">
            <v>Bella Ray Beverage</v>
          </cell>
          <cell r="K4664" t="str">
            <v>Package</v>
          </cell>
          <cell r="L4664" t="str">
            <v>Yes</v>
          </cell>
        </row>
        <row r="4665">
          <cell r="G4665" t="str">
            <v>Bella Ray</v>
          </cell>
          <cell r="H4665" t="str">
            <v>Bella Ray Beverage</v>
          </cell>
          <cell r="K4665" t="str">
            <v>Package</v>
          </cell>
          <cell r="L4665" t="str">
            <v>Yes</v>
          </cell>
        </row>
        <row r="4666">
          <cell r="G4666" t="str">
            <v>Brio</v>
          </cell>
          <cell r="H4666" t="str">
            <v>Dreamz Invenstments LLC</v>
          </cell>
          <cell r="K4666" t="str">
            <v>Package</v>
          </cell>
          <cell r="L4666" t="str">
            <v>Yes</v>
          </cell>
        </row>
        <row r="4667">
          <cell r="G4667" t="str">
            <v>Brio</v>
          </cell>
          <cell r="H4667" t="str">
            <v>Dreamz Invenstments LLC</v>
          </cell>
          <cell r="K4667" t="str">
            <v>Package</v>
          </cell>
          <cell r="L4667" t="str">
            <v>Yes</v>
          </cell>
        </row>
        <row r="4668">
          <cell r="G4668" t="str">
            <v>Hi5</v>
          </cell>
          <cell r="H4668" t="str">
            <v>Modern Infusions</v>
          </cell>
          <cell r="K4668" t="str">
            <v>Package</v>
          </cell>
          <cell r="L4668" t="str">
            <v>No</v>
          </cell>
        </row>
        <row r="4669">
          <cell r="G4669" t="str">
            <v>Crescent 9</v>
          </cell>
          <cell r="H4669" t="str">
            <v>Crescent Canna</v>
          </cell>
          <cell r="K4669" t="str">
            <v>Package</v>
          </cell>
          <cell r="L4669" t="str">
            <v>Yes</v>
          </cell>
        </row>
        <row r="4670">
          <cell r="G4670" t="str">
            <v>Hi5</v>
          </cell>
          <cell r="H4670" t="str">
            <v>Modern Infusions</v>
          </cell>
          <cell r="K4670" t="str">
            <v>Package</v>
          </cell>
          <cell r="L4670" t="str">
            <v>Yes</v>
          </cell>
        </row>
        <row r="4671">
          <cell r="G4671" t="str">
            <v>Hi5</v>
          </cell>
          <cell r="H4671" t="str">
            <v>Modern Infusions</v>
          </cell>
          <cell r="K4671" t="str">
            <v>Package</v>
          </cell>
          <cell r="L4671" t="str">
            <v>Yes</v>
          </cell>
        </row>
        <row r="4672">
          <cell r="G4672" t="str">
            <v>Hi5</v>
          </cell>
          <cell r="H4672" t="str">
            <v>Modern Infusions</v>
          </cell>
          <cell r="K4672" t="str">
            <v>Package</v>
          </cell>
          <cell r="L4672" t="str">
            <v>Yes</v>
          </cell>
        </row>
        <row r="4673">
          <cell r="G4673" t="str">
            <v>Hi5</v>
          </cell>
          <cell r="H4673" t="str">
            <v>Modern Infusions</v>
          </cell>
          <cell r="K4673" t="str">
            <v>Package</v>
          </cell>
          <cell r="L4673" t="str">
            <v>Yes</v>
          </cell>
        </row>
        <row r="4674">
          <cell r="G4674" t="str">
            <v>Fizzy Jane</v>
          </cell>
          <cell r="H4674" t="str">
            <v>Tilray Alternative Beverage</v>
          </cell>
          <cell r="K4674" t="str">
            <v>Package</v>
          </cell>
          <cell r="L4674" t="str">
            <v>Yes</v>
          </cell>
        </row>
        <row r="4675">
          <cell r="G4675" t="str">
            <v>Fizzy Jane</v>
          </cell>
          <cell r="H4675" t="str">
            <v>Tilray Alternative Beverage</v>
          </cell>
          <cell r="K4675" t="str">
            <v>Package</v>
          </cell>
          <cell r="L4675" t="str">
            <v>Yes</v>
          </cell>
        </row>
        <row r="4676">
          <cell r="G4676" t="str">
            <v>Fizzy Jane</v>
          </cell>
          <cell r="H4676" t="str">
            <v>Tilray Alternative Beverage</v>
          </cell>
          <cell r="K4676" t="str">
            <v>Package</v>
          </cell>
          <cell r="L4676" t="str">
            <v>Yes</v>
          </cell>
        </row>
        <row r="4677">
          <cell r="G4677" t="str">
            <v>Hi5</v>
          </cell>
          <cell r="H4677" t="str">
            <v>Modern Infusions</v>
          </cell>
          <cell r="K4677" t="str">
            <v>Package</v>
          </cell>
          <cell r="L4677" t="str">
            <v>No</v>
          </cell>
        </row>
        <row r="4678">
          <cell r="G4678" t="str">
            <v>Hi5</v>
          </cell>
          <cell r="H4678" t="str">
            <v>Modern Infusions</v>
          </cell>
          <cell r="K4678" t="str">
            <v>Package</v>
          </cell>
          <cell r="L4678" t="str">
            <v>No</v>
          </cell>
        </row>
        <row r="4679">
          <cell r="G4679" t="str">
            <v>Hi5</v>
          </cell>
          <cell r="H4679" t="str">
            <v>Modern Infusions</v>
          </cell>
          <cell r="K4679" t="str">
            <v>Package</v>
          </cell>
          <cell r="L4679" t="str">
            <v>Yes</v>
          </cell>
        </row>
        <row r="4680">
          <cell r="G4680" t="str">
            <v>Crescent 9</v>
          </cell>
          <cell r="H4680" t="str">
            <v>Crescent Canna</v>
          </cell>
          <cell r="K4680" t="str">
            <v>Package</v>
          </cell>
          <cell r="L4680" t="str">
            <v>Yes</v>
          </cell>
        </row>
        <row r="4681">
          <cell r="G4681" t="str">
            <v>Fiveislands</v>
          </cell>
          <cell r="H4681" t="str">
            <v>Modern Infusions</v>
          </cell>
          <cell r="K4681" t="str">
            <v>Package</v>
          </cell>
          <cell r="L4681" t="str">
            <v>Yes</v>
          </cell>
        </row>
        <row r="4682">
          <cell r="G4682" t="str">
            <v>Fiveislands</v>
          </cell>
          <cell r="H4682" t="str">
            <v>Modern Infusions</v>
          </cell>
          <cell r="K4682" t="str">
            <v>Package</v>
          </cell>
          <cell r="L4682" t="str">
            <v>Yes</v>
          </cell>
        </row>
        <row r="4683">
          <cell r="G4683" t="str">
            <v>Fiveislands</v>
          </cell>
          <cell r="H4683" t="str">
            <v>Modern Infusions</v>
          </cell>
          <cell r="K4683" t="str">
            <v>Package</v>
          </cell>
          <cell r="L4683" t="str">
            <v>No</v>
          </cell>
        </row>
        <row r="4684">
          <cell r="G4684" t="str">
            <v>Fiveislands</v>
          </cell>
          <cell r="H4684" t="str">
            <v>Modern Infusions</v>
          </cell>
          <cell r="K4684" t="str">
            <v>Package</v>
          </cell>
          <cell r="L4684" t="str">
            <v>Yes</v>
          </cell>
        </row>
        <row r="4685">
          <cell r="G4685" t="str">
            <v>LoDo</v>
          </cell>
          <cell r="H4685" t="str">
            <v>Lodo Brands</v>
          </cell>
          <cell r="K4685" t="str">
            <v>Package</v>
          </cell>
          <cell r="L4685" t="str">
            <v>No</v>
          </cell>
        </row>
        <row r="4686">
          <cell r="G4686" t="str">
            <v>LoDo</v>
          </cell>
          <cell r="H4686" t="str">
            <v>Lodo Brands</v>
          </cell>
          <cell r="K4686" t="str">
            <v>Package</v>
          </cell>
          <cell r="L4686" t="str">
            <v>No</v>
          </cell>
        </row>
        <row r="4687">
          <cell r="G4687" t="str">
            <v>LoDo</v>
          </cell>
          <cell r="H4687" t="str">
            <v>Lodo Brands</v>
          </cell>
          <cell r="K4687" t="str">
            <v>Package</v>
          </cell>
          <cell r="L4687" t="str">
            <v>No</v>
          </cell>
        </row>
        <row r="4688">
          <cell r="G4688" t="str">
            <v>LoDo</v>
          </cell>
          <cell r="H4688" t="str">
            <v>Lodo Brands</v>
          </cell>
          <cell r="K4688" t="str">
            <v>Package</v>
          </cell>
          <cell r="L4688" t="str">
            <v>Yes</v>
          </cell>
        </row>
        <row r="4689">
          <cell r="G4689" t="str">
            <v>LoDo</v>
          </cell>
          <cell r="H4689" t="str">
            <v>Lodo Brands</v>
          </cell>
          <cell r="K4689" t="str">
            <v>Package</v>
          </cell>
          <cell r="L4689" t="str">
            <v>Yes</v>
          </cell>
        </row>
        <row r="4690">
          <cell r="G4690" t="str">
            <v>LoDo</v>
          </cell>
          <cell r="H4690" t="str">
            <v>Lodo Brands</v>
          </cell>
          <cell r="K4690" t="str">
            <v>Package</v>
          </cell>
          <cell r="L4690" t="str">
            <v>No</v>
          </cell>
        </row>
        <row r="4691">
          <cell r="G4691" t="str">
            <v>Crescent 9</v>
          </cell>
          <cell r="H4691" t="str">
            <v>Crescent Canna</v>
          </cell>
          <cell r="K4691" t="str">
            <v>Package</v>
          </cell>
          <cell r="L4691" t="str">
            <v>Yes</v>
          </cell>
        </row>
        <row r="4692">
          <cell r="G4692" t="str">
            <v>Delta</v>
          </cell>
          <cell r="H4692" t="str">
            <v>Delta Beverage LLC</v>
          </cell>
          <cell r="K4692" t="str">
            <v>Package</v>
          </cell>
          <cell r="L4692" t="str">
            <v>Yes</v>
          </cell>
        </row>
        <row r="4693">
          <cell r="G4693" t="str">
            <v>Delta</v>
          </cell>
          <cell r="H4693" t="str">
            <v>Delta Beverage LLC</v>
          </cell>
          <cell r="K4693" t="str">
            <v>Package</v>
          </cell>
          <cell r="L4693" t="str">
            <v>Yes</v>
          </cell>
        </row>
        <row r="4694">
          <cell r="G4694" t="str">
            <v>Delta</v>
          </cell>
          <cell r="H4694" t="str">
            <v>Delta Beverage LLC</v>
          </cell>
          <cell r="K4694" t="str">
            <v>Package</v>
          </cell>
          <cell r="L4694" t="str">
            <v>Yes</v>
          </cell>
        </row>
        <row r="4695">
          <cell r="G4695" t="str">
            <v>Delta</v>
          </cell>
          <cell r="H4695" t="str">
            <v>Delta Beverage LLC</v>
          </cell>
          <cell r="K4695" t="str">
            <v>Package</v>
          </cell>
          <cell r="L4695" t="str">
            <v>Yes</v>
          </cell>
        </row>
        <row r="4696">
          <cell r="G4696" t="str">
            <v>Delta</v>
          </cell>
          <cell r="H4696" t="str">
            <v>Delta Beverage LLC</v>
          </cell>
          <cell r="K4696" t="str">
            <v>Package</v>
          </cell>
          <cell r="L4696" t="str">
            <v>Yes</v>
          </cell>
        </row>
        <row r="4697">
          <cell r="G4697" t="str">
            <v>Delta</v>
          </cell>
          <cell r="H4697" t="str">
            <v>Delta Beverage LLC</v>
          </cell>
          <cell r="K4697" t="str">
            <v>Package</v>
          </cell>
          <cell r="L4697" t="str">
            <v>Yes</v>
          </cell>
        </row>
        <row r="4698">
          <cell r="G4698" t="str">
            <v>Delta</v>
          </cell>
          <cell r="H4698" t="str">
            <v>Delta Beverage LLC</v>
          </cell>
          <cell r="K4698" t="str">
            <v>Package</v>
          </cell>
          <cell r="L4698" t="str">
            <v>Yes</v>
          </cell>
        </row>
        <row r="4699">
          <cell r="G4699" t="str">
            <v>Delta</v>
          </cell>
          <cell r="H4699" t="str">
            <v>Delta Beverage LLC</v>
          </cell>
          <cell r="K4699" t="str">
            <v>Package</v>
          </cell>
          <cell r="L4699" t="str">
            <v>Yes</v>
          </cell>
        </row>
        <row r="4700">
          <cell r="G4700" t="str">
            <v>Bodega Quarters</v>
          </cell>
          <cell r="H4700" t="str">
            <v>Blaze Life LLC</v>
          </cell>
          <cell r="K4700" t="str">
            <v>Package</v>
          </cell>
          <cell r="L4700" t="str">
            <v>No</v>
          </cell>
        </row>
        <row r="4701">
          <cell r="G4701" t="str">
            <v>Boldt Infused D9</v>
          </cell>
          <cell r="H4701" t="str">
            <v>Emergent Beverage Partners</v>
          </cell>
          <cell r="K4701" t="str">
            <v>Package</v>
          </cell>
          <cell r="L4701" t="str">
            <v>Yes</v>
          </cell>
        </row>
        <row r="4702">
          <cell r="G4702" t="str">
            <v>Boldt Infused D9</v>
          </cell>
          <cell r="H4702" t="str">
            <v>Emergent Beverage Partners</v>
          </cell>
          <cell r="K4702" t="str">
            <v>Package</v>
          </cell>
          <cell r="L4702" t="str">
            <v>Yes</v>
          </cell>
        </row>
        <row r="4703">
          <cell r="G4703" t="str">
            <v>Boldt Infused D9</v>
          </cell>
          <cell r="H4703" t="str">
            <v>Emergent Beverage Partners</v>
          </cell>
          <cell r="K4703" t="str">
            <v>Package</v>
          </cell>
          <cell r="L4703" t="str">
            <v>Yes</v>
          </cell>
        </row>
        <row r="4704">
          <cell r="G4704" t="str">
            <v>Boldt Infused D9</v>
          </cell>
          <cell r="H4704" t="str">
            <v>Emergent Beverage Partners</v>
          </cell>
          <cell r="K4704" t="str">
            <v>Package</v>
          </cell>
          <cell r="L4704" t="str">
            <v>Yes</v>
          </cell>
        </row>
        <row r="4705">
          <cell r="G4705" t="str">
            <v>Alte Beverage</v>
          </cell>
          <cell r="H4705" t="str">
            <v>Alte Beverage</v>
          </cell>
          <cell r="K4705" t="str">
            <v>Package</v>
          </cell>
          <cell r="L4705" t="str">
            <v>Yes</v>
          </cell>
        </row>
        <row r="4706">
          <cell r="G4706" t="str">
            <v>Alte Beverage</v>
          </cell>
          <cell r="H4706" t="str">
            <v>Alte Beverage</v>
          </cell>
          <cell r="K4706" t="str">
            <v>Package</v>
          </cell>
          <cell r="L4706" t="str">
            <v>Yes</v>
          </cell>
        </row>
        <row r="4707">
          <cell r="G4707" t="str">
            <v>Alte Beverage</v>
          </cell>
          <cell r="H4707" t="str">
            <v>Alte Beverage</v>
          </cell>
          <cell r="K4707" t="str">
            <v>Package</v>
          </cell>
          <cell r="L4707" t="str">
            <v>Yes</v>
          </cell>
        </row>
        <row r="4708">
          <cell r="G4708" t="str">
            <v>Alte Beverage</v>
          </cell>
          <cell r="H4708" t="str">
            <v>Alte Beverage</v>
          </cell>
          <cell r="K4708" t="str">
            <v>Package</v>
          </cell>
          <cell r="L4708" t="str">
            <v>Yes</v>
          </cell>
        </row>
        <row r="4709">
          <cell r="G4709" t="str">
            <v>Crescent 9</v>
          </cell>
          <cell r="H4709" t="str">
            <v>Crescent Canna</v>
          </cell>
          <cell r="K4709" t="str">
            <v>Package</v>
          </cell>
          <cell r="L4709" t="str">
            <v>Yes</v>
          </cell>
        </row>
        <row r="4710">
          <cell r="G4710" t="str">
            <v>Dad Grass</v>
          </cell>
          <cell r="H4710" t="str">
            <v>Dad Grass</v>
          </cell>
          <cell r="K4710" t="str">
            <v>Package</v>
          </cell>
          <cell r="L4710" t="str">
            <v>Yes</v>
          </cell>
        </row>
        <row r="4711">
          <cell r="G4711" t="str">
            <v>Dad Grass</v>
          </cell>
          <cell r="H4711" t="str">
            <v>Dad Grass</v>
          </cell>
          <cell r="K4711" t="str">
            <v>Package</v>
          </cell>
          <cell r="L4711" t="str">
            <v>Yes</v>
          </cell>
        </row>
        <row r="4712">
          <cell r="G4712" t="str">
            <v>Delta</v>
          </cell>
          <cell r="H4712" t="str">
            <v>Delta Beverage LLC</v>
          </cell>
          <cell r="K4712" t="str">
            <v>Package</v>
          </cell>
          <cell r="L4712" t="str">
            <v>No</v>
          </cell>
        </row>
        <row r="4713">
          <cell r="G4713" t="str">
            <v>Hectare's</v>
          </cell>
          <cell r="H4713" t="str">
            <v>Emergent Beverage Partners</v>
          </cell>
          <cell r="K4713" t="str">
            <v>Package</v>
          </cell>
          <cell r="L4713" t="str">
            <v>Yes</v>
          </cell>
        </row>
        <row r="4714">
          <cell r="G4714" t="str">
            <v>Hectare's</v>
          </cell>
          <cell r="H4714" t="str">
            <v>Emergent Beverage Partners</v>
          </cell>
          <cell r="K4714" t="str">
            <v>Package</v>
          </cell>
          <cell r="L4714" t="str">
            <v>Yes</v>
          </cell>
        </row>
        <row r="4715">
          <cell r="G4715" t="str">
            <v>Delta</v>
          </cell>
          <cell r="H4715" t="str">
            <v>Delta Beverage LLC</v>
          </cell>
          <cell r="K4715" t="str">
            <v>Package</v>
          </cell>
          <cell r="L4715" t="str">
            <v>No</v>
          </cell>
        </row>
        <row r="4716">
          <cell r="G4716" t="str">
            <v>Float Shoppe</v>
          </cell>
          <cell r="H4716" t="str">
            <v>Great Lakes</v>
          </cell>
          <cell r="K4716" t="str">
            <v>Package</v>
          </cell>
          <cell r="L4716" t="str">
            <v>Yes</v>
          </cell>
        </row>
        <row r="4717">
          <cell r="G4717" t="str">
            <v>Belize Breeze</v>
          </cell>
          <cell r="H4717" t="str">
            <v>Power Distribution LLC</v>
          </cell>
          <cell r="K4717" t="str">
            <v>Package</v>
          </cell>
          <cell r="L4717" t="str">
            <v>No</v>
          </cell>
        </row>
        <row r="4718">
          <cell r="G4718" t="str">
            <v>Belize Breeze</v>
          </cell>
          <cell r="H4718" t="str">
            <v>Power Distribution LLC</v>
          </cell>
          <cell r="K4718" t="str">
            <v>Package</v>
          </cell>
          <cell r="L4718" t="str">
            <v>No</v>
          </cell>
        </row>
        <row r="4719">
          <cell r="G4719" t="str">
            <v>Belize Breeze</v>
          </cell>
          <cell r="H4719" t="str">
            <v>Power Distribution LLC</v>
          </cell>
          <cell r="K4719" t="str">
            <v>Package</v>
          </cell>
          <cell r="L4719" t="str">
            <v>No</v>
          </cell>
        </row>
        <row r="4720">
          <cell r="G4720" t="str">
            <v>Belize Breeze</v>
          </cell>
          <cell r="H4720" t="str">
            <v>Power Distribution LLC</v>
          </cell>
          <cell r="K4720" t="str">
            <v>Package</v>
          </cell>
          <cell r="L4720" t="str">
            <v>Yes</v>
          </cell>
        </row>
        <row r="4721">
          <cell r="G4721" t="str">
            <v>LoDo</v>
          </cell>
          <cell r="H4721" t="str">
            <v>Lodo Brands</v>
          </cell>
          <cell r="K4721" t="str">
            <v>Package</v>
          </cell>
          <cell r="L4721" t="str">
            <v>Yes</v>
          </cell>
        </row>
        <row r="4722">
          <cell r="G4722" t="str">
            <v>LoDo</v>
          </cell>
          <cell r="H4722" t="str">
            <v>Lodo Brands</v>
          </cell>
          <cell r="K4722" t="str">
            <v>Package</v>
          </cell>
          <cell r="L4722" t="str">
            <v>Yes</v>
          </cell>
        </row>
        <row r="4723">
          <cell r="G4723" t="str">
            <v>LoDo</v>
          </cell>
          <cell r="H4723" t="str">
            <v>Lodo Brands</v>
          </cell>
          <cell r="K4723" t="str">
            <v>Package</v>
          </cell>
          <cell r="L4723" t="str">
            <v>Yes</v>
          </cell>
        </row>
        <row r="4724">
          <cell r="G4724" t="str">
            <v>Bloom Bubbles</v>
          </cell>
          <cell r="H4724" t="str">
            <v>Pio Imports</v>
          </cell>
          <cell r="K4724" t="str">
            <v>Other Sellable</v>
          </cell>
          <cell r="L4724" t="str">
            <v>Yes</v>
          </cell>
        </row>
        <row r="4725">
          <cell r="G4725" t="str">
            <v>Le Grand Noir</v>
          </cell>
          <cell r="H4725" t="str">
            <v>Prestige Beverage Group</v>
          </cell>
          <cell r="K4725" t="str">
            <v>Other Sellable</v>
          </cell>
          <cell r="L4725" t="str">
            <v>Yes</v>
          </cell>
        </row>
        <row r="4726">
          <cell r="G4726" t="str">
            <v>Le Grand Noir</v>
          </cell>
          <cell r="H4726" t="str">
            <v>Prestige Beverage Group</v>
          </cell>
          <cell r="K4726" t="str">
            <v>Other Sellable</v>
          </cell>
          <cell r="L4726" t="str">
            <v>Yes</v>
          </cell>
        </row>
        <row r="4727">
          <cell r="G4727" t="str">
            <v>Le Grand Noir</v>
          </cell>
          <cell r="H4727" t="str">
            <v>Prestige Beverage Group</v>
          </cell>
          <cell r="K4727" t="str">
            <v>Other Sellable</v>
          </cell>
          <cell r="L4727" t="str">
            <v>Yes</v>
          </cell>
        </row>
        <row r="4728">
          <cell r="G4728" t="str">
            <v>Le Grand Noir</v>
          </cell>
          <cell r="H4728" t="str">
            <v>Prestige Beverage Group</v>
          </cell>
          <cell r="K4728" t="str">
            <v>Other Sellable</v>
          </cell>
          <cell r="L4728" t="str">
            <v>Yes</v>
          </cell>
        </row>
        <row r="4729">
          <cell r="G4729" t="str">
            <v>Le Grand Noir</v>
          </cell>
          <cell r="H4729" t="str">
            <v>Prestige Beverage Group</v>
          </cell>
          <cell r="K4729" t="str">
            <v>Other Sellable</v>
          </cell>
          <cell r="L4729" t="str">
            <v>Yes</v>
          </cell>
        </row>
        <row r="4730">
          <cell r="G4730" t="str">
            <v>Beviamo</v>
          </cell>
          <cell r="H4730" t="str">
            <v>Prestige Beverage Group</v>
          </cell>
          <cell r="K4730" t="str">
            <v>Other Sellable</v>
          </cell>
          <cell r="L4730" t="str">
            <v>Yes</v>
          </cell>
        </row>
        <row r="4731">
          <cell r="G4731" t="str">
            <v>Gionelli</v>
          </cell>
          <cell r="H4731" t="str">
            <v>Prestige Beverage Group</v>
          </cell>
          <cell r="K4731" t="str">
            <v>Other Sellable</v>
          </cell>
          <cell r="L4731" t="str">
            <v>Yes</v>
          </cell>
        </row>
        <row r="4732">
          <cell r="G4732" t="str">
            <v>Oceano</v>
          </cell>
          <cell r="H4732" t="str">
            <v>Oceano</v>
          </cell>
          <cell r="K4732" t="str">
            <v>Other Sellable</v>
          </cell>
          <cell r="L4732" t="str">
            <v>Yes</v>
          </cell>
        </row>
        <row r="4733">
          <cell r="G4733" t="str">
            <v>Shadow Brook</v>
          </cell>
          <cell r="H4733" t="str">
            <v>Shadow Brook</v>
          </cell>
          <cell r="K4733" t="str">
            <v>Other Sellable</v>
          </cell>
          <cell r="L4733" t="str">
            <v>Yes</v>
          </cell>
        </row>
        <row r="4734">
          <cell r="G4734" t="str">
            <v>Shadow Brook</v>
          </cell>
          <cell r="H4734" t="str">
            <v>Shadow Brook</v>
          </cell>
          <cell r="K4734" t="str">
            <v>Other Sellable</v>
          </cell>
          <cell r="L4734" t="str">
            <v>Yes</v>
          </cell>
        </row>
        <row r="4735">
          <cell r="G4735" t="str">
            <v>Shadow Brook</v>
          </cell>
          <cell r="H4735" t="str">
            <v>Shadow Brook</v>
          </cell>
          <cell r="K4735" t="str">
            <v>Other Sellable</v>
          </cell>
          <cell r="L4735" t="str">
            <v>Yes</v>
          </cell>
        </row>
        <row r="4736">
          <cell r="G4736" t="str">
            <v>Shadow Brook</v>
          </cell>
          <cell r="H4736" t="str">
            <v>Shadow Brook</v>
          </cell>
          <cell r="K4736" t="str">
            <v>Other Sellable</v>
          </cell>
          <cell r="L4736" t="str">
            <v>Yes</v>
          </cell>
        </row>
        <row r="4737">
          <cell r="G4737" t="str">
            <v>Shadow Brook</v>
          </cell>
          <cell r="H4737" t="str">
            <v>Shadow Brook</v>
          </cell>
          <cell r="K4737" t="str">
            <v>Other Sellable</v>
          </cell>
          <cell r="L4737" t="str">
            <v>Yes</v>
          </cell>
        </row>
        <row r="4738">
          <cell r="G4738" t="str">
            <v>Castellani Etichetta Gialla</v>
          </cell>
          <cell r="H4738" t="str">
            <v>Savorian INC</v>
          </cell>
          <cell r="K4738" t="str">
            <v>Other Sellable</v>
          </cell>
          <cell r="L4738" t="str">
            <v>Yes</v>
          </cell>
        </row>
        <row r="4739">
          <cell r="G4739" t="str">
            <v>Calise</v>
          </cell>
          <cell r="H4739" t="str">
            <v>Savorian INC</v>
          </cell>
          <cell r="K4739" t="str">
            <v>Other Sellable</v>
          </cell>
          <cell r="L4739" t="str">
            <v>Yes</v>
          </cell>
        </row>
        <row r="4740">
          <cell r="G4740" t="str">
            <v>Les Domaniales Rose D' Anjou Loire</v>
          </cell>
          <cell r="H4740" t="str">
            <v>Savorian INC</v>
          </cell>
          <cell r="K4740" t="str">
            <v>Other Sellable</v>
          </cell>
          <cell r="L4740" t="str">
            <v>Yes</v>
          </cell>
        </row>
        <row r="4741">
          <cell r="G4741" t="str">
            <v>Stoney River</v>
          </cell>
          <cell r="H4741" t="str">
            <v>Savorian INC</v>
          </cell>
          <cell r="K4741" t="str">
            <v>Other Sellable</v>
          </cell>
          <cell r="L4741" t="str">
            <v>Yes</v>
          </cell>
        </row>
        <row r="4742">
          <cell r="G4742" t="str">
            <v>Carinoso</v>
          </cell>
          <cell r="H4742" t="str">
            <v>Vinaio Imports LTD</v>
          </cell>
          <cell r="K4742" t="str">
            <v>Other Sellable</v>
          </cell>
          <cell r="L4742" t="str">
            <v>Yes</v>
          </cell>
        </row>
        <row r="4743">
          <cell r="G4743" t="str">
            <v>Carinoso</v>
          </cell>
          <cell r="H4743" t="str">
            <v>Vinaio Imports LTD</v>
          </cell>
          <cell r="K4743" t="str">
            <v>Other Sellable</v>
          </cell>
          <cell r="L4743" t="str">
            <v>Yes</v>
          </cell>
        </row>
        <row r="4744">
          <cell r="G4744" t="str">
            <v>Carinoso</v>
          </cell>
          <cell r="H4744" t="str">
            <v>Vinaio Imports LTD</v>
          </cell>
          <cell r="K4744" t="str">
            <v>Other Sellable</v>
          </cell>
          <cell r="L4744" t="str">
            <v>Yes</v>
          </cell>
        </row>
        <row r="4745">
          <cell r="G4745" t="str">
            <v>Carinoso</v>
          </cell>
          <cell r="H4745" t="str">
            <v>Vinaio Imports LTD</v>
          </cell>
          <cell r="K4745" t="str">
            <v>Other Sellable</v>
          </cell>
          <cell r="L4745" t="str">
            <v>Yes</v>
          </cell>
        </row>
        <row r="4746">
          <cell r="G4746" t="str">
            <v>Carinoso</v>
          </cell>
          <cell r="H4746" t="str">
            <v>Vinaio Imports LTD</v>
          </cell>
          <cell r="K4746" t="str">
            <v>Other Sellable</v>
          </cell>
          <cell r="L4746" t="str">
            <v>Yes</v>
          </cell>
        </row>
        <row r="4747">
          <cell r="G4747" t="str">
            <v>Overstone</v>
          </cell>
          <cell r="H4747" t="str">
            <v>Prestige Beverage Group</v>
          </cell>
          <cell r="K4747" t="str">
            <v>Other Sellable</v>
          </cell>
          <cell r="L4747" t="str">
            <v>Yes</v>
          </cell>
        </row>
        <row r="4748">
          <cell r="G4748" t="str">
            <v>Shabo Wine</v>
          </cell>
          <cell r="H4748" t="str">
            <v>SPYRT Worldwide</v>
          </cell>
          <cell r="K4748" t="str">
            <v>Other Sellable</v>
          </cell>
          <cell r="L4748" t="str">
            <v>Yes</v>
          </cell>
        </row>
        <row r="4749">
          <cell r="G4749" t="str">
            <v>Shabo Wine</v>
          </cell>
          <cell r="H4749" t="str">
            <v>SPYRT Worldwide</v>
          </cell>
          <cell r="K4749" t="str">
            <v>Other Sellable</v>
          </cell>
          <cell r="L4749" t="str">
            <v>Yes</v>
          </cell>
        </row>
        <row r="4750">
          <cell r="G4750" t="str">
            <v>Shabo Wine</v>
          </cell>
          <cell r="H4750" t="str">
            <v>SPYRT Worldwide</v>
          </cell>
          <cell r="K4750" t="str">
            <v>Other Sellable</v>
          </cell>
          <cell r="L4750" t="str">
            <v>Yes</v>
          </cell>
        </row>
        <row r="4751">
          <cell r="G4751" t="str">
            <v>Shabo Wine</v>
          </cell>
          <cell r="H4751" t="str">
            <v>SPYRT Worldwide</v>
          </cell>
          <cell r="K4751" t="str">
            <v>Other Sellable</v>
          </cell>
          <cell r="L4751" t="str">
            <v>Yes</v>
          </cell>
        </row>
        <row r="4752">
          <cell r="G4752" t="str">
            <v>Lo Secco</v>
          </cell>
          <cell r="H4752" t="str">
            <v>Lo Secco LLC</v>
          </cell>
          <cell r="K4752" t="str">
            <v>Other Sellable</v>
          </cell>
          <cell r="L4752" t="str">
            <v>Yes</v>
          </cell>
        </row>
        <row r="4753">
          <cell r="G4753" t="str">
            <v>Myx</v>
          </cell>
          <cell r="H4753" t="str">
            <v>MYX</v>
          </cell>
          <cell r="K4753" t="str">
            <v>Other Sellable</v>
          </cell>
          <cell r="L4753" t="str">
            <v>No</v>
          </cell>
        </row>
        <row r="4754">
          <cell r="G4754" t="str">
            <v>Dona Sol</v>
          </cell>
          <cell r="H4754" t="str">
            <v>Dona Sol</v>
          </cell>
          <cell r="K4754" t="str">
            <v>Other Sellable</v>
          </cell>
          <cell r="L4754" t="str">
            <v>No</v>
          </cell>
        </row>
        <row r="4755">
          <cell r="G4755" t="str">
            <v>Dona Sol</v>
          </cell>
          <cell r="H4755" t="str">
            <v>Dona Sol</v>
          </cell>
          <cell r="K4755" t="str">
            <v>Other Sellable</v>
          </cell>
          <cell r="L4755" t="str">
            <v>No</v>
          </cell>
        </row>
        <row r="4756">
          <cell r="G4756" t="str">
            <v>Monte Xanic</v>
          </cell>
          <cell r="H4756" t="str">
            <v>Primos Imports LLC</v>
          </cell>
          <cell r="K4756" t="str">
            <v>Other Sellable</v>
          </cell>
          <cell r="L4756" t="str">
            <v>Yes</v>
          </cell>
        </row>
        <row r="4757">
          <cell r="G4757" t="str">
            <v>Monte Xanic</v>
          </cell>
          <cell r="H4757" t="str">
            <v>Primos Imports LLC</v>
          </cell>
          <cell r="K4757" t="str">
            <v>Other Sellable</v>
          </cell>
          <cell r="L4757" t="str">
            <v>Yes</v>
          </cell>
        </row>
        <row r="4758">
          <cell r="G4758" t="str">
            <v>Monte Xanic</v>
          </cell>
          <cell r="H4758" t="str">
            <v>Primos Imports LLC</v>
          </cell>
          <cell r="K4758" t="str">
            <v>Other Sellable</v>
          </cell>
          <cell r="L4758" t="str">
            <v>Yes</v>
          </cell>
        </row>
        <row r="4759">
          <cell r="G4759" t="str">
            <v>Monte Xanic</v>
          </cell>
          <cell r="H4759" t="str">
            <v>Primos Imports LLC</v>
          </cell>
          <cell r="K4759" t="str">
            <v>Other Sellable</v>
          </cell>
          <cell r="L4759" t="str">
            <v>Yes</v>
          </cell>
        </row>
        <row r="4760">
          <cell r="G4760" t="str">
            <v>Monte Xanic</v>
          </cell>
          <cell r="H4760" t="str">
            <v>Primos Imports LLC</v>
          </cell>
          <cell r="K4760" t="str">
            <v>Other Sellable</v>
          </cell>
          <cell r="L4760" t="str">
            <v>Yes</v>
          </cell>
        </row>
        <row r="4761">
          <cell r="G4761" t="str">
            <v>Chateau Diana</v>
          </cell>
          <cell r="H4761" t="str">
            <v>Chateau Diana Winery</v>
          </cell>
          <cell r="K4761" t="str">
            <v>Other Sellable</v>
          </cell>
          <cell r="L4761" t="str">
            <v>Yes</v>
          </cell>
        </row>
        <row r="4762">
          <cell r="G4762" t="str">
            <v>Chateau Diana</v>
          </cell>
          <cell r="H4762" t="str">
            <v>Chateau Diana Winery</v>
          </cell>
          <cell r="K4762" t="str">
            <v>Other Sellable</v>
          </cell>
          <cell r="L4762" t="str">
            <v>Yes</v>
          </cell>
        </row>
        <row r="4763">
          <cell r="G4763" t="str">
            <v>Chateau Diana</v>
          </cell>
          <cell r="H4763" t="str">
            <v>Chateau Diana Winery</v>
          </cell>
          <cell r="K4763" t="str">
            <v>Other Sellable</v>
          </cell>
          <cell r="L4763" t="str">
            <v>Yes</v>
          </cell>
        </row>
        <row r="4764">
          <cell r="G4764" t="str">
            <v>Chateau Diana</v>
          </cell>
          <cell r="H4764" t="str">
            <v>Chateau Diana Winery</v>
          </cell>
          <cell r="K4764" t="str">
            <v>Other Sellable</v>
          </cell>
          <cell r="L4764" t="str">
            <v>Yes</v>
          </cell>
        </row>
        <row r="4765">
          <cell r="G4765" t="str">
            <v>Chateau Diana</v>
          </cell>
          <cell r="H4765" t="str">
            <v>Chateau Diana Winery</v>
          </cell>
          <cell r="K4765" t="str">
            <v>Other Sellable</v>
          </cell>
          <cell r="L4765" t="str">
            <v>Yes</v>
          </cell>
        </row>
        <row r="4766">
          <cell r="G4766" t="str">
            <v>Chateau Diana</v>
          </cell>
          <cell r="H4766" t="str">
            <v>Chateau Diana Winery</v>
          </cell>
          <cell r="K4766" t="str">
            <v>Other Sellable</v>
          </cell>
          <cell r="L4766" t="str">
            <v>Yes</v>
          </cell>
        </row>
        <row r="4767">
          <cell r="G4767" t="str">
            <v>Chateau Diana</v>
          </cell>
          <cell r="H4767" t="str">
            <v>Chateau Diana Winery</v>
          </cell>
          <cell r="K4767" t="str">
            <v>Other Sellable</v>
          </cell>
          <cell r="L4767" t="str">
            <v>Yes</v>
          </cell>
        </row>
        <row r="4768">
          <cell r="G4768" t="str">
            <v>Chateau Diana</v>
          </cell>
          <cell r="H4768" t="str">
            <v>Chateau Diana Winery</v>
          </cell>
          <cell r="K4768" t="str">
            <v>Other Sellable</v>
          </cell>
          <cell r="L4768" t="str">
            <v>Yes</v>
          </cell>
        </row>
        <row r="4769">
          <cell r="G4769" t="str">
            <v>Chateau Diana</v>
          </cell>
          <cell r="H4769" t="str">
            <v>Chateau Diana Winery</v>
          </cell>
          <cell r="K4769" t="str">
            <v>Other Sellable</v>
          </cell>
          <cell r="L4769" t="str">
            <v>Yes</v>
          </cell>
        </row>
        <row r="4770">
          <cell r="G4770" t="str">
            <v>Chateau Diana</v>
          </cell>
          <cell r="H4770" t="str">
            <v>Chateau Diana Winery</v>
          </cell>
          <cell r="K4770" t="str">
            <v>Other Sellable</v>
          </cell>
          <cell r="L4770" t="str">
            <v>Yes</v>
          </cell>
        </row>
        <row r="4771">
          <cell r="G4771" t="str">
            <v>Chateau Diana</v>
          </cell>
          <cell r="H4771" t="str">
            <v>Chateau Diana Winery</v>
          </cell>
          <cell r="K4771" t="str">
            <v>Other Sellable</v>
          </cell>
          <cell r="L4771" t="str">
            <v>Yes</v>
          </cell>
        </row>
        <row r="4772">
          <cell r="G4772" t="str">
            <v>Chateau Diana</v>
          </cell>
          <cell r="H4772" t="str">
            <v>Chateau Diana Winery</v>
          </cell>
          <cell r="K4772" t="str">
            <v>Other Sellable</v>
          </cell>
          <cell r="L4772" t="str">
            <v>Yes</v>
          </cell>
        </row>
        <row r="4773">
          <cell r="G4773" t="str">
            <v>Chateau Diana</v>
          </cell>
          <cell r="H4773" t="str">
            <v>Chateau Diana Winery</v>
          </cell>
          <cell r="K4773" t="str">
            <v>Other Sellable</v>
          </cell>
          <cell r="L4773" t="str">
            <v>Yes</v>
          </cell>
        </row>
        <row r="4774">
          <cell r="G4774" t="str">
            <v>Chateau Diana</v>
          </cell>
          <cell r="H4774" t="str">
            <v>Chateau Diana Winery</v>
          </cell>
          <cell r="K4774" t="str">
            <v>Other Sellable</v>
          </cell>
          <cell r="L4774" t="str">
            <v>Yes</v>
          </cell>
        </row>
        <row r="4775">
          <cell r="G4775" t="str">
            <v>Chateau Diana</v>
          </cell>
          <cell r="H4775" t="str">
            <v>Chateau Diana Winery</v>
          </cell>
          <cell r="K4775" t="str">
            <v>Other Sellable</v>
          </cell>
          <cell r="L4775" t="str">
            <v>Yes</v>
          </cell>
        </row>
        <row r="4776">
          <cell r="G4776" t="str">
            <v>Ecaana</v>
          </cell>
          <cell r="H4776" t="str">
            <v>Riviera Imports</v>
          </cell>
          <cell r="K4776" t="str">
            <v>Other Sellable</v>
          </cell>
          <cell r="L4776" t="str">
            <v>Yes</v>
          </cell>
        </row>
        <row r="4777">
          <cell r="G4777" t="str">
            <v>Ecaana</v>
          </cell>
          <cell r="H4777" t="str">
            <v>Riviera Imports</v>
          </cell>
          <cell r="K4777" t="str">
            <v>Other Sellable</v>
          </cell>
          <cell r="L4777" t="str">
            <v>Yes</v>
          </cell>
        </row>
        <row r="4778">
          <cell r="G4778" t="str">
            <v>Greek Wines</v>
          </cell>
          <cell r="H4778" t="str">
            <v>Prestige</v>
          </cell>
          <cell r="K4778" t="str">
            <v>Other Sellable</v>
          </cell>
          <cell r="L4778" t="str">
            <v>Yes</v>
          </cell>
        </row>
        <row r="4779">
          <cell r="G4779" t="str">
            <v>Greek Wines</v>
          </cell>
          <cell r="H4779" t="str">
            <v>Prestige</v>
          </cell>
          <cell r="K4779" t="str">
            <v>Other Sellable</v>
          </cell>
          <cell r="L4779" t="str">
            <v>Yes</v>
          </cell>
        </row>
        <row r="4780">
          <cell r="G4780" t="str">
            <v>Greek Wines</v>
          </cell>
          <cell r="H4780" t="str">
            <v>Prestige</v>
          </cell>
          <cell r="K4780" t="str">
            <v>Other Sellable</v>
          </cell>
          <cell r="L4780" t="str">
            <v>Yes</v>
          </cell>
        </row>
        <row r="4781">
          <cell r="G4781" t="str">
            <v>Greek Wines</v>
          </cell>
          <cell r="H4781" t="str">
            <v>Prestige</v>
          </cell>
          <cell r="K4781" t="str">
            <v>Other Sellable</v>
          </cell>
          <cell r="L4781" t="str">
            <v>Yes</v>
          </cell>
        </row>
        <row r="4782">
          <cell r="G4782" t="str">
            <v>Greek Wines</v>
          </cell>
          <cell r="H4782" t="str">
            <v>Prestige</v>
          </cell>
          <cell r="K4782" t="str">
            <v>Other Sellable</v>
          </cell>
          <cell r="L4782" t="str">
            <v>Yes</v>
          </cell>
        </row>
        <row r="4783">
          <cell r="G4783" t="str">
            <v>Greek Wines</v>
          </cell>
          <cell r="H4783" t="str">
            <v>Prestige</v>
          </cell>
          <cell r="K4783" t="str">
            <v>Other Sellable</v>
          </cell>
          <cell r="L4783" t="str">
            <v>Yes</v>
          </cell>
        </row>
        <row r="4784">
          <cell r="G4784" t="str">
            <v>Greek Wines</v>
          </cell>
          <cell r="H4784" t="str">
            <v>Prestige</v>
          </cell>
          <cell r="K4784" t="str">
            <v>Other Sellable</v>
          </cell>
          <cell r="L4784" t="str">
            <v>Yes</v>
          </cell>
        </row>
        <row r="4785">
          <cell r="G4785" t="str">
            <v>Greek Wines</v>
          </cell>
          <cell r="H4785" t="str">
            <v>Prestige</v>
          </cell>
          <cell r="K4785" t="str">
            <v>Other Sellable</v>
          </cell>
          <cell r="L4785" t="str">
            <v>Yes</v>
          </cell>
        </row>
        <row r="4786">
          <cell r="G4786" t="str">
            <v>Greek Wines</v>
          </cell>
          <cell r="H4786" t="str">
            <v>Prestige</v>
          </cell>
          <cell r="K4786" t="str">
            <v>Other Sellable</v>
          </cell>
          <cell r="L4786" t="str">
            <v>Yes</v>
          </cell>
        </row>
        <row r="4787">
          <cell r="G4787" t="str">
            <v>Greek Wines</v>
          </cell>
          <cell r="H4787" t="str">
            <v>Prestige</v>
          </cell>
          <cell r="K4787" t="str">
            <v>Other Sellable</v>
          </cell>
          <cell r="L4787" t="str">
            <v>Yes</v>
          </cell>
        </row>
        <row r="4788">
          <cell r="G4788" t="str">
            <v>Greek Wines</v>
          </cell>
          <cell r="H4788" t="str">
            <v>Prestige</v>
          </cell>
          <cell r="K4788" t="str">
            <v>Other Sellable</v>
          </cell>
          <cell r="L4788" t="str">
            <v>Yes</v>
          </cell>
        </row>
        <row r="4789">
          <cell r="G4789" t="str">
            <v>Greek Wines</v>
          </cell>
          <cell r="H4789" t="str">
            <v>Prestige</v>
          </cell>
          <cell r="K4789" t="str">
            <v>Other Sellable</v>
          </cell>
          <cell r="L4789" t="str">
            <v>Yes</v>
          </cell>
        </row>
        <row r="4790">
          <cell r="G4790" t="str">
            <v>2 Canos</v>
          </cell>
          <cell r="H4790" t="str">
            <v>Caravella Inc</v>
          </cell>
          <cell r="K4790" t="str">
            <v>Other Sellable</v>
          </cell>
          <cell r="L4790" t="str">
            <v>Yes</v>
          </cell>
        </row>
        <row r="4791">
          <cell r="G4791" t="str">
            <v>2 Canos</v>
          </cell>
          <cell r="H4791" t="str">
            <v>Caravella Inc</v>
          </cell>
          <cell r="K4791" t="str">
            <v>Other Sellable</v>
          </cell>
          <cell r="L4791" t="str">
            <v>Yes</v>
          </cell>
        </row>
        <row r="4792">
          <cell r="G4792" t="str">
            <v>2 Canos</v>
          </cell>
          <cell r="H4792" t="str">
            <v>Caravella Inc</v>
          </cell>
          <cell r="K4792" t="str">
            <v>Other Sellable</v>
          </cell>
          <cell r="L4792" t="str">
            <v>Yes</v>
          </cell>
        </row>
        <row r="4793">
          <cell r="G4793" t="str">
            <v>Dancing Vines</v>
          </cell>
          <cell r="H4793" t="str">
            <v>Caravella Inc</v>
          </cell>
          <cell r="K4793" t="str">
            <v>Other Sellable</v>
          </cell>
          <cell r="L4793" t="str">
            <v>Yes</v>
          </cell>
        </row>
        <row r="4794">
          <cell r="G4794" t="str">
            <v>Dancing Vines</v>
          </cell>
          <cell r="H4794" t="str">
            <v>Caravella Inc</v>
          </cell>
          <cell r="K4794" t="str">
            <v>Other Sellable</v>
          </cell>
          <cell r="L4794" t="str">
            <v>Yes</v>
          </cell>
        </row>
        <row r="4795">
          <cell r="G4795" t="str">
            <v>Caravella</v>
          </cell>
          <cell r="H4795" t="str">
            <v>Caravella Inc</v>
          </cell>
          <cell r="K4795" t="str">
            <v>Other Sellable</v>
          </cell>
          <cell r="L4795" t="str">
            <v>Yes</v>
          </cell>
        </row>
        <row r="4796">
          <cell r="G4796" t="str">
            <v>Caravella</v>
          </cell>
          <cell r="H4796" t="str">
            <v>Caravella Inc</v>
          </cell>
          <cell r="K4796" t="str">
            <v>Other Sellable</v>
          </cell>
          <cell r="L4796" t="str">
            <v>Yes</v>
          </cell>
        </row>
        <row r="4797">
          <cell r="G4797" t="str">
            <v>Poca Loca</v>
          </cell>
          <cell r="H4797" t="str">
            <v>Caravella Inc</v>
          </cell>
          <cell r="K4797" t="str">
            <v>Other Sellable</v>
          </cell>
          <cell r="L4797" t="str">
            <v>Yes</v>
          </cell>
        </row>
        <row r="4798">
          <cell r="G4798" t="str">
            <v>2 Canos</v>
          </cell>
          <cell r="H4798" t="str">
            <v>Caravella Inc</v>
          </cell>
          <cell r="K4798" t="str">
            <v>Other Sellable</v>
          </cell>
          <cell r="L4798" t="str">
            <v>Yes</v>
          </cell>
        </row>
        <row r="4799">
          <cell r="G4799" t="str">
            <v>Poggio Torselli</v>
          </cell>
          <cell r="H4799" t="str">
            <v>Surface Brands</v>
          </cell>
          <cell r="K4799" t="str">
            <v>Other Sellable</v>
          </cell>
          <cell r="L4799" t="str">
            <v>Yes</v>
          </cell>
        </row>
        <row r="4800">
          <cell r="G4800" t="str">
            <v>Poggio Torselli</v>
          </cell>
          <cell r="H4800" t="str">
            <v>Surface Brands</v>
          </cell>
          <cell r="K4800" t="str">
            <v>Other Sellable</v>
          </cell>
          <cell r="L4800" t="str">
            <v>Yes</v>
          </cell>
        </row>
        <row r="4801">
          <cell r="G4801" t="str">
            <v>Poggio Torselli</v>
          </cell>
          <cell r="H4801" t="str">
            <v>Surface Brands</v>
          </cell>
          <cell r="K4801" t="str">
            <v>Other Sellable</v>
          </cell>
          <cell r="L4801" t="str">
            <v>Yes</v>
          </cell>
        </row>
      </sheetData>
      <sheetData sheetId="8"/>
      <sheetData sheetId="9">
        <row r="4">
          <cell r="D4" t="str">
            <v>Bergen</v>
          </cell>
          <cell r="E4" t="str">
            <v>Passaic</v>
          </cell>
          <cell r="F4" t="str">
            <v>Passaic-FF</v>
          </cell>
          <cell r="G4" t="str">
            <v>Essex</v>
          </cell>
          <cell r="H4" t="str">
            <v>Hudson</v>
          </cell>
          <cell r="I4" t="str">
            <v>Union</v>
          </cell>
          <cell r="J4" t="str">
            <v>Sussex</v>
          </cell>
          <cell r="K4" t="str">
            <v>Morris 1</v>
          </cell>
          <cell r="L4" t="str">
            <v>Morris 2</v>
          </cell>
          <cell r="M4" t="str">
            <v>Morris 3</v>
          </cell>
        </row>
        <row r="5">
          <cell r="B5" t="str">
            <v>Core Market</v>
          </cell>
          <cell r="D5">
            <v>1</v>
          </cell>
          <cell r="E5">
            <v>1</v>
          </cell>
          <cell r="F5">
            <v>1</v>
          </cell>
          <cell r="G5">
            <v>0</v>
          </cell>
          <cell r="H5">
            <v>0</v>
          </cell>
          <cell r="I5">
            <v>0</v>
          </cell>
          <cell r="J5">
            <v>1</v>
          </cell>
          <cell r="K5">
            <v>1</v>
          </cell>
          <cell r="L5">
            <v>0</v>
          </cell>
          <cell r="M5">
            <v>1</v>
          </cell>
        </row>
        <row r="6">
          <cell r="B6" t="str">
            <v>Bergen &amp; Passaic</v>
          </cell>
          <cell r="D6">
            <v>1</v>
          </cell>
          <cell r="E6">
            <v>1</v>
          </cell>
          <cell r="F6">
            <v>1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B7" t="str">
            <v>Core + Morris Communities</v>
          </cell>
          <cell r="D7">
            <v>1</v>
          </cell>
          <cell r="E7">
            <v>1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1</v>
          </cell>
          <cell r="L7">
            <v>0</v>
          </cell>
          <cell r="M7">
            <v>1</v>
          </cell>
        </row>
        <row r="8">
          <cell r="B8" t="str">
            <v>All Counties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</row>
        <row r="9">
          <cell r="B9" t="str">
            <v>All Counties + Middlesex</v>
          </cell>
          <cell r="D9">
            <v>1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</row>
        <row r="10">
          <cell r="B10" t="str">
            <v>Metro Five County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B11" t="str">
            <v>Metro Less West Milford Area</v>
          </cell>
          <cell r="D11">
            <v>1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B12" t="str">
            <v>Morris &amp; Sussex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</row>
        <row r="13">
          <cell r="B13" t="str">
            <v>Core Less Essex (Alt)</v>
          </cell>
          <cell r="D13">
            <v>1</v>
          </cell>
          <cell r="E13">
            <v>1</v>
          </cell>
          <cell r="F13">
            <v>1</v>
          </cell>
          <cell r="G13">
            <v>0</v>
          </cell>
          <cell r="H13">
            <v>1</v>
          </cell>
          <cell r="I13">
            <v>0</v>
          </cell>
          <cell r="J13">
            <v>1</v>
          </cell>
          <cell r="K13">
            <v>1</v>
          </cell>
          <cell r="L13">
            <v>0</v>
          </cell>
          <cell r="M13">
            <v>1</v>
          </cell>
        </row>
        <row r="14">
          <cell r="B14" t="str">
            <v>Bergen/Passaic/Hudson/Essex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</sheetData>
      <sheetData sheetId="10">
        <row r="1">
          <cell r="A1" t="str">
            <v>Brand Family</v>
          </cell>
          <cell r="B1" t="str">
            <v>Brand Family Territory ID</v>
          </cell>
        </row>
        <row r="2">
          <cell r="A2" t="str">
            <v>Angry Orchard</v>
          </cell>
          <cell r="B2" t="str">
            <v>Core Market</v>
          </cell>
        </row>
        <row r="3">
          <cell r="A3" t="str">
            <v>Aguila</v>
          </cell>
          <cell r="B3" t="str">
            <v>Core Market</v>
          </cell>
        </row>
        <row r="4">
          <cell r="A4" t="str">
            <v>Arnold Palmer</v>
          </cell>
          <cell r="B4" t="str">
            <v>Core Market</v>
          </cell>
        </row>
        <row r="5">
          <cell r="A5" t="str">
            <v>Athletic</v>
          </cell>
          <cell r="B5" t="str">
            <v>Core Market</v>
          </cell>
        </row>
        <row r="6">
          <cell r="A6" t="str">
            <v>Bardstown Bourbon</v>
          </cell>
          <cell r="B6" t="str">
            <v>Core Market</v>
          </cell>
        </row>
        <row r="7">
          <cell r="A7" t="str">
            <v>Bell's</v>
          </cell>
          <cell r="B7" t="str">
            <v>Core Market</v>
          </cell>
        </row>
        <row r="8">
          <cell r="A8" t="str">
            <v>Bell's Hearted Family</v>
          </cell>
          <cell r="B8" t="str">
            <v>Core Market</v>
          </cell>
        </row>
        <row r="9">
          <cell r="A9" t="str">
            <v>Blue Moon</v>
          </cell>
          <cell r="B9" t="str">
            <v>Core Market</v>
          </cell>
        </row>
        <row r="10">
          <cell r="A10" t="str">
            <v>Cape May</v>
          </cell>
          <cell r="B10" t="str">
            <v>Core Market</v>
          </cell>
        </row>
        <row r="11">
          <cell r="A11" t="str">
            <v>Cayman Jack</v>
          </cell>
          <cell r="B11" t="str">
            <v>Core Market</v>
          </cell>
        </row>
        <row r="12">
          <cell r="A12" t="str">
            <v>Coors</v>
          </cell>
          <cell r="B12" t="str">
            <v>Core Market</v>
          </cell>
        </row>
        <row r="13">
          <cell r="A13" t="str">
            <v>Coors Edge</v>
          </cell>
          <cell r="B13" t="str">
            <v>Core Market</v>
          </cell>
        </row>
        <row r="14">
          <cell r="A14" t="str">
            <v>Coors Light</v>
          </cell>
          <cell r="B14" t="str">
            <v>Core Market</v>
          </cell>
        </row>
        <row r="15">
          <cell r="A15" t="str">
            <v>Corona Extra</v>
          </cell>
          <cell r="B15" t="str">
            <v>Core Market</v>
          </cell>
        </row>
        <row r="16">
          <cell r="A16" t="str">
            <v>Corona Familiar</v>
          </cell>
          <cell r="B16" t="str">
            <v>Core Market</v>
          </cell>
        </row>
        <row r="17">
          <cell r="A17" t="str">
            <v>Corona Light</v>
          </cell>
          <cell r="B17" t="str">
            <v>Core Market</v>
          </cell>
        </row>
        <row r="18">
          <cell r="A18" t="str">
            <v>Corona NA</v>
          </cell>
          <cell r="B18" t="str">
            <v>Core Market</v>
          </cell>
        </row>
        <row r="19">
          <cell r="A19" t="str">
            <v>Corona Premier</v>
          </cell>
          <cell r="B19" t="str">
            <v>Core Market</v>
          </cell>
        </row>
        <row r="20">
          <cell r="A20" t="str">
            <v>Corona Refresca</v>
          </cell>
          <cell r="B20" t="str">
            <v>Core Market</v>
          </cell>
        </row>
        <row r="21">
          <cell r="A21" t="str">
            <v>Corona Sunbrew</v>
          </cell>
          <cell r="B21" t="str">
            <v>Core Market</v>
          </cell>
        </row>
        <row r="22">
          <cell r="A22" t="str">
            <v>Craftwell</v>
          </cell>
          <cell r="B22" t="str">
            <v>Core Market</v>
          </cell>
        </row>
        <row r="23">
          <cell r="A23" t="str">
            <v>Cusquena</v>
          </cell>
          <cell r="B23" t="str">
            <v>Core Market</v>
          </cell>
        </row>
        <row r="24">
          <cell r="A24" t="str">
            <v>Dad Grass</v>
          </cell>
          <cell r="B24" t="str">
            <v>Core Market</v>
          </cell>
        </row>
        <row r="25">
          <cell r="A25" t="str">
            <v>Dillon's Cocktails</v>
          </cell>
          <cell r="B25" t="str">
            <v>Core Market</v>
          </cell>
        </row>
        <row r="26">
          <cell r="A26" t="str">
            <v>Dogfish Head Beer</v>
          </cell>
          <cell r="B26" t="str">
            <v>Core Market</v>
          </cell>
        </row>
        <row r="27">
          <cell r="A27" t="str">
            <v>Dogfish Head Spirits</v>
          </cell>
          <cell r="B27" t="str">
            <v>Core Market</v>
          </cell>
        </row>
        <row r="28">
          <cell r="A28" t="str">
            <v>Fever Tree</v>
          </cell>
          <cell r="B28" t="str">
            <v>Core Market</v>
          </cell>
        </row>
        <row r="29">
          <cell r="A29" t="str">
            <v>Fiveislands</v>
          </cell>
          <cell r="B29" t="str">
            <v>Core Market</v>
          </cell>
        </row>
        <row r="30">
          <cell r="A30" t="str">
            <v>Fosters</v>
          </cell>
          <cell r="B30" t="str">
            <v>Core Market</v>
          </cell>
        </row>
        <row r="31">
          <cell r="A31" t="str">
            <v>Fresca Mixed</v>
          </cell>
          <cell r="B31" t="str">
            <v>Core Market</v>
          </cell>
        </row>
        <row r="32">
          <cell r="A32" t="str">
            <v>Bardstown Green River</v>
          </cell>
          <cell r="B32" t="str">
            <v>Core Market</v>
          </cell>
        </row>
        <row r="33">
          <cell r="A33" t="str">
            <v>Grolsch</v>
          </cell>
          <cell r="B33" t="str">
            <v>Core Market</v>
          </cell>
        </row>
        <row r="34">
          <cell r="A34" t="str">
            <v>Hamm's</v>
          </cell>
          <cell r="B34" t="str">
            <v>Core Market</v>
          </cell>
        </row>
        <row r="35">
          <cell r="A35" t="str">
            <v>Happy Thursday Spiked Refresher</v>
          </cell>
          <cell r="B35" t="str">
            <v>Core Market</v>
          </cell>
        </row>
        <row r="36">
          <cell r="A36" t="str">
            <v>Hard Mountain Dew</v>
          </cell>
          <cell r="B36" t="str">
            <v>Core Market</v>
          </cell>
        </row>
        <row r="37">
          <cell r="A37" t="str">
            <v>Hi5</v>
          </cell>
          <cell r="B37" t="str">
            <v>Core Market</v>
          </cell>
        </row>
        <row r="38">
          <cell r="A38" t="str">
            <v>HOP WTR</v>
          </cell>
          <cell r="B38" t="str">
            <v>Core Market</v>
          </cell>
        </row>
        <row r="39">
          <cell r="A39" t="str">
            <v>Jim Beam Kentucky</v>
          </cell>
          <cell r="B39" t="str">
            <v>Core Market</v>
          </cell>
        </row>
        <row r="40">
          <cell r="A40" t="str">
            <v>Keystone</v>
          </cell>
          <cell r="B40" t="str">
            <v>Core Market</v>
          </cell>
        </row>
        <row r="41">
          <cell r="A41" t="str">
            <v>George Killian's</v>
          </cell>
          <cell r="B41" t="str">
            <v>Core Market</v>
          </cell>
        </row>
        <row r="42">
          <cell r="A42" t="str">
            <v>Kirin Ichiban</v>
          </cell>
          <cell r="B42" t="str">
            <v>Core Market</v>
          </cell>
        </row>
        <row r="43">
          <cell r="A43" t="str">
            <v>Kirin Light</v>
          </cell>
          <cell r="B43" t="str">
            <v>Core Market</v>
          </cell>
        </row>
        <row r="44">
          <cell r="A44" t="str">
            <v>Leinenkugel</v>
          </cell>
          <cell r="B44" t="str">
            <v>Core Market</v>
          </cell>
        </row>
        <row r="45">
          <cell r="A45" t="str">
            <v>Lightstrike</v>
          </cell>
          <cell r="B45" t="str">
            <v>Core Market</v>
          </cell>
        </row>
        <row r="46">
          <cell r="A46" t="str">
            <v>Mike's Hard Lemonade</v>
          </cell>
          <cell r="B46" t="str">
            <v>Core Market</v>
          </cell>
        </row>
        <row r="47">
          <cell r="A47" t="str">
            <v>Mike's Hard Dirty Lemonade</v>
          </cell>
          <cell r="B47" t="str">
            <v>Core Market</v>
          </cell>
        </row>
        <row r="48">
          <cell r="A48" t="str">
            <v>Mike's Harder</v>
          </cell>
          <cell r="B48" t="str">
            <v>Core Market</v>
          </cell>
        </row>
        <row r="49">
          <cell r="A49" t="str">
            <v>Miller Extra Light</v>
          </cell>
          <cell r="B49" t="str">
            <v>Core Market</v>
          </cell>
        </row>
        <row r="50">
          <cell r="A50" t="str">
            <v>Miller Genuine Draft</v>
          </cell>
          <cell r="B50" t="str">
            <v>Core Market</v>
          </cell>
        </row>
        <row r="51">
          <cell r="A51" t="str">
            <v>Lite</v>
          </cell>
          <cell r="B51" t="str">
            <v>Core Market</v>
          </cell>
        </row>
        <row r="52">
          <cell r="A52" t="str">
            <v>Milwaukee's Best Ice</v>
          </cell>
          <cell r="B52" t="str">
            <v>Core Market</v>
          </cell>
        </row>
        <row r="53">
          <cell r="A53" t="str">
            <v>Milwaukee's Best Light</v>
          </cell>
          <cell r="B53" t="str">
            <v>Core Market</v>
          </cell>
        </row>
        <row r="54">
          <cell r="A54" t="str">
            <v>Modelo Aquas Frescas</v>
          </cell>
          <cell r="B54" t="str">
            <v>Core Market</v>
          </cell>
        </row>
        <row r="55">
          <cell r="A55" t="str">
            <v>Modelo Chelada</v>
          </cell>
          <cell r="B55" t="str">
            <v>Core Market</v>
          </cell>
        </row>
        <row r="56">
          <cell r="A56" t="str">
            <v>Modelo Especial</v>
          </cell>
          <cell r="B56" t="str">
            <v>Core Market</v>
          </cell>
        </row>
        <row r="57">
          <cell r="A57" t="str">
            <v>Modelo Negra</v>
          </cell>
          <cell r="B57" t="str">
            <v>Core Market</v>
          </cell>
        </row>
        <row r="58">
          <cell r="A58" t="str">
            <v>Modelo Oro</v>
          </cell>
          <cell r="B58" t="str">
            <v>Core Market</v>
          </cell>
        </row>
        <row r="59">
          <cell r="A59" t="str">
            <v>Molson</v>
          </cell>
          <cell r="B59" t="str">
            <v>Core Market</v>
          </cell>
        </row>
        <row r="60">
          <cell r="A60" t="str">
            <v>Moosehead</v>
          </cell>
          <cell r="B60" t="str">
            <v>Core Market</v>
          </cell>
        </row>
        <row r="61">
          <cell r="A61" t="str">
            <v>Mxd Cocktails</v>
          </cell>
          <cell r="B61" t="str">
            <v>Core Market</v>
          </cell>
        </row>
        <row r="62">
          <cell r="A62" t="str">
            <v>Del's Shandy</v>
          </cell>
          <cell r="B62" t="str">
            <v>Core Market</v>
          </cell>
        </row>
        <row r="63">
          <cell r="A63" t="str">
            <v>Narragansett</v>
          </cell>
          <cell r="B63" t="str">
            <v>Core Market</v>
          </cell>
        </row>
        <row r="64">
          <cell r="A64" t="str">
            <v>New Belgium Brewing Company</v>
          </cell>
          <cell r="B64" t="str">
            <v>Core Market</v>
          </cell>
        </row>
        <row r="65">
          <cell r="A65" t="str">
            <v>Voodoo Family</v>
          </cell>
          <cell r="B65" t="str">
            <v>Core Market</v>
          </cell>
        </row>
        <row r="66">
          <cell r="A66" t="str">
            <v>Fat Tire Family</v>
          </cell>
          <cell r="B66" t="str">
            <v>Core Market</v>
          </cell>
        </row>
        <row r="67">
          <cell r="A67" t="str">
            <v>Voodoo Hardcharged</v>
          </cell>
          <cell r="B67" t="str">
            <v>Core Market</v>
          </cell>
        </row>
        <row r="68">
          <cell r="A68" t="str">
            <v>Old English</v>
          </cell>
          <cell r="B68" t="str">
            <v>Core Market</v>
          </cell>
        </row>
        <row r="69">
          <cell r="A69" t="str">
            <v>Ole</v>
          </cell>
          <cell r="B69" t="str">
            <v>Core Market</v>
          </cell>
        </row>
        <row r="70">
          <cell r="A70" t="str">
            <v>Pacifico</v>
          </cell>
          <cell r="B70" t="str">
            <v>Core Market</v>
          </cell>
        </row>
        <row r="71">
          <cell r="A71" t="str">
            <v>Peroni</v>
          </cell>
          <cell r="B71" t="str">
            <v>Core Market</v>
          </cell>
        </row>
        <row r="72">
          <cell r="A72" t="str">
            <v>Pilsner Urquell</v>
          </cell>
          <cell r="B72" t="str">
            <v>Core Market</v>
          </cell>
        </row>
        <row r="73">
          <cell r="A73" t="str">
            <v>Poggio Torselli</v>
          </cell>
          <cell r="B73" t="str">
            <v>Core Market</v>
          </cell>
        </row>
        <row r="74">
          <cell r="A74" t="str">
            <v>Press</v>
          </cell>
          <cell r="B74" t="str">
            <v>Core Market</v>
          </cell>
        </row>
        <row r="75">
          <cell r="A75" t="str">
            <v>Red Bull</v>
          </cell>
          <cell r="B75" t="str">
            <v>Core Market</v>
          </cell>
        </row>
        <row r="76">
          <cell r="A76" t="str">
            <v>Redd's</v>
          </cell>
          <cell r="B76" t="str">
            <v>Core Market</v>
          </cell>
        </row>
        <row r="77">
          <cell r="A77" t="str">
            <v>Redd's Wicked</v>
          </cell>
          <cell r="B77" t="str">
            <v>Core Market</v>
          </cell>
        </row>
        <row r="78">
          <cell r="A78" t="str">
            <v>Samuel Adams</v>
          </cell>
          <cell r="B78" t="str">
            <v>Core Market</v>
          </cell>
        </row>
        <row r="79">
          <cell r="A79" t="str">
            <v>Sauza</v>
          </cell>
          <cell r="B79" t="str">
            <v>Core Market</v>
          </cell>
        </row>
        <row r="80">
          <cell r="A80" t="str">
            <v>Shiner</v>
          </cell>
          <cell r="B80" t="str">
            <v>Core Market</v>
          </cell>
        </row>
        <row r="81">
          <cell r="A81" t="str">
            <v>Sierra Nevada</v>
          </cell>
          <cell r="B81" t="str">
            <v>Core Market</v>
          </cell>
        </row>
        <row r="82">
          <cell r="A82" t="str">
            <v>Simply Spiked</v>
          </cell>
          <cell r="B82" t="str">
            <v>Core Market</v>
          </cell>
        </row>
        <row r="83">
          <cell r="A83" t="str">
            <v>Sinless Vodka Cocktail</v>
          </cell>
          <cell r="B83" t="str">
            <v>Core Market</v>
          </cell>
        </row>
        <row r="84">
          <cell r="A84" t="str">
            <v>Snow Beer</v>
          </cell>
          <cell r="B84" t="str">
            <v>Core Market</v>
          </cell>
        </row>
        <row r="85">
          <cell r="A85" t="str">
            <v>Sol</v>
          </cell>
          <cell r="B85" t="str">
            <v>Core Market</v>
          </cell>
        </row>
        <row r="86">
          <cell r="A86" t="str">
            <v>Steel Reserve</v>
          </cell>
          <cell r="B86" t="str">
            <v>Core Market</v>
          </cell>
        </row>
        <row r="87">
          <cell r="A87" t="str">
            <v>Steel Reserve Alloy Series</v>
          </cell>
          <cell r="B87" t="str">
            <v>Core Market</v>
          </cell>
        </row>
        <row r="88">
          <cell r="A88" t="str">
            <v>Sun Cruiser</v>
          </cell>
          <cell r="B88" t="str">
            <v>Core Market</v>
          </cell>
        </row>
        <row r="89">
          <cell r="A89" t="str">
            <v>The Drop</v>
          </cell>
          <cell r="B89" t="str">
            <v>Core Market</v>
          </cell>
        </row>
        <row r="90">
          <cell r="A90" t="str">
            <v>Topo Chico</v>
          </cell>
          <cell r="B90" t="str">
            <v>Core Market</v>
          </cell>
        </row>
        <row r="91">
          <cell r="A91" t="str">
            <v>Truly</v>
          </cell>
          <cell r="B91" t="str">
            <v>Core Market</v>
          </cell>
        </row>
        <row r="92">
          <cell r="A92" t="str">
            <v>Twisted Tea</v>
          </cell>
          <cell r="B92" t="str">
            <v>Core Market</v>
          </cell>
        </row>
        <row r="93">
          <cell r="A93" t="str">
            <v>Tyskie Gronie</v>
          </cell>
          <cell r="B93" t="str">
            <v>Core Market</v>
          </cell>
        </row>
        <row r="94">
          <cell r="A94" t="str">
            <v>Victoria</v>
          </cell>
          <cell r="B94" t="str">
            <v>Core Market</v>
          </cell>
        </row>
        <row r="95">
          <cell r="A95" t="str">
            <v>Vizzy</v>
          </cell>
          <cell r="B95" t="str">
            <v>Core Market</v>
          </cell>
        </row>
        <row r="96">
          <cell r="A96" t="str">
            <v>White Claw</v>
          </cell>
          <cell r="B96" t="str">
            <v>Core Market</v>
          </cell>
        </row>
        <row r="97">
          <cell r="A97" t="str">
            <v>Yuengling Black &amp; Tan</v>
          </cell>
          <cell r="B97" t="str">
            <v>Core Market</v>
          </cell>
        </row>
        <row r="98">
          <cell r="A98" t="str">
            <v>Dg Yuengling Inc</v>
          </cell>
          <cell r="B98" t="str">
            <v>Core Market</v>
          </cell>
        </row>
        <row r="99">
          <cell r="A99" t="str">
            <v>Yuengling Flight</v>
          </cell>
          <cell r="B99" t="str">
            <v>Core Market</v>
          </cell>
        </row>
        <row r="100">
          <cell r="A100" t="str">
            <v>Yuengling Golden Pilsner</v>
          </cell>
          <cell r="B100" t="str">
            <v>Core Market</v>
          </cell>
        </row>
        <row r="101">
          <cell r="A101" t="str">
            <v>Yuengling Lager</v>
          </cell>
          <cell r="B101" t="str">
            <v>Core Market</v>
          </cell>
        </row>
        <row r="102">
          <cell r="A102" t="str">
            <v>Yuengling Light Lager</v>
          </cell>
          <cell r="B102" t="str">
            <v>Core Market</v>
          </cell>
        </row>
        <row r="103">
          <cell r="A103" t="str">
            <v>Yuengling Oktoberfest</v>
          </cell>
          <cell r="B103" t="str">
            <v>Core Market</v>
          </cell>
        </row>
        <row r="104">
          <cell r="A104" t="str">
            <v>Carta Blanca</v>
          </cell>
          <cell r="B104" t="str">
            <v>Bergen &amp; Passaic</v>
          </cell>
        </row>
        <row r="105">
          <cell r="A105" t="str">
            <v>Dos Equis</v>
          </cell>
          <cell r="B105" t="str">
            <v>Bergen &amp; Passaic</v>
          </cell>
        </row>
        <row r="106">
          <cell r="A106" t="str">
            <v>Prestige Lager</v>
          </cell>
          <cell r="B106" t="str">
            <v>Bergen &amp; Passaic</v>
          </cell>
        </row>
        <row r="107">
          <cell r="A107" t="str">
            <v>Tecate</v>
          </cell>
          <cell r="B107" t="str">
            <v>Bergen &amp; Passaic</v>
          </cell>
        </row>
        <row r="108">
          <cell r="A108" t="str">
            <v>Tecate Light</v>
          </cell>
          <cell r="B108" t="str">
            <v>Bergen &amp; Passaic</v>
          </cell>
        </row>
        <row r="109">
          <cell r="A109" t="str">
            <v>Amstel</v>
          </cell>
          <cell r="B109" t="str">
            <v>Core + Morris Communities</v>
          </cell>
        </row>
        <row r="110">
          <cell r="A110" t="str">
            <v>Daura</v>
          </cell>
          <cell r="B110" t="str">
            <v>All Counties</v>
          </cell>
        </row>
        <row r="111">
          <cell r="A111" t="str">
            <v>Heineken 0.0</v>
          </cell>
          <cell r="B111" t="str">
            <v>Core + Morris Communities</v>
          </cell>
        </row>
        <row r="112">
          <cell r="A112" t="str">
            <v>Heineken 0.0 Ultimate</v>
          </cell>
          <cell r="B112" t="str">
            <v>Core + Morris Communities</v>
          </cell>
        </row>
        <row r="113">
          <cell r="A113" t="str">
            <v>Heineken USA</v>
          </cell>
          <cell r="B113" t="str">
            <v>Core + Morris Communities</v>
          </cell>
        </row>
        <row r="114">
          <cell r="A114" t="str">
            <v>Heineken Light</v>
          </cell>
          <cell r="B114" t="str">
            <v>Core + Morris Communities</v>
          </cell>
        </row>
        <row r="115">
          <cell r="A115" t="str">
            <v>Heineken Silver</v>
          </cell>
          <cell r="B115" t="str">
            <v>Core + Morris Communities</v>
          </cell>
        </row>
        <row r="116">
          <cell r="A116" t="str">
            <v>Lagunitas</v>
          </cell>
          <cell r="B116" t="str">
            <v>Core + Morris Communities</v>
          </cell>
        </row>
        <row r="117">
          <cell r="A117" t="str">
            <v>Lagunitas NA</v>
          </cell>
          <cell r="B117" t="str">
            <v>Core + Morris Communities</v>
          </cell>
        </row>
        <row r="118">
          <cell r="A118" t="str">
            <v>Birra Moretti</v>
          </cell>
          <cell r="B118" t="str">
            <v>Core + Morris Communities</v>
          </cell>
        </row>
        <row r="119">
          <cell r="A119" t="str">
            <v>Murphy's</v>
          </cell>
          <cell r="B119" t="str">
            <v>Core + Morris Communities</v>
          </cell>
        </row>
        <row r="120">
          <cell r="A120" t="str">
            <v>Red Stripe</v>
          </cell>
          <cell r="B120" t="str">
            <v>Core + Morris Communities</v>
          </cell>
        </row>
        <row r="121">
          <cell r="A121" t="str">
            <v>Sagres Cerveja</v>
          </cell>
          <cell r="B121" t="str">
            <v>Core + Morris Communities</v>
          </cell>
        </row>
        <row r="122">
          <cell r="A122" t="str">
            <v>Strongbow</v>
          </cell>
          <cell r="B122" t="str">
            <v>Core + Morris Communities</v>
          </cell>
        </row>
        <row r="123">
          <cell r="A123" t="str">
            <v>1911 Hard Cider</v>
          </cell>
          <cell r="B123" t="str">
            <v>All Counties</v>
          </cell>
        </row>
        <row r="124">
          <cell r="A124" t="str">
            <v>Aguila Import</v>
          </cell>
          <cell r="B124" t="str">
            <v>All Counties</v>
          </cell>
        </row>
        <row r="125">
          <cell r="A125" t="str">
            <v>Alias Brew Works</v>
          </cell>
          <cell r="B125" t="str">
            <v>All Counties</v>
          </cell>
        </row>
        <row r="126">
          <cell r="A126" t="str">
            <v>Alte Beverage</v>
          </cell>
          <cell r="B126" t="str">
            <v>All Counties</v>
          </cell>
        </row>
        <row r="127">
          <cell r="A127" t="str">
            <v>Arizona Hard</v>
          </cell>
          <cell r="B127" t="str">
            <v>All Counties</v>
          </cell>
        </row>
        <row r="128">
          <cell r="A128" t="str">
            <v>Augustiner</v>
          </cell>
          <cell r="B128" t="str">
            <v>All Counties</v>
          </cell>
        </row>
        <row r="129">
          <cell r="A129" t="str">
            <v>Baptist Wit</v>
          </cell>
          <cell r="B129" t="str">
            <v>All Counties</v>
          </cell>
        </row>
        <row r="130">
          <cell r="A130" t="str">
            <v>Barn Brew</v>
          </cell>
          <cell r="B130" t="str">
            <v>All Counties</v>
          </cell>
        </row>
        <row r="131">
          <cell r="A131" t="str">
            <v>Bavik</v>
          </cell>
          <cell r="B131" t="str">
            <v>All Counties</v>
          </cell>
        </row>
        <row r="132">
          <cell r="A132" t="str">
            <v>Beckett's D9</v>
          </cell>
          <cell r="B132" t="str">
            <v>All Counties</v>
          </cell>
        </row>
        <row r="133">
          <cell r="A133" t="str">
            <v>Belize Breeze</v>
          </cell>
          <cell r="B133" t="str">
            <v>All Counties</v>
          </cell>
        </row>
        <row r="134">
          <cell r="A134" t="str">
            <v>Bella Ray</v>
          </cell>
          <cell r="B134" t="str">
            <v>All Counties</v>
          </cell>
        </row>
        <row r="135">
          <cell r="A135" t="str">
            <v>Big Mans Brew</v>
          </cell>
          <cell r="B135" t="str">
            <v>All Counties</v>
          </cell>
        </row>
        <row r="136">
          <cell r="A136" t="str">
            <v>BJ'S Private Label Brewa</v>
          </cell>
          <cell r="B136" t="str">
            <v>All Counties</v>
          </cell>
        </row>
        <row r="137">
          <cell r="A137" t="str">
            <v>Bodega Chiller</v>
          </cell>
          <cell r="B137" t="str">
            <v>All Counties</v>
          </cell>
        </row>
        <row r="138">
          <cell r="A138" t="str">
            <v>Bodega Quarters</v>
          </cell>
          <cell r="B138" t="str">
            <v>All Counties</v>
          </cell>
        </row>
        <row r="139">
          <cell r="A139" t="str">
            <v>Boldt Infused D9</v>
          </cell>
          <cell r="B139" t="str">
            <v>All Counties</v>
          </cell>
        </row>
        <row r="140">
          <cell r="A140" t="str">
            <v>Brewt's</v>
          </cell>
          <cell r="B140" t="str">
            <v>All Counties</v>
          </cell>
        </row>
        <row r="141">
          <cell r="A141" t="str">
            <v>Brio</v>
          </cell>
          <cell r="B141" t="str">
            <v>All Counties</v>
          </cell>
        </row>
        <row r="142">
          <cell r="A142" t="str">
            <v>Buzbee's</v>
          </cell>
          <cell r="B142" t="str">
            <v>All Counties</v>
          </cell>
        </row>
        <row r="143">
          <cell r="A143" t="str">
            <v>Calise</v>
          </cell>
          <cell r="B143" t="str">
            <v>All Counties</v>
          </cell>
        </row>
        <row r="144">
          <cell r="A144" t="str">
            <v>Carib</v>
          </cell>
          <cell r="B144" t="str">
            <v>All Counties</v>
          </cell>
        </row>
        <row r="145">
          <cell r="A145" t="str">
            <v>Charro</v>
          </cell>
          <cell r="B145" t="str">
            <v>All Counties</v>
          </cell>
        </row>
        <row r="146">
          <cell r="A146" t="str">
            <v>Chateau Diana</v>
          </cell>
          <cell r="B146" t="str">
            <v>All Counties</v>
          </cell>
        </row>
        <row r="147">
          <cell r="A147" t="str">
            <v>Clausthaler</v>
          </cell>
          <cell r="B147" t="str">
            <v>All Counties</v>
          </cell>
        </row>
        <row r="148">
          <cell r="A148" t="str">
            <v>Food &amp; Bev</v>
          </cell>
          <cell r="B148" t="str">
            <v>All Counties</v>
          </cell>
        </row>
        <row r="149">
          <cell r="A149" t="str">
            <v>Coastal Cocktails</v>
          </cell>
          <cell r="B149" t="str">
            <v>All Counties</v>
          </cell>
        </row>
        <row r="150">
          <cell r="A150" t="str">
            <v>Colt 45</v>
          </cell>
          <cell r="B150" t="str">
            <v>All Counties</v>
          </cell>
        </row>
        <row r="151">
          <cell r="A151" t="str">
            <v>Costenita</v>
          </cell>
          <cell r="B151" t="str">
            <v>All Counties</v>
          </cell>
        </row>
        <row r="152">
          <cell r="A152" t="str">
            <v>Country Club</v>
          </cell>
          <cell r="B152" t="str">
            <v>All Counties</v>
          </cell>
        </row>
        <row r="153">
          <cell r="A153" t="str">
            <v>Crescent 9</v>
          </cell>
          <cell r="B153" t="str">
            <v>All Counties</v>
          </cell>
        </row>
        <row r="154">
          <cell r="A154" t="str">
            <v>Cricket Hill</v>
          </cell>
          <cell r="B154" t="str">
            <v>All Counties</v>
          </cell>
        </row>
        <row r="155">
          <cell r="A155" t="str">
            <v>Crook&amp;Marker</v>
          </cell>
          <cell r="B155" t="str">
            <v>All Counties</v>
          </cell>
        </row>
        <row r="156">
          <cell r="A156" t="str">
            <v>Crooked Tea</v>
          </cell>
          <cell r="B156" t="str">
            <v>All Counties</v>
          </cell>
        </row>
        <row r="157">
          <cell r="A157" t="str">
            <v>Crooked Beverage</v>
          </cell>
          <cell r="B157" t="str">
            <v>All Counties</v>
          </cell>
        </row>
        <row r="158">
          <cell r="A158" t="str">
            <v>Dab</v>
          </cell>
          <cell r="B158" t="str">
            <v>All Counties</v>
          </cell>
        </row>
        <row r="159">
          <cell r="A159" t="str">
            <v>Day Chaser</v>
          </cell>
          <cell r="B159" t="str">
            <v>All Counties</v>
          </cell>
        </row>
        <row r="160">
          <cell r="A160" t="str">
            <v>Defiant</v>
          </cell>
          <cell r="B160" t="str">
            <v>All Counties</v>
          </cell>
        </row>
        <row r="161">
          <cell r="A161" t="str">
            <v>Delta</v>
          </cell>
          <cell r="B161" t="str">
            <v>All Counties</v>
          </cell>
        </row>
        <row r="162">
          <cell r="A162" t="str">
            <v>Desquite</v>
          </cell>
          <cell r="B162" t="str">
            <v>All Counties</v>
          </cell>
        </row>
        <row r="163">
          <cell r="A163" t="str">
            <v>Dewey Crush</v>
          </cell>
          <cell r="B163" t="str">
            <v>All Counties</v>
          </cell>
        </row>
        <row r="164">
          <cell r="A164" t="str">
            <v>Doc's</v>
          </cell>
          <cell r="B164" t="str">
            <v>All Counties</v>
          </cell>
        </row>
        <row r="165">
          <cell r="A165" t="str">
            <v>Dragon Stout</v>
          </cell>
          <cell r="B165" t="str">
            <v>All Counties</v>
          </cell>
        </row>
        <row r="166">
          <cell r="A166" t="str">
            <v>Duclaw</v>
          </cell>
          <cell r="B166" t="str">
            <v>All Counties</v>
          </cell>
        </row>
        <row r="167">
          <cell r="A167" t="str">
            <v>Ecaana</v>
          </cell>
          <cell r="B167" t="str">
            <v>All Counties</v>
          </cell>
        </row>
        <row r="168">
          <cell r="A168" t="str">
            <v>Efes</v>
          </cell>
          <cell r="B168" t="str">
            <v>All Counties</v>
          </cell>
        </row>
        <row r="169">
          <cell r="A169" t="str">
            <v>EL Jimador</v>
          </cell>
          <cell r="B169" t="str">
            <v>All Counties</v>
          </cell>
        </row>
        <row r="170">
          <cell r="A170" t="str">
            <v>Eleven20 Tequila</v>
          </cell>
          <cell r="B170" t="str">
            <v>All Counties</v>
          </cell>
        </row>
        <row r="171">
          <cell r="A171" t="str">
            <v>Evil Genius</v>
          </cell>
          <cell r="B171" t="str">
            <v>All Counties</v>
          </cell>
        </row>
        <row r="172">
          <cell r="A172" t="str">
            <v>Five O'Clock</v>
          </cell>
          <cell r="B172" t="str">
            <v>All Counties</v>
          </cell>
        </row>
        <row r="173">
          <cell r="A173" t="str">
            <v>Fizzy Jane</v>
          </cell>
          <cell r="B173" t="str">
            <v>All Counties</v>
          </cell>
        </row>
        <row r="174">
          <cell r="A174" t="str">
            <v>Flying Dog Brewing Co</v>
          </cell>
          <cell r="B174" t="str">
            <v>All Counties</v>
          </cell>
        </row>
        <row r="175">
          <cell r="A175" t="str">
            <v>Forged Irish Stout</v>
          </cell>
          <cell r="B175" t="str">
            <v>All Counties</v>
          </cell>
        </row>
        <row r="176">
          <cell r="A176" t="str">
            <v>Friday Beers</v>
          </cell>
          <cell r="B176" t="str">
            <v>All Counties</v>
          </cell>
        </row>
        <row r="177">
          <cell r="A177" t="str">
            <v>Garage Beer</v>
          </cell>
          <cell r="B177" t="str">
            <v>All Counties</v>
          </cell>
        </row>
        <row r="178">
          <cell r="A178" t="str">
            <v>Gin Pig</v>
          </cell>
          <cell r="B178" t="str">
            <v>All Counties</v>
          </cell>
        </row>
        <row r="179">
          <cell r="A179" t="str">
            <v>Good Supply</v>
          </cell>
          <cell r="B179" t="str">
            <v>All Counties</v>
          </cell>
        </row>
        <row r="180">
          <cell r="A180" t="str">
            <v>Great Lakes</v>
          </cell>
          <cell r="B180" t="str">
            <v>All Counties</v>
          </cell>
        </row>
        <row r="181">
          <cell r="A181" t="str">
            <v>Guaname Rompope</v>
          </cell>
          <cell r="B181" t="str">
            <v>All Counties</v>
          </cell>
        </row>
        <row r="182">
          <cell r="A182" t="str">
            <v>Gulden Draak</v>
          </cell>
          <cell r="B182" t="str">
            <v>All Counties</v>
          </cell>
        </row>
        <row r="183">
          <cell r="A183" t="str">
            <v>Happy Flower</v>
          </cell>
          <cell r="B183" t="str">
            <v>All Counties</v>
          </cell>
        </row>
        <row r="184">
          <cell r="A184" t="str">
            <v>Hectare's</v>
          </cell>
          <cell r="B184" t="str">
            <v>All Counties</v>
          </cell>
        </row>
        <row r="185">
          <cell r="A185" t="str">
            <v>Herb &amp; Bloom</v>
          </cell>
          <cell r="B185" t="str">
            <v>All Counties</v>
          </cell>
        </row>
        <row r="186">
          <cell r="A186" t="str">
            <v>Hofbrau Usa</v>
          </cell>
          <cell r="B186" t="str">
            <v>All Counties</v>
          </cell>
        </row>
        <row r="187">
          <cell r="A187" t="str">
            <v>Greek Spirits</v>
          </cell>
          <cell r="B187" t="str">
            <v>All Counties</v>
          </cell>
        </row>
        <row r="188">
          <cell r="A188" t="str">
            <v>Jack Daniels Country Cocktails</v>
          </cell>
          <cell r="B188" t="str">
            <v>All Counties</v>
          </cell>
        </row>
        <row r="189">
          <cell r="A189" t="str">
            <v>Jerzey Jungle</v>
          </cell>
          <cell r="B189" t="str">
            <v>All Counties</v>
          </cell>
        </row>
        <row r="190">
          <cell r="A190" t="str">
            <v>Kingfisher Premium</v>
          </cell>
          <cell r="B190" t="str">
            <v>All Counties</v>
          </cell>
        </row>
        <row r="191">
          <cell r="A191" t="str">
            <v>Krusovice</v>
          </cell>
          <cell r="B191" t="str">
            <v>All Counties</v>
          </cell>
        </row>
        <row r="192">
          <cell r="A192" t="str">
            <v>Lark Infused D9</v>
          </cell>
          <cell r="B192" t="str">
            <v>All Counties</v>
          </cell>
        </row>
        <row r="193">
          <cell r="A193" t="str">
            <v>Whitecap</v>
          </cell>
          <cell r="B193" t="str">
            <v>All Counties</v>
          </cell>
        </row>
        <row r="194">
          <cell r="A194" t="str">
            <v>Lone Star</v>
          </cell>
          <cell r="B194" t="str">
            <v>All Counties</v>
          </cell>
        </row>
        <row r="195">
          <cell r="A195" t="str">
            <v>Long Trail</v>
          </cell>
          <cell r="B195" t="str">
            <v>All Counties</v>
          </cell>
        </row>
        <row r="196">
          <cell r="A196" t="str">
            <v>Caravella</v>
          </cell>
          <cell r="B196" t="str">
            <v>All Counties</v>
          </cell>
        </row>
        <row r="197">
          <cell r="A197" t="str">
            <v>Mackeson</v>
          </cell>
          <cell r="B197" t="str">
            <v>All Counties</v>
          </cell>
        </row>
        <row r="198">
          <cell r="A198" t="str">
            <v>Magners</v>
          </cell>
          <cell r="B198" t="str">
            <v>All Counties</v>
          </cell>
        </row>
        <row r="199">
          <cell r="A199" t="str">
            <v>Malibu Splash</v>
          </cell>
          <cell r="B199" t="str">
            <v>All Counties</v>
          </cell>
        </row>
        <row r="200">
          <cell r="A200" t="str">
            <v>Mckenzie's</v>
          </cell>
          <cell r="B200" t="str">
            <v>All Counties</v>
          </cell>
        </row>
        <row r="201">
          <cell r="A201" t="str">
            <v>Molly's</v>
          </cell>
          <cell r="B201" t="str">
            <v>All Counties</v>
          </cell>
        </row>
        <row r="202">
          <cell r="A202" t="str">
            <v>Montauk</v>
          </cell>
          <cell r="B202" t="str">
            <v>All Counties</v>
          </cell>
        </row>
        <row r="203">
          <cell r="A203" t="str">
            <v>Monte Xanic</v>
          </cell>
          <cell r="B203" t="str">
            <v>All Counties</v>
          </cell>
        </row>
        <row r="204">
          <cell r="A204" t="str">
            <v>Mythos</v>
          </cell>
          <cell r="B204" t="str">
            <v>All Counties</v>
          </cell>
        </row>
        <row r="205">
          <cell r="A205" t="str">
            <v>New Holland Brewing Co</v>
          </cell>
          <cell r="B205" t="str">
            <v>All Counties</v>
          </cell>
        </row>
        <row r="206">
          <cell r="A206" t="str">
            <v>Newburgh</v>
          </cell>
          <cell r="B206" t="str">
            <v>All Counties</v>
          </cell>
        </row>
        <row r="207">
          <cell r="A207" t="str">
            <v>Small Town</v>
          </cell>
          <cell r="B207" t="str">
            <v>All Counties</v>
          </cell>
        </row>
        <row r="208">
          <cell r="A208" t="str">
            <v>Old Milwaukee</v>
          </cell>
          <cell r="B208" t="str">
            <v>All Counties</v>
          </cell>
        </row>
        <row r="209">
          <cell r="A209" t="str">
            <v>Otter Creek</v>
          </cell>
          <cell r="B209" t="str">
            <v>All Counties</v>
          </cell>
        </row>
        <row r="210">
          <cell r="A210" t="str">
            <v>OVO Vodka</v>
          </cell>
          <cell r="B210" t="str">
            <v>All Counties</v>
          </cell>
        </row>
        <row r="211">
          <cell r="A211" t="str">
            <v>Pabst Blue Ribbon</v>
          </cell>
          <cell r="B211" t="str">
            <v>All Counties</v>
          </cell>
        </row>
        <row r="212">
          <cell r="A212" t="str">
            <v>Pabst Light</v>
          </cell>
          <cell r="B212" t="str">
            <v>All Counties</v>
          </cell>
        </row>
        <row r="213">
          <cell r="A213" t="str">
            <v>Palma</v>
          </cell>
          <cell r="B213" t="str">
            <v>All Counties</v>
          </cell>
        </row>
        <row r="214">
          <cell r="A214" t="str">
            <v>Paradisse</v>
          </cell>
          <cell r="B214" t="str">
            <v>All Counties</v>
          </cell>
        </row>
        <row r="215">
          <cell r="A215" t="str">
            <v>Petrus</v>
          </cell>
          <cell r="B215" t="str">
            <v>All Counties</v>
          </cell>
        </row>
        <row r="216">
          <cell r="A216" t="str">
            <v>Piraat</v>
          </cell>
          <cell r="B216" t="str">
            <v>All Counties</v>
          </cell>
        </row>
        <row r="217">
          <cell r="A217" t="str">
            <v>Whole Hog</v>
          </cell>
          <cell r="B217" t="str">
            <v>All Counties</v>
          </cell>
        </row>
        <row r="218">
          <cell r="A218" t="str">
            <v>Poker Import</v>
          </cell>
          <cell r="B218" t="str">
            <v>All Counties</v>
          </cell>
        </row>
        <row r="219">
          <cell r="A219" t="str">
            <v>Pop Sips</v>
          </cell>
          <cell r="B219" t="str">
            <v>All Counties</v>
          </cell>
        </row>
        <row r="220">
          <cell r="A220" t="str">
            <v>Pride &amp; Clarke</v>
          </cell>
          <cell r="B220" t="str">
            <v>All Counties</v>
          </cell>
        </row>
        <row r="221">
          <cell r="A221" t="str">
            <v>Quilmes</v>
          </cell>
          <cell r="B221" t="str">
            <v>All Counties</v>
          </cell>
        </row>
        <row r="222">
          <cell r="A222" t="str">
            <v>Radeberger</v>
          </cell>
          <cell r="B222" t="str">
            <v>All Counties</v>
          </cell>
        </row>
        <row r="223">
          <cell r="A223" t="str">
            <v>Right Coast</v>
          </cell>
          <cell r="B223" t="str">
            <v>All Counties</v>
          </cell>
        </row>
        <row r="224">
          <cell r="A224" t="str">
            <v>River Horse Brewing Co</v>
          </cell>
          <cell r="B224" t="str">
            <v>All Counties</v>
          </cell>
        </row>
        <row r="225">
          <cell r="A225" t="str">
            <v>Rusted Revolver</v>
          </cell>
          <cell r="B225" t="str">
            <v>All Counties</v>
          </cell>
        </row>
        <row r="226">
          <cell r="A226" t="str">
            <v>Sapporo</v>
          </cell>
          <cell r="B226" t="str">
            <v>All Counties</v>
          </cell>
        </row>
        <row r="227">
          <cell r="A227" t="str">
            <v>Saranac</v>
          </cell>
          <cell r="B227" t="str">
            <v>All Counties</v>
          </cell>
        </row>
        <row r="228">
          <cell r="A228" t="str">
            <v>Saratoga</v>
          </cell>
          <cell r="B228" t="str">
            <v>All Counties</v>
          </cell>
        </row>
        <row r="229">
          <cell r="A229" t="str">
            <v>Schaefer</v>
          </cell>
          <cell r="B229" t="str">
            <v>All Counties</v>
          </cell>
        </row>
        <row r="230">
          <cell r="A230" t="str">
            <v>Schlitz Malt</v>
          </cell>
          <cell r="B230" t="str">
            <v>All Counties</v>
          </cell>
        </row>
        <row r="231">
          <cell r="A231" t="str">
            <v>Schofferhofer</v>
          </cell>
          <cell r="B231" t="str">
            <v>All Counties</v>
          </cell>
        </row>
        <row r="232">
          <cell r="A232" t="str">
            <v>Source Brewing</v>
          </cell>
          <cell r="B232" t="str">
            <v>All Counties</v>
          </cell>
        </row>
        <row r="233">
          <cell r="A233" t="str">
            <v>St Ides</v>
          </cell>
          <cell r="B233" t="str">
            <v>All Counties</v>
          </cell>
        </row>
        <row r="234">
          <cell r="A234" t="str">
            <v>Stiegl</v>
          </cell>
          <cell r="B234" t="str">
            <v>All Counties</v>
          </cell>
        </row>
        <row r="235">
          <cell r="A235" t="str">
            <v>Striped Pig</v>
          </cell>
          <cell r="B235" t="str">
            <v>All Counties</v>
          </cell>
        </row>
        <row r="236">
          <cell r="A236" t="str">
            <v>Sullivan's</v>
          </cell>
          <cell r="B236" t="str">
            <v>All Counties</v>
          </cell>
        </row>
        <row r="237">
          <cell r="A237" t="str">
            <v>Talkhouse Encore</v>
          </cell>
          <cell r="B237" t="str">
            <v>All Counties</v>
          </cell>
        </row>
        <row r="238">
          <cell r="A238" t="str">
            <v>The Garden State Experience</v>
          </cell>
          <cell r="B238" t="str">
            <v>All Counties</v>
          </cell>
        </row>
        <row r="239">
          <cell r="A239" t="str">
            <v>The Old G</v>
          </cell>
          <cell r="B239" t="str">
            <v>All Counties</v>
          </cell>
        </row>
        <row r="240">
          <cell r="A240" t="str">
            <v>Van Steenberge</v>
          </cell>
          <cell r="B240" t="str">
            <v>All Counties</v>
          </cell>
        </row>
        <row r="241">
          <cell r="A241" t="str">
            <v>Tsingtao</v>
          </cell>
          <cell r="B241" t="str">
            <v>All Counties</v>
          </cell>
        </row>
        <row r="242">
          <cell r="A242" t="str">
            <v>Viva Tequila Seltzer</v>
          </cell>
          <cell r="B242" t="str">
            <v>All Counties</v>
          </cell>
        </row>
        <row r="243">
          <cell r="A243" t="str">
            <v>Vodka Hog</v>
          </cell>
          <cell r="B243" t="str">
            <v>All Counties</v>
          </cell>
        </row>
        <row r="244">
          <cell r="A244" t="str">
            <v>Warwick Gin</v>
          </cell>
          <cell r="B244" t="str">
            <v>All Counties</v>
          </cell>
        </row>
        <row r="245">
          <cell r="A245" t="str">
            <v>Waterloo Gin</v>
          </cell>
          <cell r="B245" t="str">
            <v>All Counties</v>
          </cell>
        </row>
        <row r="246">
          <cell r="A246" t="str">
            <v>Woodchuck</v>
          </cell>
          <cell r="B246" t="str">
            <v>All Counties</v>
          </cell>
        </row>
        <row r="247">
          <cell r="A247" t="str">
            <v>Cerveza Republica LA Tuya</v>
          </cell>
          <cell r="B247" t="str">
            <v>All Counties + Middlesex</v>
          </cell>
        </row>
        <row r="248">
          <cell r="A248" t="str">
            <v>Cerveza Republica La Tuya 5.0 La Dura</v>
          </cell>
          <cell r="B248" t="str">
            <v>All Counties + Middlesex</v>
          </cell>
        </row>
        <row r="249">
          <cell r="A249" t="str">
            <v>Czechvar</v>
          </cell>
          <cell r="B249" t="str">
            <v>Metro Five County</v>
          </cell>
        </row>
        <row r="250">
          <cell r="A250" t="str">
            <v>Daura</v>
          </cell>
          <cell r="B250" t="str">
            <v>All Counties</v>
          </cell>
        </row>
        <row r="251">
          <cell r="A251" t="str">
            <v>Estrella</v>
          </cell>
          <cell r="B251" t="str">
            <v>Metro Five County</v>
          </cell>
        </row>
        <row r="252">
          <cell r="A252" t="str">
            <v>Famosa</v>
          </cell>
          <cell r="B252" t="str">
            <v>Metro Five County</v>
          </cell>
        </row>
        <row r="253">
          <cell r="A253" t="str">
            <v>Genesee</v>
          </cell>
          <cell r="B253" t="str">
            <v>Metro Five County</v>
          </cell>
        </row>
        <row r="254">
          <cell r="A254" t="str">
            <v>Imperial</v>
          </cell>
          <cell r="B254" t="str">
            <v>Metro Five County</v>
          </cell>
        </row>
        <row r="255">
          <cell r="A255" t="str">
            <v>La Tropical</v>
          </cell>
          <cell r="B255" t="str">
            <v>Metro Five County</v>
          </cell>
        </row>
        <row r="256">
          <cell r="A256" t="str">
            <v>Flying Fish</v>
          </cell>
          <cell r="B256" t="str">
            <v>Metro Less West Milford Area</v>
          </cell>
        </row>
        <row r="257">
          <cell r="A257" t="str">
            <v>Travelers Club</v>
          </cell>
          <cell r="B257" t="str">
            <v>All Counties</v>
          </cell>
        </row>
        <row r="258">
          <cell r="A258" t="str">
            <v>Earthquake</v>
          </cell>
          <cell r="B258" t="str">
            <v>Core Less Essex (Alt)</v>
          </cell>
        </row>
        <row r="259">
          <cell r="A259" t="str">
            <v>Four Loko</v>
          </cell>
          <cell r="B259" t="str">
            <v>Core Less Essex (Alt)</v>
          </cell>
        </row>
        <row r="260">
          <cell r="A260" t="str">
            <v>Mamita's</v>
          </cell>
          <cell r="B260" t="str">
            <v>Core Less Essex (Alt)</v>
          </cell>
        </row>
        <row r="261">
          <cell r="A261" t="str">
            <v>Banks</v>
          </cell>
          <cell r="B261" t="str">
            <v>Bergen/Passaic/Hudson/Essex</v>
          </cell>
        </row>
        <row r="262">
          <cell r="A262" t="str">
            <v>Bold Rock</v>
          </cell>
          <cell r="B262" t="str">
            <v>Bergen/Passaic/Hudson/Essex</v>
          </cell>
        </row>
        <row r="263">
          <cell r="A263" t="str">
            <v>Citizen Cider</v>
          </cell>
          <cell r="B263" t="str">
            <v>Bergen/Passaic/Hudson/Essex</v>
          </cell>
        </row>
        <row r="264">
          <cell r="A264" t="str">
            <v>Fuller's</v>
          </cell>
          <cell r="B264" t="str">
            <v>Bergen/Passaic/Hudson/Essex</v>
          </cell>
        </row>
        <row r="265">
          <cell r="A265" t="str">
            <v>Hacker-Pschorr</v>
          </cell>
          <cell r="B265" t="str">
            <v>Bergen/Passaic/Hudson/Essex</v>
          </cell>
        </row>
        <row r="266">
          <cell r="A266" t="str">
            <v>Ithaca</v>
          </cell>
          <cell r="B266" t="str">
            <v>Bergen/Passaic/Hudson/Essex</v>
          </cell>
        </row>
        <row r="267">
          <cell r="A267" t="str">
            <v>Mckenzie's</v>
          </cell>
          <cell r="B267" t="str">
            <v>Bergen/Passaic/Hudson/Essex</v>
          </cell>
        </row>
        <row r="268">
          <cell r="A268" t="str">
            <v>Paulaner</v>
          </cell>
          <cell r="B268" t="str">
            <v>Bergen/Passaic/Hudson/Essex</v>
          </cell>
        </row>
        <row r="269">
          <cell r="A269" t="str">
            <v>Rekorderlig</v>
          </cell>
          <cell r="B269" t="str">
            <v>Bergen/Passaic/Hudson/Essex</v>
          </cell>
        </row>
        <row r="270">
          <cell r="A270" t="str">
            <v>Shipyard</v>
          </cell>
          <cell r="B270" t="str">
            <v>Bergen/Passaic/Hudson/Essex</v>
          </cell>
        </row>
        <row r="271">
          <cell r="A271" t="str">
            <v>Sixpoint</v>
          </cell>
          <cell r="B271" t="str">
            <v>Bergen/Passaic/Hudson/Essex</v>
          </cell>
        </row>
        <row r="272">
          <cell r="A272" t="str">
            <v>Southern Tier</v>
          </cell>
          <cell r="B272" t="str">
            <v>Bergen/Passaic/Hudson/Essex</v>
          </cell>
        </row>
        <row r="273">
          <cell r="A273" t="str">
            <v>Southern Tier Distilling</v>
          </cell>
          <cell r="B273" t="str">
            <v>Bergen/Passaic/Hudson/Essex</v>
          </cell>
        </row>
        <row r="274">
          <cell r="A274" t="str">
            <v>Stone Brewing</v>
          </cell>
          <cell r="B274" t="str">
            <v>Bergen/Passaic/Hudson/Essex</v>
          </cell>
        </row>
        <row r="275">
          <cell r="A275" t="str">
            <v>Unibroue</v>
          </cell>
          <cell r="B275" t="str">
            <v>Bergen/Passaic/Hudson/Essex</v>
          </cell>
        </row>
        <row r="276">
          <cell r="A276" t="str">
            <v>Monkey Family</v>
          </cell>
          <cell r="B276" t="str">
            <v>Bergen/Passaic/Hudson/Essex</v>
          </cell>
        </row>
        <row r="277">
          <cell r="A277" t="str">
            <v>Victory</v>
          </cell>
          <cell r="B277" t="str">
            <v>Bergen/Passaic/Hudson/Essex</v>
          </cell>
        </row>
        <row r="278">
          <cell r="A278" t="str">
            <v>Weihenstephaner</v>
          </cell>
          <cell r="B278" t="str">
            <v>Bergen/Passaic/Hudson/Essex</v>
          </cell>
        </row>
        <row r="279">
          <cell r="A279" t="str">
            <v>Popsicle Hard</v>
          </cell>
          <cell r="B279" t="str">
            <v>All Counties</v>
          </cell>
        </row>
        <row r="280">
          <cell r="A280" t="str">
            <v>Slow &amp; Low</v>
          </cell>
          <cell r="B280" t="str">
            <v>Core Market</v>
          </cell>
        </row>
        <row r="281">
          <cell r="A281" t="str">
            <v>2XO</v>
          </cell>
          <cell r="B281" t="str">
            <v>All Counties</v>
          </cell>
        </row>
        <row r="282">
          <cell r="A282" t="str">
            <v>Beviamo</v>
          </cell>
          <cell r="B282" t="str">
            <v>Core Market</v>
          </cell>
        </row>
        <row r="283">
          <cell r="A283" t="str">
            <v>Gionelli</v>
          </cell>
          <cell r="B283" t="str">
            <v>Core Market</v>
          </cell>
        </row>
        <row r="284">
          <cell r="A284" t="str">
            <v>Carinoso</v>
          </cell>
          <cell r="B284" t="str">
            <v>All Counties + Middlesex</v>
          </cell>
        </row>
        <row r="285">
          <cell r="A285" t="str">
            <v>Lock Stock &amp; Barrel</v>
          </cell>
          <cell r="B285" t="str">
            <v>Core Market</v>
          </cell>
        </row>
        <row r="286">
          <cell r="A286" t="str">
            <v>Shabo Wine</v>
          </cell>
          <cell r="B286" t="str">
            <v>Core Market</v>
          </cell>
        </row>
        <row r="287">
          <cell r="A287" t="str">
            <v>Hetman Vodka</v>
          </cell>
          <cell r="B287" t="str">
            <v>Core Market</v>
          </cell>
        </row>
        <row r="288">
          <cell r="A288" t="str">
            <v>Ukrainian Spirit</v>
          </cell>
          <cell r="B288" t="str">
            <v>Core Market</v>
          </cell>
        </row>
        <row r="289">
          <cell r="A289" t="str">
            <v>Source It's A Me</v>
          </cell>
          <cell r="B289" t="str">
            <v>All Counties</v>
          </cell>
        </row>
        <row r="290">
          <cell r="A290" t="str">
            <v>Source Ultra Citra</v>
          </cell>
          <cell r="B290" t="str">
            <v>All Counties</v>
          </cell>
        </row>
        <row r="291">
          <cell r="A291" t="str">
            <v>Source Jersey Lager</v>
          </cell>
          <cell r="B291" t="str">
            <v>All Counties</v>
          </cell>
        </row>
        <row r="292">
          <cell r="A292" t="str">
            <v>Flying Fish Box of Bones Variety</v>
          </cell>
          <cell r="B292" t="str">
            <v>Metro Less West Milford Area</v>
          </cell>
        </row>
        <row r="293">
          <cell r="A293" t="str">
            <v>Sixpoint Summer Sesh</v>
          </cell>
          <cell r="B293" t="str">
            <v>Bergen/Passaic/Hudson/Essex</v>
          </cell>
        </row>
        <row r="294">
          <cell r="A294" t="str">
            <v>Bloom Bubbles</v>
          </cell>
          <cell r="B294" t="str">
            <v>All Counties</v>
          </cell>
        </row>
        <row r="295">
          <cell r="A295" t="str">
            <v>Poca Loca</v>
          </cell>
          <cell r="B295" t="str">
            <v>All Counties</v>
          </cell>
        </row>
        <row r="296">
          <cell r="A296" t="str">
            <v>2 Canos</v>
          </cell>
          <cell r="B296" t="str">
            <v>All Counties</v>
          </cell>
        </row>
        <row r="297">
          <cell r="A297" t="str">
            <v>Other Half</v>
          </cell>
          <cell r="B297" t="str">
            <v>All Counties</v>
          </cell>
        </row>
      </sheetData>
      <sheetData sheetId="11"/>
      <sheetData sheetId="12">
        <row r="6">
          <cell r="B6" t="str">
            <v>Anchor</v>
          </cell>
          <cell r="C6" t="str">
            <v>Morris 3</v>
          </cell>
          <cell r="D6" t="str">
            <v>Inactive</v>
          </cell>
        </row>
        <row r="7">
          <cell r="B7" t="str">
            <v>Famosa</v>
          </cell>
          <cell r="C7" t="str">
            <v>Morris 3</v>
          </cell>
          <cell r="D7" t="str">
            <v>Inactive</v>
          </cell>
        </row>
        <row r="8">
          <cell r="B8" t="str">
            <v>Genesee</v>
          </cell>
          <cell r="C8" t="str">
            <v>Morris 3</v>
          </cell>
          <cell r="D8" t="str">
            <v>Inactive</v>
          </cell>
        </row>
        <row r="9">
          <cell r="B9" t="str">
            <v>Honey Brown</v>
          </cell>
          <cell r="C9" t="str">
            <v>Morris 3</v>
          </cell>
          <cell r="D9" t="str">
            <v>Inactive</v>
          </cell>
        </row>
        <row r="10">
          <cell r="B10" t="str">
            <v>Imperial</v>
          </cell>
          <cell r="C10" t="str">
            <v>Morris 3</v>
          </cell>
          <cell r="D10" t="str">
            <v>Inactive</v>
          </cell>
        </row>
        <row r="11">
          <cell r="B11" t="str">
            <v>Misissippi</v>
          </cell>
          <cell r="C11" t="str">
            <v>Morris 3</v>
          </cell>
          <cell r="D11" t="str">
            <v>Inactive</v>
          </cell>
        </row>
        <row r="12">
          <cell r="B12" t="str">
            <v>Czechvar</v>
          </cell>
          <cell r="C12" t="str">
            <v>Morris 3</v>
          </cell>
          <cell r="D12" t="str">
            <v>Inactive</v>
          </cell>
        </row>
        <row r="13">
          <cell r="B13" t="str">
            <v>Daura</v>
          </cell>
          <cell r="C13" t="str">
            <v>Morris 3</v>
          </cell>
          <cell r="D13" t="str">
            <v>Inactive</v>
          </cell>
        </row>
        <row r="14">
          <cell r="B14" t="str">
            <v>Estrella</v>
          </cell>
          <cell r="C14" t="str">
            <v>Morris 3</v>
          </cell>
          <cell r="D14" t="str">
            <v>Inactive</v>
          </cell>
        </row>
        <row r="15">
          <cell r="B15" t="str">
            <v>Inedit</v>
          </cell>
          <cell r="C15" t="str">
            <v>Morris 3</v>
          </cell>
          <cell r="D15" t="str">
            <v>Inactive</v>
          </cell>
        </row>
        <row r="16">
          <cell r="B16" t="str">
            <v>Flying Fish</v>
          </cell>
          <cell r="C16" t="str">
            <v>Morris 3</v>
          </cell>
          <cell r="D16" t="str">
            <v>Inactive</v>
          </cell>
        </row>
        <row r="17">
          <cell r="B17" t="str">
            <v>Bold Rock</v>
          </cell>
          <cell r="C17" t="str">
            <v>Morris 3</v>
          </cell>
          <cell r="D17" t="str">
            <v>Inactive</v>
          </cell>
        </row>
        <row r="18">
          <cell r="B18" t="str">
            <v>Citizen Cider</v>
          </cell>
          <cell r="C18" t="str">
            <v>Morris 3</v>
          </cell>
          <cell r="D18" t="str">
            <v>Inactive</v>
          </cell>
        </row>
        <row r="19">
          <cell r="B19" t="str">
            <v>Ithaca</v>
          </cell>
          <cell r="C19" t="str">
            <v>Morris 3</v>
          </cell>
          <cell r="D19" t="str">
            <v>Inactive</v>
          </cell>
        </row>
        <row r="20">
          <cell r="B20" t="str">
            <v>Otter Creek</v>
          </cell>
          <cell r="C20" t="str">
            <v>Morris 3</v>
          </cell>
          <cell r="D20" t="str">
            <v>Inactive</v>
          </cell>
        </row>
        <row r="21">
          <cell r="B21" t="str">
            <v>Shed</v>
          </cell>
          <cell r="C21" t="str">
            <v>Morris 3</v>
          </cell>
          <cell r="D21" t="str">
            <v>Inactive</v>
          </cell>
        </row>
        <row r="22">
          <cell r="B22" t="str">
            <v>Mckenzie's</v>
          </cell>
          <cell r="C22" t="str">
            <v>Morris 3</v>
          </cell>
          <cell r="D22" t="str">
            <v>Inactive</v>
          </cell>
        </row>
        <row r="23">
          <cell r="B23" t="str">
            <v>Old Speckled Hen</v>
          </cell>
          <cell r="C23" t="str">
            <v>Morris 3</v>
          </cell>
          <cell r="D23" t="str">
            <v>Inactive</v>
          </cell>
        </row>
        <row r="24">
          <cell r="B24" t="str">
            <v>Hacker-Pschorr</v>
          </cell>
          <cell r="C24" t="str">
            <v>Morris 3</v>
          </cell>
          <cell r="D24" t="str">
            <v>Inactive</v>
          </cell>
        </row>
        <row r="25">
          <cell r="B25" t="str">
            <v>Paulaner</v>
          </cell>
          <cell r="C25" t="str">
            <v>Morris 3</v>
          </cell>
          <cell r="D25" t="str">
            <v>Inactive</v>
          </cell>
        </row>
        <row r="26">
          <cell r="B26" t="str">
            <v>Fruli</v>
          </cell>
          <cell r="C26" t="str">
            <v>Morris 3</v>
          </cell>
          <cell r="D26" t="str">
            <v>Inactive</v>
          </cell>
        </row>
        <row r="27">
          <cell r="B27" t="str">
            <v>Ohara's</v>
          </cell>
          <cell r="C27" t="str">
            <v>Morris 3</v>
          </cell>
          <cell r="D27" t="str">
            <v>Inactive</v>
          </cell>
        </row>
        <row r="28">
          <cell r="B28" t="str">
            <v>Unibroue</v>
          </cell>
          <cell r="C28" t="str">
            <v>Morris 3</v>
          </cell>
          <cell r="D28" t="str">
            <v>Inactive</v>
          </cell>
        </row>
        <row r="29">
          <cell r="B29" t="str">
            <v>Sea Dog</v>
          </cell>
          <cell r="C29" t="str">
            <v>Morris 3</v>
          </cell>
          <cell r="D29" t="str">
            <v>Inactive</v>
          </cell>
        </row>
        <row r="30">
          <cell r="B30" t="str">
            <v>Shipyard</v>
          </cell>
          <cell r="C30" t="str">
            <v>Morris 3</v>
          </cell>
          <cell r="D30" t="str">
            <v>Inactive</v>
          </cell>
        </row>
        <row r="31">
          <cell r="B31" t="str">
            <v>Southern Tier</v>
          </cell>
          <cell r="C31" t="str">
            <v>Morris 3</v>
          </cell>
          <cell r="D31" t="str">
            <v>Inactive</v>
          </cell>
        </row>
        <row r="32">
          <cell r="B32" t="str">
            <v>Banks</v>
          </cell>
          <cell r="C32" t="str">
            <v>Morris 3</v>
          </cell>
          <cell r="D32" t="str">
            <v>Inactive</v>
          </cell>
        </row>
        <row r="33">
          <cell r="B33" t="str">
            <v>Weihenstephaner</v>
          </cell>
          <cell r="C33" t="str">
            <v>Morris 3</v>
          </cell>
          <cell r="D33" t="str">
            <v>Inactive</v>
          </cell>
        </row>
        <row r="34">
          <cell r="B34" t="str">
            <v>Victory</v>
          </cell>
          <cell r="C34" t="str">
            <v>Morris 3</v>
          </cell>
          <cell r="D34" t="str">
            <v>Inactive</v>
          </cell>
        </row>
        <row r="35">
          <cell r="B35" t="str">
            <v>Samuel Adams</v>
          </cell>
          <cell r="C35" t="str">
            <v>Morris 2</v>
          </cell>
          <cell r="D35" t="str">
            <v>Inactive</v>
          </cell>
        </row>
        <row r="36">
          <cell r="B36" t="str">
            <v>Traveler</v>
          </cell>
          <cell r="C36" t="str">
            <v>Morris 2</v>
          </cell>
          <cell r="D36" t="str">
            <v>Inactive</v>
          </cell>
        </row>
        <row r="37">
          <cell r="B37" t="str">
            <v>Angry Orchard</v>
          </cell>
          <cell r="C37" t="str">
            <v>Morris 2</v>
          </cell>
          <cell r="D37" t="str">
            <v>Inactive</v>
          </cell>
        </row>
        <row r="38">
          <cell r="B38" t="str">
            <v>Twisted Tea</v>
          </cell>
          <cell r="C38" t="str">
            <v>Morris 2</v>
          </cell>
          <cell r="D38" t="str">
            <v>Inactive</v>
          </cell>
        </row>
        <row r="39">
          <cell r="B39" t="str">
            <v>Coney Island</v>
          </cell>
          <cell r="C39" t="str">
            <v>Morris 2</v>
          </cell>
          <cell r="D39" t="str">
            <v>Inactive</v>
          </cell>
        </row>
        <row r="40">
          <cell r="B40" t="str">
            <v>Truly</v>
          </cell>
          <cell r="C40" t="str">
            <v>Morris 2</v>
          </cell>
          <cell r="D40" t="str">
            <v>Inactive</v>
          </cell>
        </row>
        <row r="41">
          <cell r="B41" t="str">
            <v>Marathon</v>
          </cell>
          <cell r="C41" t="str">
            <v>Morris 2</v>
          </cell>
          <cell r="D41" t="str">
            <v>Inactive</v>
          </cell>
        </row>
        <row r="42">
          <cell r="B42" t="str">
            <v>Wild Leaf</v>
          </cell>
          <cell r="C42" t="str">
            <v>Morris 2</v>
          </cell>
          <cell r="D42" t="str">
            <v>Inactive</v>
          </cell>
        </row>
        <row r="43">
          <cell r="B43" t="str">
            <v>Dogfish Head Beer</v>
          </cell>
          <cell r="C43" t="str">
            <v>Morris 2</v>
          </cell>
          <cell r="D43" t="str">
            <v>Inactive</v>
          </cell>
        </row>
        <row r="44">
          <cell r="B44" t="str">
            <v>Ballast Point</v>
          </cell>
          <cell r="C44" t="str">
            <v>Morris 2</v>
          </cell>
          <cell r="D44" t="str">
            <v>Inactive</v>
          </cell>
        </row>
        <row r="45">
          <cell r="B45" t="str">
            <v>Jasmine's</v>
          </cell>
          <cell r="C45" t="str">
            <v>Morris 2</v>
          </cell>
          <cell r="D45" t="str">
            <v>Inactive</v>
          </cell>
        </row>
        <row r="46">
          <cell r="B46" t="str">
            <v>Corona Extra</v>
          </cell>
          <cell r="C46" t="str">
            <v>Morris 2</v>
          </cell>
          <cell r="D46" t="str">
            <v>Inactive</v>
          </cell>
        </row>
        <row r="47">
          <cell r="B47" t="str">
            <v>Corona Familiar</v>
          </cell>
          <cell r="C47" t="str">
            <v>Morris 2</v>
          </cell>
          <cell r="D47" t="str">
            <v>Inactive</v>
          </cell>
        </row>
        <row r="48">
          <cell r="B48" t="str">
            <v>Corona Light</v>
          </cell>
          <cell r="C48" t="str">
            <v>Morris 2</v>
          </cell>
          <cell r="D48" t="str">
            <v>Inactive</v>
          </cell>
        </row>
        <row r="49">
          <cell r="B49" t="str">
            <v>Pacifico</v>
          </cell>
          <cell r="C49" t="str">
            <v>Morris 2</v>
          </cell>
          <cell r="D49" t="str">
            <v>Inactive</v>
          </cell>
        </row>
        <row r="50">
          <cell r="B50" t="str">
            <v>Modelo Negra</v>
          </cell>
          <cell r="C50" t="str">
            <v>Morris 2</v>
          </cell>
          <cell r="D50" t="str">
            <v>Inactive</v>
          </cell>
        </row>
        <row r="51">
          <cell r="B51" t="str">
            <v>Modelo Especial</v>
          </cell>
          <cell r="C51" t="str">
            <v>Morris 2</v>
          </cell>
          <cell r="D51" t="str">
            <v>Inactive</v>
          </cell>
        </row>
        <row r="52">
          <cell r="B52" t="str">
            <v>Victoria</v>
          </cell>
          <cell r="C52" t="str">
            <v>Morris 2</v>
          </cell>
          <cell r="D52" t="str">
            <v>Inactive</v>
          </cell>
        </row>
        <row r="53">
          <cell r="B53" t="str">
            <v>Modelo Chelada</v>
          </cell>
          <cell r="C53" t="str">
            <v>Morris 2</v>
          </cell>
          <cell r="D53" t="str">
            <v>Inactive</v>
          </cell>
        </row>
        <row r="54">
          <cell r="B54" t="str">
            <v>Corona Premier</v>
          </cell>
          <cell r="C54" t="str">
            <v>Morris 2</v>
          </cell>
          <cell r="D54" t="str">
            <v>Inactive</v>
          </cell>
        </row>
        <row r="55">
          <cell r="B55" t="str">
            <v>Corona Refresca</v>
          </cell>
          <cell r="C55" t="str">
            <v>Morris 2</v>
          </cell>
          <cell r="D55" t="str">
            <v>Inactive</v>
          </cell>
        </row>
        <row r="56">
          <cell r="B56" t="str">
            <v>Corona Seltzer</v>
          </cell>
          <cell r="C56" t="str">
            <v>Morris 2</v>
          </cell>
          <cell r="D56" t="str">
            <v>Inactive</v>
          </cell>
        </row>
        <row r="57">
          <cell r="B57" t="str">
            <v>Franks</v>
          </cell>
          <cell r="C57" t="str">
            <v>Morris 2</v>
          </cell>
          <cell r="D57" t="str">
            <v>Inactive</v>
          </cell>
        </row>
        <row r="58">
          <cell r="B58" t="str">
            <v>Tgi Fridays</v>
          </cell>
          <cell r="C58" t="str">
            <v>Morris 2</v>
          </cell>
          <cell r="D58" t="str">
            <v>Inactive</v>
          </cell>
        </row>
        <row r="59">
          <cell r="B59" t="str">
            <v>Tipsy Tomato</v>
          </cell>
          <cell r="C59" t="str">
            <v>Morris 2</v>
          </cell>
          <cell r="D59" t="str">
            <v>Inactive</v>
          </cell>
        </row>
        <row r="60">
          <cell r="B60" t="str">
            <v>Mike's Hard Lemonade</v>
          </cell>
          <cell r="C60" t="str">
            <v>Morris 2</v>
          </cell>
          <cell r="D60" t="str">
            <v>Inactive</v>
          </cell>
        </row>
        <row r="61">
          <cell r="B61" t="str">
            <v>Mike's Harder</v>
          </cell>
          <cell r="C61" t="str">
            <v>Morris 2</v>
          </cell>
          <cell r="D61" t="str">
            <v>Inactive</v>
          </cell>
        </row>
        <row r="62">
          <cell r="B62" t="str">
            <v>Cayman Jack</v>
          </cell>
          <cell r="C62" t="str">
            <v>Morris 2</v>
          </cell>
          <cell r="D62" t="str">
            <v>Inactive</v>
          </cell>
        </row>
        <row r="63">
          <cell r="B63" t="str">
            <v>Mxd Cocktails</v>
          </cell>
          <cell r="C63" t="str">
            <v>Morris 2</v>
          </cell>
          <cell r="D63" t="str">
            <v>Inactive</v>
          </cell>
        </row>
        <row r="64">
          <cell r="B64" t="str">
            <v>Palm Breeze</v>
          </cell>
          <cell r="C64" t="str">
            <v>Morris 2</v>
          </cell>
          <cell r="D64" t="str">
            <v>Inactive</v>
          </cell>
        </row>
        <row r="65">
          <cell r="B65" t="str">
            <v>White Claw</v>
          </cell>
          <cell r="C65" t="str">
            <v>Morris 2</v>
          </cell>
          <cell r="D65" t="str">
            <v>Inactive</v>
          </cell>
        </row>
        <row r="66">
          <cell r="B66" t="str">
            <v>Coors</v>
          </cell>
          <cell r="C66" t="str">
            <v>Morris 2</v>
          </cell>
          <cell r="D66" t="str">
            <v>Inactive</v>
          </cell>
        </row>
        <row r="67">
          <cell r="B67" t="str">
            <v>Coors Light</v>
          </cell>
          <cell r="C67" t="str">
            <v>Morris 2</v>
          </cell>
          <cell r="D67" t="str">
            <v>Inactive</v>
          </cell>
        </row>
        <row r="68">
          <cell r="B68" t="str">
            <v>Coors Extra Gold</v>
          </cell>
          <cell r="C68" t="str">
            <v>Morris 2</v>
          </cell>
          <cell r="D68" t="str">
            <v>Inactive</v>
          </cell>
        </row>
        <row r="69">
          <cell r="B69" t="str">
            <v>Keystone</v>
          </cell>
          <cell r="C69" t="str">
            <v>Morris 2</v>
          </cell>
          <cell r="D69" t="str">
            <v>Inactive</v>
          </cell>
        </row>
        <row r="70">
          <cell r="B70" t="str">
            <v>Zima</v>
          </cell>
          <cell r="C70" t="str">
            <v>Morris 2</v>
          </cell>
          <cell r="D70" t="str">
            <v>Inactive</v>
          </cell>
        </row>
        <row r="71">
          <cell r="B71" t="str">
            <v>Coors Seltzer</v>
          </cell>
          <cell r="C71" t="str">
            <v>Morris 2</v>
          </cell>
          <cell r="D71" t="str">
            <v>Inactive</v>
          </cell>
        </row>
        <row r="72">
          <cell r="B72" t="str">
            <v>Blue Moon</v>
          </cell>
          <cell r="C72" t="str">
            <v>Morris 2</v>
          </cell>
          <cell r="D72" t="str">
            <v>Inactive</v>
          </cell>
        </row>
        <row r="73">
          <cell r="B73" t="str">
            <v>Crispin</v>
          </cell>
          <cell r="C73" t="str">
            <v>Morris 2</v>
          </cell>
          <cell r="D73" t="str">
            <v>Inactive</v>
          </cell>
        </row>
        <row r="74">
          <cell r="B74" t="str">
            <v>Henry's Weinhards</v>
          </cell>
          <cell r="C74" t="str">
            <v>Morris 2</v>
          </cell>
          <cell r="D74" t="str">
            <v>Inactive</v>
          </cell>
        </row>
        <row r="75">
          <cell r="B75" t="str">
            <v>Two Hats</v>
          </cell>
          <cell r="C75" t="str">
            <v>Morris 2</v>
          </cell>
          <cell r="D75" t="str">
            <v>Inactive</v>
          </cell>
        </row>
        <row r="76">
          <cell r="B76" t="str">
            <v>George Killian's</v>
          </cell>
          <cell r="C76" t="str">
            <v>Morris 2</v>
          </cell>
          <cell r="D76" t="str">
            <v>Inactive</v>
          </cell>
        </row>
        <row r="77">
          <cell r="B77" t="str">
            <v>Redd's</v>
          </cell>
          <cell r="C77" t="str">
            <v>Morris 2</v>
          </cell>
          <cell r="D77" t="str">
            <v>Inactive</v>
          </cell>
        </row>
        <row r="78">
          <cell r="B78" t="str">
            <v>Third Shift</v>
          </cell>
          <cell r="C78" t="str">
            <v>Morris 2</v>
          </cell>
          <cell r="D78" t="str">
            <v>Inactive</v>
          </cell>
        </row>
        <row r="79">
          <cell r="B79" t="str">
            <v>Molson</v>
          </cell>
          <cell r="C79" t="str">
            <v>Morris 2</v>
          </cell>
          <cell r="D79" t="str">
            <v>Inactive</v>
          </cell>
        </row>
        <row r="80">
          <cell r="B80" t="str">
            <v>Henry's Hard Sparkling</v>
          </cell>
          <cell r="C80" t="str">
            <v>Morris 2</v>
          </cell>
          <cell r="D80" t="str">
            <v>Inactive</v>
          </cell>
        </row>
        <row r="81">
          <cell r="B81" t="str">
            <v>Steel Reserve</v>
          </cell>
          <cell r="C81" t="str">
            <v>Morris 2</v>
          </cell>
          <cell r="D81" t="str">
            <v>Inactive</v>
          </cell>
        </row>
        <row r="82">
          <cell r="B82" t="str">
            <v>Coors Edge</v>
          </cell>
          <cell r="C82" t="str">
            <v>Morris 2</v>
          </cell>
          <cell r="D82" t="str">
            <v>Inactive</v>
          </cell>
        </row>
        <row r="83">
          <cell r="B83" t="str">
            <v>Steel Reserve Alloy Series</v>
          </cell>
          <cell r="C83" t="str">
            <v>Morris 2</v>
          </cell>
          <cell r="D83" t="str">
            <v>Inactive</v>
          </cell>
        </row>
        <row r="84">
          <cell r="B84" t="str">
            <v>Aguila</v>
          </cell>
          <cell r="C84" t="str">
            <v>Morris 2</v>
          </cell>
          <cell r="D84" t="str">
            <v>Inactive</v>
          </cell>
        </row>
        <row r="85">
          <cell r="B85" t="str">
            <v>Smith &amp; Forge</v>
          </cell>
          <cell r="C85" t="str">
            <v>Morris 2</v>
          </cell>
          <cell r="D85" t="str">
            <v>Inactive</v>
          </cell>
        </row>
        <row r="86">
          <cell r="B86" t="str">
            <v>Redd's Wicked</v>
          </cell>
          <cell r="C86" t="str">
            <v>Morris 2</v>
          </cell>
          <cell r="D86" t="str">
            <v>Inactive</v>
          </cell>
        </row>
        <row r="87">
          <cell r="B87" t="str">
            <v>Henry's Hard Sodas</v>
          </cell>
          <cell r="C87" t="str">
            <v>Morris 2</v>
          </cell>
          <cell r="D87" t="str">
            <v>Inactive</v>
          </cell>
        </row>
        <row r="88">
          <cell r="B88" t="str">
            <v>Hamm's</v>
          </cell>
          <cell r="C88" t="str">
            <v>Morris 2</v>
          </cell>
          <cell r="D88" t="str">
            <v>Inactive</v>
          </cell>
        </row>
        <row r="89">
          <cell r="B89" t="str">
            <v>Hamm's Light</v>
          </cell>
          <cell r="C89" t="str">
            <v>Morris 2</v>
          </cell>
          <cell r="D89" t="str">
            <v>Inactive</v>
          </cell>
        </row>
        <row r="90">
          <cell r="B90" t="str">
            <v>Miller High Life</v>
          </cell>
          <cell r="C90" t="str">
            <v>Morris 2</v>
          </cell>
          <cell r="D90" t="str">
            <v>Inactive</v>
          </cell>
        </row>
        <row r="91">
          <cell r="B91" t="str">
            <v>Miller High Life Light</v>
          </cell>
          <cell r="C91" t="str">
            <v>Morris 2</v>
          </cell>
          <cell r="D91" t="str">
            <v>Inactive</v>
          </cell>
        </row>
        <row r="92">
          <cell r="B92" t="str">
            <v>Icehouse</v>
          </cell>
          <cell r="C92" t="str">
            <v>Morris 2</v>
          </cell>
          <cell r="D92" t="str">
            <v>Inactive</v>
          </cell>
        </row>
        <row r="93">
          <cell r="B93" t="str">
            <v>Icehouse Edge</v>
          </cell>
          <cell r="C93" t="str">
            <v>Morris 2</v>
          </cell>
          <cell r="D93" t="str">
            <v>Inactive</v>
          </cell>
        </row>
        <row r="94">
          <cell r="B94" t="str">
            <v>Lite</v>
          </cell>
          <cell r="C94" t="str">
            <v>Morris 2</v>
          </cell>
          <cell r="D94" t="str">
            <v>Inactive</v>
          </cell>
        </row>
        <row r="95">
          <cell r="B95" t="str">
            <v>Movo</v>
          </cell>
          <cell r="C95" t="str">
            <v>Morris 2</v>
          </cell>
          <cell r="D95" t="str">
            <v>Inactive</v>
          </cell>
        </row>
        <row r="96">
          <cell r="B96" t="str">
            <v>Miller Genuine Draft</v>
          </cell>
          <cell r="C96" t="str">
            <v>Morris 2</v>
          </cell>
          <cell r="D96" t="str">
            <v>Inactive</v>
          </cell>
        </row>
        <row r="97">
          <cell r="B97" t="str">
            <v>Mickey Malt</v>
          </cell>
          <cell r="C97" t="str">
            <v>Morris 2</v>
          </cell>
          <cell r="D97" t="str">
            <v>Inactive</v>
          </cell>
        </row>
        <row r="98">
          <cell r="B98" t="str">
            <v>Miller Extra Light</v>
          </cell>
          <cell r="C98" t="str">
            <v>Morris 2</v>
          </cell>
          <cell r="D98" t="str">
            <v>Active</v>
          </cell>
        </row>
        <row r="99">
          <cell r="B99" t="str">
            <v>Miller Fortune</v>
          </cell>
          <cell r="C99" t="str">
            <v>Morris 2</v>
          </cell>
          <cell r="D99" t="str">
            <v>Inactive</v>
          </cell>
        </row>
        <row r="100">
          <cell r="B100" t="str">
            <v>Milwaukee's Best</v>
          </cell>
          <cell r="C100" t="str">
            <v>Morris 2</v>
          </cell>
          <cell r="D100" t="str">
            <v>Inactive</v>
          </cell>
        </row>
        <row r="101">
          <cell r="B101" t="str">
            <v>Milwaukee's Best Ice</v>
          </cell>
          <cell r="C101" t="str">
            <v>Morris 2</v>
          </cell>
          <cell r="D101" t="str">
            <v>Inactive</v>
          </cell>
        </row>
        <row r="102">
          <cell r="B102" t="str">
            <v>Milwaukee's Best Light</v>
          </cell>
          <cell r="C102" t="str">
            <v>Morris 2</v>
          </cell>
          <cell r="D102" t="str">
            <v>Inactive</v>
          </cell>
        </row>
        <row r="103">
          <cell r="B103" t="str">
            <v>Leinenkugel</v>
          </cell>
          <cell r="C103" t="str">
            <v>Morris 2</v>
          </cell>
          <cell r="D103" t="str">
            <v>Inactive</v>
          </cell>
        </row>
        <row r="104">
          <cell r="B104" t="str">
            <v>Leinenkugel Shandy</v>
          </cell>
          <cell r="C104" t="str">
            <v>Morris 2</v>
          </cell>
          <cell r="D104" t="str">
            <v>Inactive</v>
          </cell>
        </row>
        <row r="105">
          <cell r="B105" t="str">
            <v>Cristal</v>
          </cell>
          <cell r="C105" t="str">
            <v>Morris 2</v>
          </cell>
          <cell r="D105" t="str">
            <v>Inactive</v>
          </cell>
        </row>
        <row r="106">
          <cell r="B106" t="str">
            <v>Cusquena</v>
          </cell>
          <cell r="C106" t="str">
            <v>Morris 2</v>
          </cell>
          <cell r="D106" t="str">
            <v>Inactive</v>
          </cell>
        </row>
        <row r="107">
          <cell r="B107" t="str">
            <v>Fosters</v>
          </cell>
          <cell r="C107" t="str">
            <v>Morris 2</v>
          </cell>
          <cell r="D107" t="str">
            <v>Inactive</v>
          </cell>
        </row>
        <row r="108">
          <cell r="B108" t="str">
            <v>Grolsch</v>
          </cell>
          <cell r="C108" t="str">
            <v>Morris 2</v>
          </cell>
          <cell r="D108" t="str">
            <v>Inactive</v>
          </cell>
        </row>
        <row r="109">
          <cell r="B109" t="str">
            <v>Lech</v>
          </cell>
          <cell r="C109" t="str">
            <v>Morris 2</v>
          </cell>
          <cell r="D109" t="str">
            <v>Inactive</v>
          </cell>
        </row>
        <row r="110">
          <cell r="B110" t="str">
            <v>Peroni</v>
          </cell>
          <cell r="C110" t="str">
            <v>Morris 2</v>
          </cell>
          <cell r="D110" t="str">
            <v>Inactive</v>
          </cell>
        </row>
        <row r="111">
          <cell r="B111" t="str">
            <v>Pilsner Urquell</v>
          </cell>
          <cell r="C111" t="str">
            <v>Morris 2</v>
          </cell>
          <cell r="D111" t="str">
            <v>Inactive</v>
          </cell>
        </row>
        <row r="112">
          <cell r="B112" t="str">
            <v>Tyskie Gronie</v>
          </cell>
          <cell r="C112" t="str">
            <v>Morris 2</v>
          </cell>
          <cell r="D112" t="str">
            <v>Inactive</v>
          </cell>
        </row>
        <row r="113">
          <cell r="B113" t="str">
            <v>Old English</v>
          </cell>
          <cell r="C113" t="str">
            <v>Morris 2</v>
          </cell>
          <cell r="D113" t="str">
            <v>Inactive</v>
          </cell>
        </row>
        <row r="114">
          <cell r="B114" t="str">
            <v>Sol</v>
          </cell>
          <cell r="C114" t="str">
            <v>Morris 2</v>
          </cell>
          <cell r="D114" t="str">
            <v>Inactive</v>
          </cell>
        </row>
        <row r="115">
          <cell r="B115" t="str">
            <v>Arnold Palmer</v>
          </cell>
          <cell r="C115" t="str">
            <v>Morris 2</v>
          </cell>
          <cell r="D115" t="str">
            <v>Inactive</v>
          </cell>
        </row>
        <row r="116">
          <cell r="B116" t="str">
            <v>Cape Line</v>
          </cell>
          <cell r="C116" t="str">
            <v>Morris 2</v>
          </cell>
          <cell r="D116" t="str">
            <v>Inactive</v>
          </cell>
        </row>
        <row r="117">
          <cell r="B117" t="str">
            <v>St Archer</v>
          </cell>
          <cell r="C117" t="str">
            <v>Morris 2</v>
          </cell>
          <cell r="D117" t="str">
            <v>Inactive</v>
          </cell>
        </row>
        <row r="118">
          <cell r="B118" t="str">
            <v>Vizzy</v>
          </cell>
          <cell r="C118" t="str">
            <v>Morris 2</v>
          </cell>
          <cell r="D118" t="str">
            <v>Inactive</v>
          </cell>
        </row>
        <row r="119">
          <cell r="B119" t="str">
            <v>Narragansett</v>
          </cell>
          <cell r="C119" t="str">
            <v>Morris 2</v>
          </cell>
          <cell r="D119" t="str">
            <v>Inactive</v>
          </cell>
        </row>
        <row r="120">
          <cell r="B120" t="str">
            <v>New Belgium Brewing Company</v>
          </cell>
          <cell r="C120" t="str">
            <v>Morris 2</v>
          </cell>
          <cell r="D120" t="str">
            <v>Inactive</v>
          </cell>
        </row>
        <row r="121">
          <cell r="B121" t="str">
            <v>Shiner</v>
          </cell>
          <cell r="C121" t="str">
            <v>Morris 2</v>
          </cell>
          <cell r="D121" t="str">
            <v>Inactive</v>
          </cell>
        </row>
        <row r="122">
          <cell r="B122" t="str">
            <v>Sierra Nevada</v>
          </cell>
          <cell r="C122" t="str">
            <v>Morris 2</v>
          </cell>
          <cell r="D122" t="str">
            <v>Inactive</v>
          </cell>
        </row>
        <row r="123">
          <cell r="B123" t="str">
            <v>Strainge Beast</v>
          </cell>
          <cell r="C123" t="str">
            <v>Morris 2</v>
          </cell>
          <cell r="D123" t="str">
            <v>Inactive</v>
          </cell>
        </row>
        <row r="124">
          <cell r="B124" t="str">
            <v>Terrapin Beer Company</v>
          </cell>
          <cell r="C124" t="str">
            <v>Morris 2</v>
          </cell>
          <cell r="D124" t="str">
            <v>Inactive</v>
          </cell>
        </row>
        <row r="125">
          <cell r="B125" t="str">
            <v>Moosehead</v>
          </cell>
          <cell r="C125" t="str">
            <v>Morris 2</v>
          </cell>
          <cell r="D125" t="str">
            <v>Inactive</v>
          </cell>
        </row>
        <row r="126">
          <cell r="B126" t="str">
            <v>Press</v>
          </cell>
          <cell r="C126" t="str">
            <v>Morris 2</v>
          </cell>
          <cell r="D126" t="str">
            <v>Inactive</v>
          </cell>
        </row>
        <row r="127">
          <cell r="B127" t="str">
            <v>Dg Yuengling Inc</v>
          </cell>
          <cell r="C127" t="str">
            <v>Morris 2</v>
          </cell>
          <cell r="D127" t="str">
            <v>Inactive</v>
          </cell>
        </row>
        <row r="128">
          <cell r="B128" t="str">
            <v>Heineken USA</v>
          </cell>
          <cell r="C128" t="str">
            <v>Morris 2</v>
          </cell>
          <cell r="D128" t="str">
            <v>Inactive</v>
          </cell>
        </row>
        <row r="129">
          <cell r="B129" t="str">
            <v>Heineken Dark</v>
          </cell>
          <cell r="C129" t="str">
            <v>Morris 2</v>
          </cell>
          <cell r="D129" t="str">
            <v>Inactive</v>
          </cell>
        </row>
        <row r="130">
          <cell r="B130" t="str">
            <v>Heineken Light</v>
          </cell>
          <cell r="C130" t="str">
            <v>Morris 2</v>
          </cell>
          <cell r="D130" t="str">
            <v>Inactive</v>
          </cell>
        </row>
        <row r="131">
          <cell r="B131" t="str">
            <v>Amstel</v>
          </cell>
          <cell r="C131" t="str">
            <v>Morris 2</v>
          </cell>
          <cell r="D131" t="str">
            <v>Inactive</v>
          </cell>
        </row>
        <row r="132">
          <cell r="B132" t="str">
            <v>Newcastle</v>
          </cell>
          <cell r="C132" t="str">
            <v>Morris 2</v>
          </cell>
          <cell r="D132" t="str">
            <v>Inactive</v>
          </cell>
        </row>
        <row r="133">
          <cell r="B133" t="str">
            <v>Buckler</v>
          </cell>
          <cell r="C133" t="str">
            <v>Morris 2</v>
          </cell>
          <cell r="D133" t="str">
            <v>Inactive</v>
          </cell>
        </row>
        <row r="134">
          <cell r="B134" t="str">
            <v>Strongbow</v>
          </cell>
          <cell r="C134" t="str">
            <v>Morris 2</v>
          </cell>
          <cell r="D134" t="str">
            <v>Inactive</v>
          </cell>
        </row>
        <row r="135">
          <cell r="B135" t="str">
            <v>Murphy's</v>
          </cell>
          <cell r="C135" t="str">
            <v>Morris 2</v>
          </cell>
          <cell r="D135" t="str">
            <v>Inactive</v>
          </cell>
        </row>
        <row r="136">
          <cell r="B136" t="str">
            <v>Tiger</v>
          </cell>
          <cell r="C136" t="str">
            <v>Morris 2</v>
          </cell>
          <cell r="D136" t="str">
            <v>Inactive</v>
          </cell>
        </row>
        <row r="137">
          <cell r="B137" t="str">
            <v>Red Stripe</v>
          </cell>
          <cell r="C137" t="str">
            <v>Morris 2</v>
          </cell>
          <cell r="D137" t="str">
            <v>Inactive</v>
          </cell>
        </row>
        <row r="138">
          <cell r="B138" t="str">
            <v>Birra Moretti</v>
          </cell>
          <cell r="C138" t="str">
            <v>Morris 2</v>
          </cell>
          <cell r="D138" t="str">
            <v>Inactive</v>
          </cell>
        </row>
        <row r="139">
          <cell r="B139" t="str">
            <v>Affligem</v>
          </cell>
          <cell r="C139" t="str">
            <v>Morris 2</v>
          </cell>
          <cell r="D139" t="str">
            <v>Inactive</v>
          </cell>
        </row>
        <row r="140">
          <cell r="B140" t="str">
            <v>Cervezas De Mexico</v>
          </cell>
          <cell r="C140" t="str">
            <v>Morris 2</v>
          </cell>
          <cell r="D140" t="str">
            <v>Inactive</v>
          </cell>
        </row>
        <row r="141">
          <cell r="B141" t="str">
            <v>Tecate</v>
          </cell>
          <cell r="C141" t="str">
            <v>Morris 2</v>
          </cell>
          <cell r="D141" t="str">
            <v>Inactive</v>
          </cell>
        </row>
        <row r="142">
          <cell r="B142" t="str">
            <v>Bohemia</v>
          </cell>
          <cell r="C142" t="str">
            <v>Morris 2</v>
          </cell>
          <cell r="D142" t="str">
            <v>Inactive</v>
          </cell>
        </row>
        <row r="143">
          <cell r="B143" t="str">
            <v>Carta Blanca</v>
          </cell>
          <cell r="C143" t="str">
            <v>Morris 2</v>
          </cell>
          <cell r="D143" t="str">
            <v>Inactive</v>
          </cell>
        </row>
        <row r="144">
          <cell r="B144" t="str">
            <v>Tecate Light</v>
          </cell>
          <cell r="C144" t="str">
            <v>Morris 2</v>
          </cell>
          <cell r="D144" t="str">
            <v>Inactive</v>
          </cell>
        </row>
        <row r="145">
          <cell r="B145" t="str">
            <v>Sagres Cerveja</v>
          </cell>
          <cell r="C145" t="str">
            <v>Morris 2</v>
          </cell>
          <cell r="D145" t="str">
            <v>Inactive</v>
          </cell>
        </row>
        <row r="146">
          <cell r="B146" t="str">
            <v>Prestige Lager</v>
          </cell>
          <cell r="C146" t="str">
            <v>Morris 2</v>
          </cell>
          <cell r="D146" t="str">
            <v>Inactive</v>
          </cell>
        </row>
        <row r="147">
          <cell r="B147" t="str">
            <v>Heineken 0.0</v>
          </cell>
          <cell r="C147" t="str">
            <v>Morris 2</v>
          </cell>
          <cell r="D147" t="str">
            <v>Inactive</v>
          </cell>
        </row>
        <row r="148">
          <cell r="B148" t="str">
            <v>Anchor</v>
          </cell>
          <cell r="C148" t="str">
            <v>Morris 2</v>
          </cell>
          <cell r="D148" t="str">
            <v>Inactive</v>
          </cell>
        </row>
        <row r="149">
          <cell r="B149" t="str">
            <v>Famosa</v>
          </cell>
          <cell r="C149" t="str">
            <v>Morris 2</v>
          </cell>
          <cell r="D149" t="str">
            <v>Inactive</v>
          </cell>
        </row>
        <row r="150">
          <cell r="B150" t="str">
            <v>Genesee</v>
          </cell>
          <cell r="C150" t="str">
            <v>Morris 2</v>
          </cell>
          <cell r="D150" t="str">
            <v>Inactive</v>
          </cell>
        </row>
        <row r="151">
          <cell r="B151" t="str">
            <v>Honey Brown</v>
          </cell>
          <cell r="C151" t="str">
            <v>Morris 2</v>
          </cell>
          <cell r="D151" t="str">
            <v>Inactive</v>
          </cell>
        </row>
        <row r="152">
          <cell r="B152" t="str">
            <v>Imperial</v>
          </cell>
          <cell r="C152" t="str">
            <v>Morris 2</v>
          </cell>
          <cell r="D152" t="str">
            <v>Inactive</v>
          </cell>
        </row>
        <row r="153">
          <cell r="B153" t="str">
            <v>Misissippi</v>
          </cell>
          <cell r="C153" t="str">
            <v>Morris 2</v>
          </cell>
          <cell r="D153" t="str">
            <v>Inactive</v>
          </cell>
        </row>
        <row r="154">
          <cell r="B154" t="str">
            <v>Czechvar</v>
          </cell>
          <cell r="C154" t="str">
            <v>Morris 2</v>
          </cell>
          <cell r="D154" t="str">
            <v>Inactive</v>
          </cell>
        </row>
        <row r="155">
          <cell r="B155" t="str">
            <v>Daura</v>
          </cell>
          <cell r="C155" t="str">
            <v>Morris 2</v>
          </cell>
          <cell r="D155" t="str">
            <v>Inactive</v>
          </cell>
        </row>
        <row r="156">
          <cell r="B156" t="str">
            <v>Estrella</v>
          </cell>
          <cell r="C156" t="str">
            <v>Morris 2</v>
          </cell>
          <cell r="D156" t="str">
            <v>Inactive</v>
          </cell>
        </row>
        <row r="157">
          <cell r="B157" t="str">
            <v>Inedit</v>
          </cell>
          <cell r="C157" t="str">
            <v>Morris 2</v>
          </cell>
          <cell r="D157" t="str">
            <v>Inactive</v>
          </cell>
        </row>
        <row r="158">
          <cell r="B158" t="str">
            <v>Flying Fish</v>
          </cell>
          <cell r="C158" t="str">
            <v>Morris 2</v>
          </cell>
          <cell r="D158" t="str">
            <v>Inactive</v>
          </cell>
        </row>
        <row r="159">
          <cell r="B159" t="str">
            <v>Basic</v>
          </cell>
          <cell r="C159" t="str">
            <v>Morris 2</v>
          </cell>
          <cell r="D159" t="str">
            <v>Inactive</v>
          </cell>
        </row>
        <row r="160">
          <cell r="B160" t="str">
            <v>Mamita's</v>
          </cell>
          <cell r="C160" t="str">
            <v>Morris 2</v>
          </cell>
          <cell r="D160" t="str">
            <v>Inactive</v>
          </cell>
        </row>
        <row r="161">
          <cell r="B161" t="str">
            <v>Four Loko</v>
          </cell>
          <cell r="C161" t="str">
            <v>Morris 2</v>
          </cell>
          <cell r="D161" t="str">
            <v>Inactive</v>
          </cell>
        </row>
        <row r="162">
          <cell r="B162" t="str">
            <v>Earthquake</v>
          </cell>
          <cell r="C162" t="str">
            <v>Morris 2</v>
          </cell>
          <cell r="D162" t="str">
            <v>Inactive</v>
          </cell>
        </row>
        <row r="163">
          <cell r="B163" t="str">
            <v>Moskato</v>
          </cell>
          <cell r="C163" t="str">
            <v>Morris 2</v>
          </cell>
          <cell r="D163" t="str">
            <v>Inactive</v>
          </cell>
        </row>
        <row r="164">
          <cell r="B164" t="str">
            <v>Signture Cockt</v>
          </cell>
          <cell r="C164" t="str">
            <v>Morris 2</v>
          </cell>
          <cell r="D164" t="str">
            <v>Inactive</v>
          </cell>
        </row>
        <row r="165">
          <cell r="B165" t="str">
            <v>Bartender Series</v>
          </cell>
          <cell r="C165" t="str">
            <v>Morris 2</v>
          </cell>
          <cell r="D165" t="str">
            <v>Inactive</v>
          </cell>
        </row>
        <row r="166">
          <cell r="B166" t="str">
            <v>John Daly</v>
          </cell>
          <cell r="C166" t="str">
            <v>Morris 2</v>
          </cell>
          <cell r="D166" t="str">
            <v>Inactive</v>
          </cell>
        </row>
        <row r="167">
          <cell r="B167" t="str">
            <v>Hard Fresco</v>
          </cell>
          <cell r="C167" t="str">
            <v>Morris 2</v>
          </cell>
          <cell r="D167" t="str">
            <v>Inactive</v>
          </cell>
        </row>
        <row r="168">
          <cell r="B168" t="str">
            <v>Bold Rock</v>
          </cell>
          <cell r="C168" t="str">
            <v>Morris 2</v>
          </cell>
          <cell r="D168" t="str">
            <v>Inactive</v>
          </cell>
        </row>
        <row r="169">
          <cell r="B169" t="str">
            <v>Citizen Cider</v>
          </cell>
          <cell r="C169" t="str">
            <v>Morris 2</v>
          </cell>
          <cell r="D169" t="str">
            <v>Inactive</v>
          </cell>
        </row>
        <row r="170">
          <cell r="B170" t="str">
            <v>Ithaca</v>
          </cell>
          <cell r="C170" t="str">
            <v>Morris 2</v>
          </cell>
          <cell r="D170" t="str">
            <v>Inactive</v>
          </cell>
        </row>
        <row r="171">
          <cell r="B171" t="str">
            <v>Otter Creek</v>
          </cell>
          <cell r="C171" t="str">
            <v>Morris 2</v>
          </cell>
          <cell r="D171" t="str">
            <v>Inactive</v>
          </cell>
        </row>
        <row r="172">
          <cell r="B172" t="str">
            <v>Shed</v>
          </cell>
          <cell r="C172" t="str">
            <v>Morris 2</v>
          </cell>
          <cell r="D172" t="str">
            <v>Inactive</v>
          </cell>
        </row>
        <row r="173">
          <cell r="B173" t="str">
            <v>Mckenzie's</v>
          </cell>
          <cell r="C173" t="str">
            <v>Morris 2</v>
          </cell>
          <cell r="D173" t="str">
            <v>Inactive</v>
          </cell>
        </row>
        <row r="174">
          <cell r="B174" t="str">
            <v>Old Speckled Hen</v>
          </cell>
          <cell r="C174" t="str">
            <v>Morris 2</v>
          </cell>
          <cell r="D174" t="str">
            <v>Inactive</v>
          </cell>
        </row>
        <row r="175">
          <cell r="B175" t="str">
            <v>Hacker-Pschorr</v>
          </cell>
          <cell r="C175" t="str">
            <v>Morris 2</v>
          </cell>
          <cell r="D175" t="str">
            <v>Inactive</v>
          </cell>
        </row>
        <row r="176">
          <cell r="B176" t="str">
            <v>Paulaner</v>
          </cell>
          <cell r="C176" t="str">
            <v>Morris 2</v>
          </cell>
          <cell r="D176" t="str">
            <v>Inactive</v>
          </cell>
        </row>
        <row r="177">
          <cell r="B177" t="str">
            <v>Fruli</v>
          </cell>
          <cell r="C177" t="str">
            <v>Morris 2</v>
          </cell>
          <cell r="D177" t="str">
            <v>Inactive</v>
          </cell>
        </row>
        <row r="178">
          <cell r="B178" t="str">
            <v>Ohara's</v>
          </cell>
          <cell r="C178" t="str">
            <v>Morris 2</v>
          </cell>
          <cell r="D178" t="str">
            <v>Inactive</v>
          </cell>
        </row>
        <row r="179">
          <cell r="B179" t="str">
            <v>Unibroue</v>
          </cell>
          <cell r="C179" t="str">
            <v>Morris 2</v>
          </cell>
          <cell r="D179" t="str">
            <v>Inactive</v>
          </cell>
        </row>
        <row r="180">
          <cell r="B180" t="str">
            <v>Sea Dog</v>
          </cell>
          <cell r="C180" t="str">
            <v>Morris 2</v>
          </cell>
          <cell r="D180" t="str">
            <v>Inactive</v>
          </cell>
        </row>
        <row r="181">
          <cell r="B181" t="str">
            <v>Shipyard</v>
          </cell>
          <cell r="C181" t="str">
            <v>Morris 2</v>
          </cell>
          <cell r="D181" t="str">
            <v>Inactive</v>
          </cell>
        </row>
        <row r="182">
          <cell r="B182" t="str">
            <v>Southern Tier</v>
          </cell>
          <cell r="C182" t="str">
            <v>Morris 2</v>
          </cell>
          <cell r="D182" t="str">
            <v>Inactive</v>
          </cell>
        </row>
        <row r="183">
          <cell r="B183" t="str">
            <v>Banks</v>
          </cell>
          <cell r="C183" t="str">
            <v>Morris 2</v>
          </cell>
          <cell r="D183" t="str">
            <v>Inactive</v>
          </cell>
        </row>
        <row r="184">
          <cell r="B184" t="str">
            <v>Weihenstephaner</v>
          </cell>
          <cell r="C184" t="str">
            <v>Morris 2</v>
          </cell>
          <cell r="D184" t="str">
            <v>Inactive</v>
          </cell>
        </row>
        <row r="185">
          <cell r="B185" t="str">
            <v>Victory</v>
          </cell>
          <cell r="C185" t="str">
            <v>Morris 2</v>
          </cell>
          <cell r="D185" t="str">
            <v>Inactive</v>
          </cell>
        </row>
        <row r="186">
          <cell r="B186" t="str">
            <v>Anchor</v>
          </cell>
          <cell r="C186" t="str">
            <v>Morris 1</v>
          </cell>
          <cell r="D186" t="str">
            <v>Inactive</v>
          </cell>
        </row>
        <row r="187">
          <cell r="B187" t="str">
            <v>Famosa</v>
          </cell>
          <cell r="C187" t="str">
            <v>Morris 1</v>
          </cell>
          <cell r="D187" t="str">
            <v>Inactive</v>
          </cell>
        </row>
        <row r="188">
          <cell r="B188" t="str">
            <v>Genesee</v>
          </cell>
          <cell r="C188" t="str">
            <v>Morris 1</v>
          </cell>
          <cell r="D188" t="str">
            <v>Inactive</v>
          </cell>
        </row>
        <row r="189">
          <cell r="B189" t="str">
            <v>Honey Brown</v>
          </cell>
          <cell r="C189" t="str">
            <v>Morris 1</v>
          </cell>
          <cell r="D189" t="str">
            <v>Inactive</v>
          </cell>
        </row>
        <row r="190">
          <cell r="B190" t="str">
            <v>Imperial</v>
          </cell>
          <cell r="C190" t="str">
            <v>Morris 1</v>
          </cell>
          <cell r="D190" t="str">
            <v>Inactive</v>
          </cell>
        </row>
        <row r="191">
          <cell r="B191" t="str">
            <v>Heineken USA</v>
          </cell>
          <cell r="C191" t="str">
            <v>Morris 1</v>
          </cell>
          <cell r="D191" t="str">
            <v>Inactive</v>
          </cell>
        </row>
        <row r="192">
          <cell r="B192" t="str">
            <v>Heineken Dark</v>
          </cell>
          <cell r="C192" t="str">
            <v>Morris 1</v>
          </cell>
          <cell r="D192" t="str">
            <v>Inactive</v>
          </cell>
        </row>
        <row r="193">
          <cell r="B193" t="str">
            <v>Heineken Light</v>
          </cell>
          <cell r="C193" t="str">
            <v>Morris 1</v>
          </cell>
          <cell r="D193" t="str">
            <v>Inactive</v>
          </cell>
        </row>
        <row r="194">
          <cell r="B194" t="str">
            <v>Amstel</v>
          </cell>
          <cell r="C194" t="str">
            <v>Morris 1</v>
          </cell>
          <cell r="D194" t="str">
            <v>Inactive</v>
          </cell>
        </row>
        <row r="195">
          <cell r="B195" t="str">
            <v>Newcastle</v>
          </cell>
          <cell r="C195" t="str">
            <v>Morris 1</v>
          </cell>
          <cell r="D195" t="str">
            <v>Inactive</v>
          </cell>
        </row>
        <row r="196">
          <cell r="B196" t="str">
            <v>Buckler</v>
          </cell>
          <cell r="C196" t="str">
            <v>Morris 1</v>
          </cell>
          <cell r="D196" t="str">
            <v>Inactive</v>
          </cell>
        </row>
        <row r="197">
          <cell r="B197" t="str">
            <v>Strongbow</v>
          </cell>
          <cell r="C197" t="str">
            <v>Morris 1</v>
          </cell>
          <cell r="D197" t="str">
            <v>Inactive</v>
          </cell>
        </row>
        <row r="198">
          <cell r="B198" t="str">
            <v>Murphy's</v>
          </cell>
          <cell r="C198" t="str">
            <v>Morris 1</v>
          </cell>
          <cell r="D198" t="str">
            <v>Inactive</v>
          </cell>
        </row>
        <row r="199">
          <cell r="B199" t="str">
            <v>Tiger</v>
          </cell>
          <cell r="C199" t="str">
            <v>Morris 1</v>
          </cell>
          <cell r="D199" t="str">
            <v>Inactive</v>
          </cell>
        </row>
        <row r="200">
          <cell r="B200" t="str">
            <v>Red Stripe</v>
          </cell>
          <cell r="C200" t="str">
            <v>Morris 1</v>
          </cell>
          <cell r="D200" t="str">
            <v>Inactive</v>
          </cell>
        </row>
        <row r="201">
          <cell r="B201" t="str">
            <v>Birra Moretti</v>
          </cell>
          <cell r="C201" t="str">
            <v>Morris 1</v>
          </cell>
          <cell r="D201" t="str">
            <v>Inactive</v>
          </cell>
        </row>
        <row r="202">
          <cell r="B202" t="str">
            <v>Affligem</v>
          </cell>
          <cell r="C202" t="str">
            <v>Morris 1</v>
          </cell>
          <cell r="D202" t="str">
            <v>Inactive</v>
          </cell>
        </row>
        <row r="203">
          <cell r="B203" t="str">
            <v>Cervezas De Mexico</v>
          </cell>
          <cell r="C203" t="str">
            <v>Morris 1</v>
          </cell>
          <cell r="D203" t="str">
            <v>Inactive</v>
          </cell>
        </row>
        <row r="204">
          <cell r="B204" t="str">
            <v>Tecate</v>
          </cell>
          <cell r="C204" t="str">
            <v>Morris 1</v>
          </cell>
          <cell r="D204" t="str">
            <v>Inactive</v>
          </cell>
        </row>
        <row r="205">
          <cell r="B205" t="str">
            <v>Bohemia</v>
          </cell>
          <cell r="C205" t="str">
            <v>Morris 1</v>
          </cell>
          <cell r="D205" t="str">
            <v>Inactive</v>
          </cell>
        </row>
        <row r="206">
          <cell r="B206" t="str">
            <v>Carta Blanca</v>
          </cell>
          <cell r="C206" t="str">
            <v>Morris 1</v>
          </cell>
          <cell r="D206" t="str">
            <v>Inactive</v>
          </cell>
        </row>
        <row r="207">
          <cell r="B207" t="str">
            <v>Tecate Light</v>
          </cell>
          <cell r="C207" t="str">
            <v>Morris 1</v>
          </cell>
          <cell r="D207" t="str">
            <v>Inactive</v>
          </cell>
        </row>
        <row r="208">
          <cell r="B208" t="str">
            <v>Sagres Cerveja</v>
          </cell>
          <cell r="C208" t="str">
            <v>Morris 1</v>
          </cell>
          <cell r="D208" t="str">
            <v>Inactive</v>
          </cell>
        </row>
        <row r="209">
          <cell r="B209" t="str">
            <v>Prestige Lager</v>
          </cell>
          <cell r="C209" t="str">
            <v>Morris 1</v>
          </cell>
          <cell r="D209" t="str">
            <v>Inactive</v>
          </cell>
        </row>
        <row r="210">
          <cell r="B210" t="str">
            <v>Heineken 0.0</v>
          </cell>
          <cell r="C210" t="str">
            <v>Morris 1</v>
          </cell>
          <cell r="D210" t="str">
            <v>Inactive</v>
          </cell>
        </row>
        <row r="211">
          <cell r="B211" t="str">
            <v>Misissippi</v>
          </cell>
          <cell r="C211" t="str">
            <v>Morris 1</v>
          </cell>
          <cell r="D211" t="str">
            <v>Inactive</v>
          </cell>
        </row>
        <row r="212">
          <cell r="B212" t="str">
            <v>Czechvar</v>
          </cell>
          <cell r="C212" t="str">
            <v>Morris 1</v>
          </cell>
          <cell r="D212" t="str">
            <v>Inactive</v>
          </cell>
        </row>
        <row r="213">
          <cell r="B213" t="str">
            <v>Daura</v>
          </cell>
          <cell r="C213" t="str">
            <v>Morris 1</v>
          </cell>
          <cell r="D213" t="str">
            <v>Inactive</v>
          </cell>
        </row>
        <row r="214">
          <cell r="B214" t="str">
            <v>Estrella</v>
          </cell>
          <cell r="C214" t="str">
            <v>Morris 1</v>
          </cell>
          <cell r="D214" t="str">
            <v>Inactive</v>
          </cell>
        </row>
        <row r="215">
          <cell r="B215" t="str">
            <v>Inedit</v>
          </cell>
          <cell r="C215" t="str">
            <v>Morris 1</v>
          </cell>
          <cell r="D215" t="str">
            <v>Inactive</v>
          </cell>
        </row>
        <row r="216">
          <cell r="B216" t="str">
            <v>Heineken USA</v>
          </cell>
          <cell r="C216" t="str">
            <v>Sussex</v>
          </cell>
          <cell r="D216" t="str">
            <v>Inactive</v>
          </cell>
        </row>
        <row r="217">
          <cell r="B217" t="str">
            <v>Heineken Dark</v>
          </cell>
          <cell r="C217" t="str">
            <v>Sussex</v>
          </cell>
          <cell r="D217" t="str">
            <v>Inactive</v>
          </cell>
        </row>
        <row r="218">
          <cell r="B218" t="str">
            <v>Heineken Light</v>
          </cell>
          <cell r="C218" t="str">
            <v>Sussex</v>
          </cell>
          <cell r="D218" t="str">
            <v>Inactive</v>
          </cell>
        </row>
        <row r="219">
          <cell r="B219" t="str">
            <v>Amstel</v>
          </cell>
          <cell r="C219" t="str">
            <v>Sussex</v>
          </cell>
          <cell r="D219" t="str">
            <v>Inactive</v>
          </cell>
        </row>
        <row r="220">
          <cell r="B220" t="str">
            <v>Newcastle</v>
          </cell>
          <cell r="C220" t="str">
            <v>Sussex</v>
          </cell>
          <cell r="D220" t="str">
            <v>Inactive</v>
          </cell>
        </row>
        <row r="221">
          <cell r="B221" t="str">
            <v>Buckler</v>
          </cell>
          <cell r="C221" t="str">
            <v>Sussex</v>
          </cell>
          <cell r="D221" t="str">
            <v>Inactive</v>
          </cell>
        </row>
        <row r="222">
          <cell r="B222" t="str">
            <v>Strongbow</v>
          </cell>
          <cell r="C222" t="str">
            <v>Sussex</v>
          </cell>
          <cell r="D222" t="str">
            <v>Inactive</v>
          </cell>
        </row>
        <row r="223">
          <cell r="B223" t="str">
            <v>Murphy's</v>
          </cell>
          <cell r="C223" t="str">
            <v>Sussex</v>
          </cell>
          <cell r="D223" t="str">
            <v>Inactive</v>
          </cell>
        </row>
        <row r="224">
          <cell r="B224" t="str">
            <v>Tiger</v>
          </cell>
          <cell r="C224" t="str">
            <v>Sussex</v>
          </cell>
          <cell r="D224" t="str">
            <v>Inactive</v>
          </cell>
        </row>
        <row r="225">
          <cell r="B225" t="str">
            <v>Red Stripe</v>
          </cell>
          <cell r="C225" t="str">
            <v>Sussex</v>
          </cell>
          <cell r="D225" t="str">
            <v>Inactive</v>
          </cell>
        </row>
        <row r="226">
          <cell r="B226" t="str">
            <v>Birra Moretti</v>
          </cell>
          <cell r="C226" t="str">
            <v>Sussex</v>
          </cell>
          <cell r="D226" t="str">
            <v>Inactive</v>
          </cell>
        </row>
        <row r="227">
          <cell r="B227" t="str">
            <v>Affligem</v>
          </cell>
          <cell r="C227" t="str">
            <v>Sussex</v>
          </cell>
          <cell r="D227" t="str">
            <v>Inactive</v>
          </cell>
        </row>
        <row r="228">
          <cell r="B228" t="str">
            <v>Cervezas De Mexico</v>
          </cell>
          <cell r="C228" t="str">
            <v>Sussex</v>
          </cell>
          <cell r="D228" t="str">
            <v>Inactive</v>
          </cell>
        </row>
        <row r="229">
          <cell r="B229" t="str">
            <v>Tecate</v>
          </cell>
          <cell r="C229" t="str">
            <v>Sussex</v>
          </cell>
          <cell r="D229" t="str">
            <v>Inactive</v>
          </cell>
        </row>
        <row r="230">
          <cell r="B230" t="str">
            <v>Bohemia</v>
          </cell>
          <cell r="C230" t="str">
            <v>Sussex</v>
          </cell>
          <cell r="D230" t="str">
            <v>Inactive</v>
          </cell>
        </row>
        <row r="231">
          <cell r="B231" t="str">
            <v>Carta Blanca</v>
          </cell>
          <cell r="C231" t="str">
            <v>Sussex</v>
          </cell>
          <cell r="D231" t="str">
            <v>Inactive</v>
          </cell>
        </row>
        <row r="232">
          <cell r="B232" t="str">
            <v>Tecate Light</v>
          </cell>
          <cell r="C232" t="str">
            <v>Sussex</v>
          </cell>
          <cell r="D232" t="str">
            <v>Inactive</v>
          </cell>
        </row>
        <row r="233">
          <cell r="B233" t="str">
            <v>Sagres Cerveja</v>
          </cell>
          <cell r="C233" t="str">
            <v>Sussex</v>
          </cell>
          <cell r="D233" t="str">
            <v>Inactive</v>
          </cell>
        </row>
        <row r="234">
          <cell r="B234" t="str">
            <v>Prestige Lager</v>
          </cell>
          <cell r="C234" t="str">
            <v>Sussex</v>
          </cell>
          <cell r="D234" t="str">
            <v>Inactive</v>
          </cell>
        </row>
        <row r="235">
          <cell r="B235" t="str">
            <v>Heineken 0.0</v>
          </cell>
          <cell r="C235" t="str">
            <v>Sussex</v>
          </cell>
          <cell r="D235" t="str">
            <v>Inactive</v>
          </cell>
        </row>
        <row r="236">
          <cell r="B236" t="str">
            <v>Anchor</v>
          </cell>
          <cell r="C236" t="str">
            <v>Sussex</v>
          </cell>
          <cell r="D236" t="str">
            <v>Inactive</v>
          </cell>
        </row>
        <row r="237">
          <cell r="B237" t="str">
            <v>Famosa</v>
          </cell>
          <cell r="C237" t="str">
            <v>Sussex</v>
          </cell>
          <cell r="D237" t="str">
            <v>Inactive</v>
          </cell>
        </row>
        <row r="238">
          <cell r="B238" t="str">
            <v>Genesee</v>
          </cell>
          <cell r="C238" t="str">
            <v>Sussex</v>
          </cell>
          <cell r="D238" t="str">
            <v>Inactive</v>
          </cell>
        </row>
        <row r="239">
          <cell r="B239" t="str">
            <v>Honey Brown</v>
          </cell>
          <cell r="C239" t="str">
            <v>Sussex</v>
          </cell>
          <cell r="D239" t="str">
            <v>Inactive</v>
          </cell>
        </row>
        <row r="240">
          <cell r="B240" t="str">
            <v>Imperial</v>
          </cell>
          <cell r="C240" t="str">
            <v>Sussex</v>
          </cell>
          <cell r="D240" t="str">
            <v>Inactive</v>
          </cell>
        </row>
        <row r="241">
          <cell r="B241" t="str">
            <v>Misissippi</v>
          </cell>
          <cell r="C241" t="str">
            <v>Sussex</v>
          </cell>
          <cell r="D241" t="str">
            <v>Inactive</v>
          </cell>
        </row>
        <row r="242">
          <cell r="B242" t="str">
            <v>Czechvar</v>
          </cell>
          <cell r="C242" t="str">
            <v>Sussex</v>
          </cell>
          <cell r="D242" t="str">
            <v>Inactive</v>
          </cell>
        </row>
        <row r="243">
          <cell r="B243" t="str">
            <v>Daura</v>
          </cell>
          <cell r="C243" t="str">
            <v>Sussex</v>
          </cell>
          <cell r="D243" t="str">
            <v>Inactive</v>
          </cell>
        </row>
        <row r="244">
          <cell r="B244" t="str">
            <v>Estrella</v>
          </cell>
          <cell r="C244" t="str">
            <v>Sussex</v>
          </cell>
          <cell r="D244" t="str">
            <v>Inactive</v>
          </cell>
        </row>
        <row r="245">
          <cell r="B245" t="str">
            <v>Inedit</v>
          </cell>
          <cell r="C245" t="str">
            <v>Sussex</v>
          </cell>
          <cell r="D245" t="str">
            <v>Inactive</v>
          </cell>
        </row>
        <row r="246">
          <cell r="B246" t="str">
            <v>Flying Fish</v>
          </cell>
          <cell r="C246" t="str">
            <v>Sussex</v>
          </cell>
          <cell r="D246" t="str">
            <v>Inactive</v>
          </cell>
        </row>
        <row r="247">
          <cell r="B247" t="str">
            <v>Seafarer</v>
          </cell>
          <cell r="C247" t="str">
            <v>Sussex</v>
          </cell>
          <cell r="D247" t="str">
            <v>Inactive</v>
          </cell>
        </row>
        <row r="248">
          <cell r="B248" t="str">
            <v>Travelers Club</v>
          </cell>
          <cell r="C248" t="str">
            <v>Sussex</v>
          </cell>
          <cell r="D248" t="str">
            <v>Inactive</v>
          </cell>
        </row>
        <row r="249">
          <cell r="B249" t="str">
            <v>Bold Rock</v>
          </cell>
          <cell r="C249" t="str">
            <v>Sussex</v>
          </cell>
          <cell r="D249" t="str">
            <v>Inactive</v>
          </cell>
        </row>
        <row r="250">
          <cell r="B250" t="str">
            <v>Citizen Cider</v>
          </cell>
          <cell r="C250" t="str">
            <v>Sussex</v>
          </cell>
          <cell r="D250" t="str">
            <v>Inactive</v>
          </cell>
        </row>
        <row r="251">
          <cell r="B251" t="str">
            <v>Mckenzie's</v>
          </cell>
          <cell r="C251" t="str">
            <v>Sussex</v>
          </cell>
          <cell r="D251" t="str">
            <v>Inactive</v>
          </cell>
        </row>
        <row r="252">
          <cell r="B252" t="str">
            <v>Old Speckled Hen</v>
          </cell>
          <cell r="C252" t="str">
            <v>Sussex</v>
          </cell>
          <cell r="D252" t="str">
            <v>Inactive</v>
          </cell>
        </row>
        <row r="253">
          <cell r="B253" t="str">
            <v>Sea Dog</v>
          </cell>
          <cell r="C253" t="str">
            <v>Sussex</v>
          </cell>
          <cell r="D253" t="str">
            <v>Inactive</v>
          </cell>
        </row>
        <row r="254">
          <cell r="B254" t="str">
            <v>Shipyard</v>
          </cell>
          <cell r="C254" t="str">
            <v>Sussex</v>
          </cell>
          <cell r="D254" t="str">
            <v>Inactive</v>
          </cell>
        </row>
        <row r="255">
          <cell r="B255" t="str">
            <v>Southern Tier</v>
          </cell>
          <cell r="C255" t="str">
            <v>Sussex</v>
          </cell>
          <cell r="D255" t="str">
            <v>Inactive</v>
          </cell>
        </row>
        <row r="256">
          <cell r="B256" t="str">
            <v>Banks</v>
          </cell>
          <cell r="C256" t="str">
            <v>Sussex</v>
          </cell>
          <cell r="D256" t="str">
            <v>Inactive</v>
          </cell>
        </row>
        <row r="257">
          <cell r="B257" t="str">
            <v>Weihenstephaner</v>
          </cell>
          <cell r="C257" t="str">
            <v>Sussex</v>
          </cell>
          <cell r="D257" t="str">
            <v>Inactive</v>
          </cell>
        </row>
        <row r="258">
          <cell r="B258" t="str">
            <v>Victory</v>
          </cell>
          <cell r="C258" t="str">
            <v>Sussex</v>
          </cell>
          <cell r="D258" t="str">
            <v>Inactive</v>
          </cell>
        </row>
        <row r="259">
          <cell r="B259" t="str">
            <v>Samuel Adams</v>
          </cell>
          <cell r="C259" t="str">
            <v>Hudson</v>
          </cell>
          <cell r="D259" t="str">
            <v>Inactive</v>
          </cell>
        </row>
        <row r="260">
          <cell r="B260" t="str">
            <v>Traveler</v>
          </cell>
          <cell r="C260" t="str">
            <v>Hudson</v>
          </cell>
          <cell r="D260" t="str">
            <v>Inactive</v>
          </cell>
        </row>
        <row r="261">
          <cell r="B261" t="str">
            <v>Angry Orchard</v>
          </cell>
          <cell r="C261" t="str">
            <v>Hudson</v>
          </cell>
          <cell r="D261" t="str">
            <v>Inactive</v>
          </cell>
        </row>
        <row r="262">
          <cell r="B262" t="str">
            <v>Twisted Tea</v>
          </cell>
          <cell r="C262" t="str">
            <v>Hudson</v>
          </cell>
          <cell r="D262" t="str">
            <v>Inactive</v>
          </cell>
        </row>
        <row r="263">
          <cell r="B263" t="str">
            <v>Coney Island</v>
          </cell>
          <cell r="C263" t="str">
            <v>Hudson</v>
          </cell>
          <cell r="D263" t="str">
            <v>Inactive</v>
          </cell>
        </row>
        <row r="264">
          <cell r="B264" t="str">
            <v>Truly</v>
          </cell>
          <cell r="C264" t="str">
            <v>Hudson</v>
          </cell>
          <cell r="D264" t="str">
            <v>Inactive</v>
          </cell>
        </row>
        <row r="265">
          <cell r="B265" t="str">
            <v>Marathon</v>
          </cell>
          <cell r="C265" t="str">
            <v>Hudson</v>
          </cell>
          <cell r="D265" t="str">
            <v>Inactive</v>
          </cell>
        </row>
        <row r="266">
          <cell r="B266" t="str">
            <v>Wild Leaf</v>
          </cell>
          <cell r="C266" t="str">
            <v>Hudson</v>
          </cell>
          <cell r="D266" t="str">
            <v>Inactive</v>
          </cell>
        </row>
        <row r="267">
          <cell r="B267" t="str">
            <v>Dogfish Head Beer</v>
          </cell>
          <cell r="C267" t="str">
            <v>Hudson</v>
          </cell>
          <cell r="D267" t="str">
            <v>Inactive</v>
          </cell>
        </row>
        <row r="268">
          <cell r="B268" t="str">
            <v>Ballast Point</v>
          </cell>
          <cell r="C268" t="str">
            <v>Hudson</v>
          </cell>
          <cell r="D268" t="str">
            <v>Inactive</v>
          </cell>
        </row>
        <row r="269">
          <cell r="B269" t="str">
            <v>Jasmine's</v>
          </cell>
          <cell r="C269" t="str">
            <v>Hudson</v>
          </cell>
          <cell r="D269" t="str">
            <v>Inactive</v>
          </cell>
        </row>
        <row r="270">
          <cell r="B270" t="str">
            <v>Corona Extra</v>
          </cell>
          <cell r="C270" t="str">
            <v>Hudson</v>
          </cell>
          <cell r="D270" t="str">
            <v>Inactive</v>
          </cell>
        </row>
        <row r="271">
          <cell r="B271" t="str">
            <v>Corona Familiar</v>
          </cell>
          <cell r="C271" t="str">
            <v>Hudson</v>
          </cell>
          <cell r="D271" t="str">
            <v>Inactive</v>
          </cell>
        </row>
        <row r="272">
          <cell r="B272" t="str">
            <v>Corona Light</v>
          </cell>
          <cell r="C272" t="str">
            <v>Hudson</v>
          </cell>
          <cell r="D272" t="str">
            <v>Inactive</v>
          </cell>
        </row>
        <row r="273">
          <cell r="B273" t="str">
            <v>Pacifico</v>
          </cell>
          <cell r="C273" t="str">
            <v>Hudson</v>
          </cell>
          <cell r="D273" t="str">
            <v>Inactive</v>
          </cell>
        </row>
        <row r="274">
          <cell r="B274" t="str">
            <v>Modelo Negra</v>
          </cell>
          <cell r="C274" t="str">
            <v>Hudson</v>
          </cell>
          <cell r="D274" t="str">
            <v>Inactive</v>
          </cell>
        </row>
        <row r="275">
          <cell r="B275" t="str">
            <v>Modelo Especial</v>
          </cell>
          <cell r="C275" t="str">
            <v>Hudson</v>
          </cell>
          <cell r="D275" t="str">
            <v>Inactive</v>
          </cell>
        </row>
        <row r="276">
          <cell r="B276" t="str">
            <v>Victoria</v>
          </cell>
          <cell r="C276" t="str">
            <v>Hudson</v>
          </cell>
          <cell r="D276" t="str">
            <v>Inactive</v>
          </cell>
        </row>
        <row r="277">
          <cell r="B277" t="str">
            <v>Modelo Chelada</v>
          </cell>
          <cell r="C277" t="str">
            <v>Hudson</v>
          </cell>
          <cell r="D277" t="str">
            <v>Inactive</v>
          </cell>
        </row>
        <row r="278">
          <cell r="B278" t="str">
            <v>Corona Premier</v>
          </cell>
          <cell r="C278" t="str">
            <v>Hudson</v>
          </cell>
          <cell r="D278" t="str">
            <v>Inactive</v>
          </cell>
        </row>
        <row r="279">
          <cell r="B279" t="str">
            <v>Corona Refresca</v>
          </cell>
          <cell r="C279" t="str">
            <v>Hudson</v>
          </cell>
          <cell r="D279" t="str">
            <v>Inactive</v>
          </cell>
        </row>
        <row r="280">
          <cell r="B280" t="str">
            <v>Corona Seltzer</v>
          </cell>
          <cell r="C280" t="str">
            <v>Hudson</v>
          </cell>
          <cell r="D280" t="str">
            <v>Inactive</v>
          </cell>
        </row>
        <row r="281">
          <cell r="B281" t="str">
            <v>Coors</v>
          </cell>
          <cell r="C281" t="str">
            <v>Hudson</v>
          </cell>
          <cell r="D281" t="str">
            <v>Inactive</v>
          </cell>
        </row>
        <row r="282">
          <cell r="B282" t="str">
            <v>Coors Light</v>
          </cell>
          <cell r="C282" t="str">
            <v>Hudson</v>
          </cell>
          <cell r="D282" t="str">
            <v>Inactive</v>
          </cell>
        </row>
        <row r="283">
          <cell r="B283" t="str">
            <v>Coors Extra Gold</v>
          </cell>
          <cell r="C283" t="str">
            <v>Hudson</v>
          </cell>
          <cell r="D283" t="str">
            <v>Inactive</v>
          </cell>
        </row>
        <row r="284">
          <cell r="B284" t="str">
            <v>Keystone</v>
          </cell>
          <cell r="C284" t="str">
            <v>Hudson</v>
          </cell>
          <cell r="D284" t="str">
            <v>Inactive</v>
          </cell>
        </row>
        <row r="285">
          <cell r="B285" t="str">
            <v>Zima</v>
          </cell>
          <cell r="C285" t="str">
            <v>Hudson</v>
          </cell>
          <cell r="D285" t="str">
            <v>Inactive</v>
          </cell>
        </row>
        <row r="286">
          <cell r="B286" t="str">
            <v>Coors Seltzer</v>
          </cell>
          <cell r="C286" t="str">
            <v>Hudson</v>
          </cell>
          <cell r="D286" t="str">
            <v>Inactive</v>
          </cell>
        </row>
        <row r="287">
          <cell r="B287" t="str">
            <v>Blue Moon</v>
          </cell>
          <cell r="C287" t="str">
            <v>Hudson</v>
          </cell>
          <cell r="D287" t="str">
            <v>Inactive</v>
          </cell>
        </row>
        <row r="288">
          <cell r="B288" t="str">
            <v>Crispin</v>
          </cell>
          <cell r="C288" t="str">
            <v>Hudson</v>
          </cell>
          <cell r="D288" t="str">
            <v>Inactive</v>
          </cell>
        </row>
        <row r="289">
          <cell r="B289" t="str">
            <v>Henry's Weinhards</v>
          </cell>
          <cell r="C289" t="str">
            <v>Hudson</v>
          </cell>
          <cell r="D289" t="str">
            <v>Inactive</v>
          </cell>
        </row>
        <row r="290">
          <cell r="B290" t="str">
            <v>Two Hats</v>
          </cell>
          <cell r="C290" t="str">
            <v>Hudson</v>
          </cell>
          <cell r="D290" t="str">
            <v>Inactive</v>
          </cell>
        </row>
        <row r="291">
          <cell r="B291" t="str">
            <v>George Killian's</v>
          </cell>
          <cell r="C291" t="str">
            <v>Hudson</v>
          </cell>
          <cell r="D291" t="str">
            <v>Inactive</v>
          </cell>
        </row>
        <row r="292">
          <cell r="B292" t="str">
            <v>Redd's</v>
          </cell>
          <cell r="C292" t="str">
            <v>Hudson</v>
          </cell>
          <cell r="D292" t="str">
            <v>Inactive</v>
          </cell>
        </row>
        <row r="293">
          <cell r="B293" t="str">
            <v>Third Shift</v>
          </cell>
          <cell r="C293" t="str">
            <v>Hudson</v>
          </cell>
          <cell r="D293" t="str">
            <v>Inactive</v>
          </cell>
        </row>
        <row r="294">
          <cell r="B294" t="str">
            <v>Molson</v>
          </cell>
          <cell r="C294" t="str">
            <v>Hudson</v>
          </cell>
          <cell r="D294" t="str">
            <v>Inactive</v>
          </cell>
        </row>
        <row r="295">
          <cell r="B295" t="str">
            <v>Henry's Hard Sparkling</v>
          </cell>
          <cell r="C295" t="str">
            <v>Hudson</v>
          </cell>
          <cell r="D295" t="str">
            <v>Inactive</v>
          </cell>
        </row>
        <row r="296">
          <cell r="B296" t="str">
            <v>Steel Reserve</v>
          </cell>
          <cell r="C296" t="str">
            <v>Hudson</v>
          </cell>
          <cell r="D296" t="str">
            <v>Inactive</v>
          </cell>
        </row>
        <row r="297">
          <cell r="B297" t="str">
            <v>Coors Edge</v>
          </cell>
          <cell r="C297" t="str">
            <v>Hudson</v>
          </cell>
          <cell r="D297" t="str">
            <v>Inactive</v>
          </cell>
        </row>
        <row r="298">
          <cell r="B298" t="str">
            <v>Steel Reserve Alloy Series</v>
          </cell>
          <cell r="C298" t="str">
            <v>Hudson</v>
          </cell>
          <cell r="D298" t="str">
            <v>Inactive</v>
          </cell>
        </row>
        <row r="299">
          <cell r="B299" t="str">
            <v>Aguila</v>
          </cell>
          <cell r="C299" t="str">
            <v>Hudson</v>
          </cell>
          <cell r="D299" t="str">
            <v>Inactive</v>
          </cell>
        </row>
        <row r="300">
          <cell r="B300" t="str">
            <v>Smith &amp; Forge</v>
          </cell>
          <cell r="C300" t="str">
            <v>Hudson</v>
          </cell>
          <cell r="D300" t="str">
            <v>Inactive</v>
          </cell>
        </row>
        <row r="301">
          <cell r="B301" t="str">
            <v>Redd's Wicked</v>
          </cell>
          <cell r="C301" t="str">
            <v>Hudson</v>
          </cell>
          <cell r="D301" t="str">
            <v>Inactive</v>
          </cell>
        </row>
        <row r="302">
          <cell r="B302" t="str">
            <v>Henry's Hard Sodas</v>
          </cell>
          <cell r="C302" t="str">
            <v>Hudson</v>
          </cell>
          <cell r="D302" t="str">
            <v>Inactive</v>
          </cell>
        </row>
        <row r="303">
          <cell r="B303" t="str">
            <v>Hamm's</v>
          </cell>
          <cell r="C303" t="str">
            <v>Hudson</v>
          </cell>
          <cell r="D303" t="str">
            <v>Inactive</v>
          </cell>
        </row>
        <row r="304">
          <cell r="B304" t="str">
            <v>Hamm's Light</v>
          </cell>
          <cell r="C304" t="str">
            <v>Hudson</v>
          </cell>
          <cell r="D304" t="str">
            <v>Inactive</v>
          </cell>
        </row>
        <row r="305">
          <cell r="B305" t="str">
            <v>Miller High Life</v>
          </cell>
          <cell r="C305" t="str">
            <v>Hudson</v>
          </cell>
          <cell r="D305" t="str">
            <v>Inactive</v>
          </cell>
        </row>
        <row r="306">
          <cell r="B306" t="str">
            <v>Miller High Life Light</v>
          </cell>
          <cell r="C306" t="str">
            <v>Hudson</v>
          </cell>
          <cell r="D306" t="str">
            <v>Inactive</v>
          </cell>
        </row>
        <row r="307">
          <cell r="B307" t="str">
            <v>Icehouse</v>
          </cell>
          <cell r="C307" t="str">
            <v>Hudson</v>
          </cell>
          <cell r="D307" t="str">
            <v>Inactive</v>
          </cell>
        </row>
        <row r="308">
          <cell r="B308" t="str">
            <v>Icehouse Edge</v>
          </cell>
          <cell r="C308" t="str">
            <v>Hudson</v>
          </cell>
          <cell r="D308" t="str">
            <v>Inactive</v>
          </cell>
        </row>
        <row r="309">
          <cell r="B309" t="str">
            <v>Lite</v>
          </cell>
          <cell r="C309" t="str">
            <v>Hudson</v>
          </cell>
          <cell r="D309" t="str">
            <v>Inactive</v>
          </cell>
        </row>
        <row r="310">
          <cell r="B310" t="str">
            <v>Movo</v>
          </cell>
          <cell r="C310" t="str">
            <v>Hudson</v>
          </cell>
          <cell r="D310" t="str">
            <v>Inactive</v>
          </cell>
        </row>
        <row r="311">
          <cell r="B311" t="str">
            <v>Miller Genuine Draft</v>
          </cell>
          <cell r="C311" t="str">
            <v>Hudson</v>
          </cell>
          <cell r="D311" t="str">
            <v>Inactive</v>
          </cell>
        </row>
        <row r="312">
          <cell r="B312" t="str">
            <v>Mickey Malt</v>
          </cell>
          <cell r="C312" t="str">
            <v>Hudson</v>
          </cell>
          <cell r="D312" t="str">
            <v>Inactive</v>
          </cell>
        </row>
        <row r="313">
          <cell r="B313" t="str">
            <v>Miller Extra Light</v>
          </cell>
          <cell r="C313" t="str">
            <v>Hudson</v>
          </cell>
          <cell r="D313" t="str">
            <v>Inactive</v>
          </cell>
        </row>
        <row r="314">
          <cell r="B314" t="str">
            <v>Miller Fortune</v>
          </cell>
          <cell r="C314" t="str">
            <v>Hudson</v>
          </cell>
          <cell r="D314" t="str">
            <v>Inactive</v>
          </cell>
        </row>
        <row r="315">
          <cell r="B315" t="str">
            <v>Milwaukee's Best</v>
          </cell>
          <cell r="C315" t="str">
            <v>Hudson</v>
          </cell>
          <cell r="D315" t="str">
            <v>Inactive</v>
          </cell>
        </row>
        <row r="316">
          <cell r="B316" t="str">
            <v>Milwaukee's Best Ice</v>
          </cell>
          <cell r="C316" t="str">
            <v>Hudson</v>
          </cell>
          <cell r="D316" t="str">
            <v>Inactive</v>
          </cell>
        </row>
        <row r="317">
          <cell r="B317" t="str">
            <v>Milwaukee's Best Light</v>
          </cell>
          <cell r="C317" t="str">
            <v>Hudson</v>
          </cell>
          <cell r="D317" t="str">
            <v>Inactive</v>
          </cell>
        </row>
        <row r="318">
          <cell r="B318" t="str">
            <v>Leinenkugel</v>
          </cell>
          <cell r="C318" t="str">
            <v>Hudson</v>
          </cell>
          <cell r="D318" t="str">
            <v>Inactive</v>
          </cell>
        </row>
        <row r="319">
          <cell r="B319" t="str">
            <v>Leinenkugel Shandy</v>
          </cell>
          <cell r="C319" t="str">
            <v>Hudson</v>
          </cell>
          <cell r="D319" t="str">
            <v>Inactive</v>
          </cell>
        </row>
        <row r="320">
          <cell r="B320" t="str">
            <v>Cristal</v>
          </cell>
          <cell r="C320" t="str">
            <v>Hudson</v>
          </cell>
          <cell r="D320" t="str">
            <v>Inactive</v>
          </cell>
        </row>
        <row r="321">
          <cell r="B321" t="str">
            <v>Cusquena</v>
          </cell>
          <cell r="C321" t="str">
            <v>Hudson</v>
          </cell>
          <cell r="D321" t="str">
            <v>Inactive</v>
          </cell>
        </row>
        <row r="322">
          <cell r="B322" t="str">
            <v>Fosters</v>
          </cell>
          <cell r="C322" t="str">
            <v>Hudson</v>
          </cell>
          <cell r="D322" t="str">
            <v>Inactive</v>
          </cell>
        </row>
        <row r="323">
          <cell r="B323" t="str">
            <v>Grolsch</v>
          </cell>
          <cell r="C323" t="str">
            <v>Hudson</v>
          </cell>
          <cell r="D323" t="str">
            <v>Inactive</v>
          </cell>
        </row>
        <row r="324">
          <cell r="B324" t="str">
            <v>Lech</v>
          </cell>
          <cell r="C324" t="str">
            <v>Hudson</v>
          </cell>
          <cell r="D324" t="str">
            <v>Inactive</v>
          </cell>
        </row>
        <row r="325">
          <cell r="B325" t="str">
            <v>Peroni</v>
          </cell>
          <cell r="C325" t="str">
            <v>Hudson</v>
          </cell>
          <cell r="D325" t="str">
            <v>Inactive</v>
          </cell>
        </row>
        <row r="326">
          <cell r="B326" t="str">
            <v>Pilsner Urquell</v>
          </cell>
          <cell r="C326" t="str">
            <v>Hudson</v>
          </cell>
          <cell r="D326" t="str">
            <v>Inactive</v>
          </cell>
        </row>
        <row r="327">
          <cell r="B327" t="str">
            <v>Tyskie Gronie</v>
          </cell>
          <cell r="C327" t="str">
            <v>Hudson</v>
          </cell>
          <cell r="D327" t="str">
            <v>Inactive</v>
          </cell>
        </row>
        <row r="328">
          <cell r="B328" t="str">
            <v>Old English</v>
          </cell>
          <cell r="C328" t="str">
            <v>Hudson</v>
          </cell>
          <cell r="D328" t="str">
            <v>Inactive</v>
          </cell>
        </row>
        <row r="329">
          <cell r="B329" t="str">
            <v>Sol</v>
          </cell>
          <cell r="C329" t="str">
            <v>Hudson</v>
          </cell>
          <cell r="D329" t="str">
            <v>Inactive</v>
          </cell>
        </row>
        <row r="330">
          <cell r="B330" t="str">
            <v>Arnold Palmer</v>
          </cell>
          <cell r="C330" t="str">
            <v>Hudson</v>
          </cell>
          <cell r="D330" t="str">
            <v>Inactive</v>
          </cell>
        </row>
        <row r="331">
          <cell r="B331" t="str">
            <v>Cape Line</v>
          </cell>
          <cell r="C331" t="str">
            <v>Hudson</v>
          </cell>
          <cell r="D331" t="str">
            <v>Inactive</v>
          </cell>
        </row>
        <row r="332">
          <cell r="B332" t="str">
            <v>St Archer</v>
          </cell>
          <cell r="C332" t="str">
            <v>Hudson</v>
          </cell>
          <cell r="D332" t="str">
            <v>Inactive</v>
          </cell>
        </row>
        <row r="333">
          <cell r="B333" t="str">
            <v>Vizzy</v>
          </cell>
          <cell r="C333" t="str">
            <v>Hudson</v>
          </cell>
          <cell r="D333" t="str">
            <v>Inactive</v>
          </cell>
        </row>
        <row r="334">
          <cell r="B334" t="str">
            <v>Narragansett</v>
          </cell>
          <cell r="C334" t="str">
            <v>Hudson</v>
          </cell>
          <cell r="D334" t="str">
            <v>Inactive</v>
          </cell>
        </row>
        <row r="335">
          <cell r="B335" t="str">
            <v>New Belgium Brewing Company</v>
          </cell>
          <cell r="C335" t="str">
            <v>Hudson</v>
          </cell>
          <cell r="D335" t="str">
            <v>Inactive</v>
          </cell>
        </row>
        <row r="336">
          <cell r="B336" t="str">
            <v>Shiner</v>
          </cell>
          <cell r="C336" t="str">
            <v>Hudson</v>
          </cell>
          <cell r="D336" t="str">
            <v>Inactive</v>
          </cell>
        </row>
        <row r="337">
          <cell r="B337" t="str">
            <v>Sierra Nevada</v>
          </cell>
          <cell r="C337" t="str">
            <v>Hudson</v>
          </cell>
          <cell r="D337" t="str">
            <v>Inactive</v>
          </cell>
        </row>
        <row r="338">
          <cell r="B338" t="str">
            <v>Strainge Beast</v>
          </cell>
          <cell r="C338" t="str">
            <v>Hudson</v>
          </cell>
          <cell r="D338" t="str">
            <v>Inactive</v>
          </cell>
        </row>
        <row r="339">
          <cell r="B339" t="str">
            <v>Terrapin Beer Company</v>
          </cell>
          <cell r="C339" t="str">
            <v>Hudson</v>
          </cell>
          <cell r="D339" t="str">
            <v>Inactive</v>
          </cell>
        </row>
        <row r="340">
          <cell r="B340" t="str">
            <v>Moosehead</v>
          </cell>
          <cell r="C340" t="str">
            <v>Hudson</v>
          </cell>
          <cell r="D340" t="str">
            <v>Inactive</v>
          </cell>
        </row>
        <row r="341">
          <cell r="B341" t="str">
            <v>Press</v>
          </cell>
          <cell r="C341" t="str">
            <v>Hudson</v>
          </cell>
          <cell r="D341" t="str">
            <v>Inactive</v>
          </cell>
        </row>
        <row r="342">
          <cell r="B342" t="str">
            <v>Dg Yuengling Inc</v>
          </cell>
          <cell r="C342" t="str">
            <v>Hudson</v>
          </cell>
          <cell r="D342" t="str">
            <v>Inactive</v>
          </cell>
        </row>
        <row r="343">
          <cell r="B343" t="str">
            <v>Heineken USA</v>
          </cell>
          <cell r="C343" t="str">
            <v>Hudson</v>
          </cell>
          <cell r="D343" t="str">
            <v>Inactive</v>
          </cell>
        </row>
        <row r="344">
          <cell r="B344" t="str">
            <v>Heineken Dark</v>
          </cell>
          <cell r="C344" t="str">
            <v>Hudson</v>
          </cell>
          <cell r="D344" t="str">
            <v>Inactive</v>
          </cell>
        </row>
        <row r="345">
          <cell r="B345" t="str">
            <v>Heineken Light</v>
          </cell>
          <cell r="C345" t="str">
            <v>Hudson</v>
          </cell>
          <cell r="D345" t="str">
            <v>Inactive</v>
          </cell>
        </row>
        <row r="346">
          <cell r="B346" t="str">
            <v>Amstel</v>
          </cell>
          <cell r="C346" t="str">
            <v>Hudson</v>
          </cell>
          <cell r="D346" t="str">
            <v>Inactive</v>
          </cell>
        </row>
        <row r="347">
          <cell r="B347" t="str">
            <v>Newcastle</v>
          </cell>
          <cell r="C347" t="str">
            <v>Hudson</v>
          </cell>
          <cell r="D347" t="str">
            <v>Inactive</v>
          </cell>
        </row>
        <row r="348">
          <cell r="B348" t="str">
            <v>Buckler</v>
          </cell>
          <cell r="C348" t="str">
            <v>Hudson</v>
          </cell>
          <cell r="D348" t="str">
            <v>Inactive</v>
          </cell>
        </row>
        <row r="349">
          <cell r="B349" t="str">
            <v>Strongbow</v>
          </cell>
          <cell r="C349" t="str">
            <v>Hudson</v>
          </cell>
          <cell r="D349" t="str">
            <v>Inactive</v>
          </cell>
        </row>
        <row r="350">
          <cell r="B350" t="str">
            <v>Murphy's</v>
          </cell>
          <cell r="C350" t="str">
            <v>Hudson</v>
          </cell>
          <cell r="D350" t="str">
            <v>Inactive</v>
          </cell>
        </row>
        <row r="351">
          <cell r="B351" t="str">
            <v>Tiger</v>
          </cell>
          <cell r="C351" t="str">
            <v>Hudson</v>
          </cell>
          <cell r="D351" t="str">
            <v>Inactive</v>
          </cell>
        </row>
        <row r="352">
          <cell r="B352" t="str">
            <v>Red Stripe</v>
          </cell>
          <cell r="C352" t="str">
            <v>Hudson</v>
          </cell>
          <cell r="D352" t="str">
            <v>Inactive</v>
          </cell>
        </row>
        <row r="353">
          <cell r="B353" t="str">
            <v>Birra Moretti</v>
          </cell>
          <cell r="C353" t="str">
            <v>Hudson</v>
          </cell>
          <cell r="D353" t="str">
            <v>Inactive</v>
          </cell>
        </row>
        <row r="354">
          <cell r="B354" t="str">
            <v>Affligem</v>
          </cell>
          <cell r="C354" t="str">
            <v>Hudson</v>
          </cell>
          <cell r="D354" t="str">
            <v>Inactive</v>
          </cell>
        </row>
        <row r="355">
          <cell r="B355" t="str">
            <v>Cervezas De Mexico</v>
          </cell>
          <cell r="C355" t="str">
            <v>Hudson</v>
          </cell>
          <cell r="D355" t="str">
            <v>Inactive</v>
          </cell>
        </row>
        <row r="356">
          <cell r="B356" t="str">
            <v>Tecate</v>
          </cell>
          <cell r="C356" t="str">
            <v>Hudson</v>
          </cell>
          <cell r="D356" t="str">
            <v>Inactive</v>
          </cell>
        </row>
        <row r="357">
          <cell r="B357" t="str">
            <v>Bohemia</v>
          </cell>
          <cell r="C357" t="str">
            <v>Hudson</v>
          </cell>
          <cell r="D357" t="str">
            <v>Inactive</v>
          </cell>
        </row>
        <row r="358">
          <cell r="B358" t="str">
            <v>Carta Blanca</v>
          </cell>
          <cell r="C358" t="str">
            <v>Hudson</v>
          </cell>
          <cell r="D358" t="str">
            <v>Inactive</v>
          </cell>
        </row>
        <row r="359">
          <cell r="B359" t="str">
            <v>Tecate Light</v>
          </cell>
          <cell r="C359" t="str">
            <v>Hudson</v>
          </cell>
          <cell r="D359" t="str">
            <v>Inactive</v>
          </cell>
        </row>
        <row r="360">
          <cell r="B360" t="str">
            <v>Sagres Cerveja</v>
          </cell>
          <cell r="C360" t="str">
            <v>Hudson</v>
          </cell>
          <cell r="D360" t="str">
            <v>Inactive</v>
          </cell>
        </row>
        <row r="361">
          <cell r="B361" t="str">
            <v>Prestige Lager</v>
          </cell>
          <cell r="C361" t="str">
            <v>Hudson</v>
          </cell>
          <cell r="D361" t="str">
            <v>Inactive</v>
          </cell>
        </row>
        <row r="362">
          <cell r="B362" t="str">
            <v>Heineken 0.0</v>
          </cell>
          <cell r="C362" t="str">
            <v>Hudson</v>
          </cell>
          <cell r="D362" t="str">
            <v>Inactive</v>
          </cell>
        </row>
        <row r="363">
          <cell r="B363" t="str">
            <v>Samuel Adams</v>
          </cell>
          <cell r="C363" t="str">
            <v>Union</v>
          </cell>
          <cell r="D363" t="str">
            <v>Inactive</v>
          </cell>
        </row>
        <row r="364">
          <cell r="B364" t="str">
            <v>Traveler</v>
          </cell>
          <cell r="C364" t="str">
            <v>Union</v>
          </cell>
          <cell r="D364" t="str">
            <v>Inactive</v>
          </cell>
        </row>
        <row r="365">
          <cell r="B365" t="str">
            <v>Angry Orchard</v>
          </cell>
          <cell r="C365" t="str">
            <v>Union</v>
          </cell>
          <cell r="D365" t="str">
            <v>Inactive</v>
          </cell>
        </row>
        <row r="366">
          <cell r="B366" t="str">
            <v>Twisted Tea</v>
          </cell>
          <cell r="C366" t="str">
            <v>Union</v>
          </cell>
          <cell r="D366" t="str">
            <v>Inactive</v>
          </cell>
        </row>
        <row r="367">
          <cell r="B367" t="str">
            <v>Coney Island</v>
          </cell>
          <cell r="C367" t="str">
            <v>Union</v>
          </cell>
          <cell r="D367" t="str">
            <v>Inactive</v>
          </cell>
        </row>
        <row r="368">
          <cell r="B368" t="str">
            <v>Truly</v>
          </cell>
          <cell r="C368" t="str">
            <v>Union</v>
          </cell>
          <cell r="D368" t="str">
            <v>Inactive</v>
          </cell>
        </row>
        <row r="369">
          <cell r="B369" t="str">
            <v>Marathon</v>
          </cell>
          <cell r="C369" t="str">
            <v>Union</v>
          </cell>
          <cell r="D369" t="str">
            <v>Inactive</v>
          </cell>
        </row>
        <row r="370">
          <cell r="B370" t="str">
            <v>Wild Leaf</v>
          </cell>
          <cell r="C370" t="str">
            <v>Union</v>
          </cell>
          <cell r="D370" t="str">
            <v>Inactive</v>
          </cell>
        </row>
        <row r="371">
          <cell r="B371" t="str">
            <v>Dogfish Head Beer</v>
          </cell>
          <cell r="C371" t="str">
            <v>Union</v>
          </cell>
          <cell r="D371" t="str">
            <v>Inactive</v>
          </cell>
        </row>
        <row r="372">
          <cell r="B372" t="str">
            <v>Ballast Point</v>
          </cell>
          <cell r="C372" t="str">
            <v>Union</v>
          </cell>
          <cell r="D372" t="str">
            <v>Inactive</v>
          </cell>
        </row>
        <row r="373">
          <cell r="B373" t="str">
            <v>Jasmine's</v>
          </cell>
          <cell r="C373" t="str">
            <v>Union</v>
          </cell>
          <cell r="D373" t="str">
            <v>Inactive</v>
          </cell>
        </row>
        <row r="374">
          <cell r="B374" t="str">
            <v>Corona Extra</v>
          </cell>
          <cell r="C374" t="str">
            <v>Union</v>
          </cell>
          <cell r="D374" t="str">
            <v>Inactive</v>
          </cell>
        </row>
        <row r="375">
          <cell r="B375" t="str">
            <v>Corona Familiar</v>
          </cell>
          <cell r="C375" t="str">
            <v>Union</v>
          </cell>
          <cell r="D375" t="str">
            <v>Inactive</v>
          </cell>
        </row>
        <row r="376">
          <cell r="B376" t="str">
            <v>Corona Light</v>
          </cell>
          <cell r="C376" t="str">
            <v>Union</v>
          </cell>
          <cell r="D376" t="str">
            <v>Inactive</v>
          </cell>
        </row>
        <row r="377">
          <cell r="B377" t="str">
            <v>Pacifico</v>
          </cell>
          <cell r="C377" t="str">
            <v>Union</v>
          </cell>
          <cell r="D377" t="str">
            <v>Inactive</v>
          </cell>
        </row>
        <row r="378">
          <cell r="B378" t="str">
            <v>Modelo Negra</v>
          </cell>
          <cell r="C378" t="str">
            <v>Union</v>
          </cell>
          <cell r="D378" t="str">
            <v>Inactive</v>
          </cell>
        </row>
        <row r="379">
          <cell r="B379" t="str">
            <v>Modelo Especial</v>
          </cell>
          <cell r="C379" t="str">
            <v>Union</v>
          </cell>
          <cell r="D379" t="str">
            <v>Inactive</v>
          </cell>
        </row>
        <row r="380">
          <cell r="B380" t="str">
            <v>Victoria</v>
          </cell>
          <cell r="C380" t="str">
            <v>Union</v>
          </cell>
          <cell r="D380" t="str">
            <v>Inactive</v>
          </cell>
        </row>
        <row r="381">
          <cell r="B381" t="str">
            <v>Modelo Chelada</v>
          </cell>
          <cell r="C381" t="str">
            <v>Union</v>
          </cell>
          <cell r="D381" t="str">
            <v>Inactive</v>
          </cell>
        </row>
        <row r="382">
          <cell r="B382" t="str">
            <v>Corona Premier</v>
          </cell>
          <cell r="C382" t="str">
            <v>Union</v>
          </cell>
          <cell r="D382" t="str">
            <v>Inactive</v>
          </cell>
        </row>
        <row r="383">
          <cell r="B383" t="str">
            <v>Corona Refresca</v>
          </cell>
          <cell r="C383" t="str">
            <v>Union</v>
          </cell>
          <cell r="D383" t="str">
            <v>Inactive</v>
          </cell>
        </row>
        <row r="384">
          <cell r="B384" t="str">
            <v>Corona Seltzer</v>
          </cell>
          <cell r="C384" t="str">
            <v>Union</v>
          </cell>
          <cell r="D384" t="str">
            <v>Inactive</v>
          </cell>
        </row>
        <row r="385">
          <cell r="B385" t="str">
            <v>Franks</v>
          </cell>
          <cell r="C385" t="str">
            <v>Union</v>
          </cell>
          <cell r="D385" t="str">
            <v>Inactive</v>
          </cell>
        </row>
        <row r="386">
          <cell r="B386" t="str">
            <v>Tgi Fridays</v>
          </cell>
          <cell r="C386" t="str">
            <v>Union</v>
          </cell>
          <cell r="D386" t="str">
            <v>Inactive</v>
          </cell>
        </row>
        <row r="387">
          <cell r="B387" t="str">
            <v>Tipsy Tomato</v>
          </cell>
          <cell r="C387" t="str">
            <v>Union</v>
          </cell>
          <cell r="D387" t="str">
            <v>Inactive</v>
          </cell>
        </row>
        <row r="388">
          <cell r="B388" t="str">
            <v>Mike's Hard Lemonade</v>
          </cell>
          <cell r="C388" t="str">
            <v>Union</v>
          </cell>
          <cell r="D388" t="str">
            <v>Inactive</v>
          </cell>
        </row>
        <row r="389">
          <cell r="B389" t="str">
            <v>Mike's Harder</v>
          </cell>
          <cell r="C389" t="str">
            <v>Union</v>
          </cell>
          <cell r="D389" t="str">
            <v>Inactive</v>
          </cell>
        </row>
        <row r="390">
          <cell r="B390" t="str">
            <v>Cayman Jack</v>
          </cell>
          <cell r="C390" t="str">
            <v>Union</v>
          </cell>
          <cell r="D390" t="str">
            <v>Inactive</v>
          </cell>
        </row>
        <row r="391">
          <cell r="B391" t="str">
            <v>Mxd Cocktails</v>
          </cell>
          <cell r="C391" t="str">
            <v>Union</v>
          </cell>
          <cell r="D391" t="str">
            <v>Inactive</v>
          </cell>
        </row>
        <row r="392">
          <cell r="B392" t="str">
            <v>Palm Breeze</v>
          </cell>
          <cell r="C392" t="str">
            <v>Union</v>
          </cell>
          <cell r="D392" t="str">
            <v>Inactive</v>
          </cell>
        </row>
        <row r="393">
          <cell r="B393" t="str">
            <v>White Claw</v>
          </cell>
          <cell r="C393" t="str">
            <v>Union</v>
          </cell>
          <cell r="D393" t="str">
            <v>Inactive</v>
          </cell>
        </row>
        <row r="394">
          <cell r="B394" t="str">
            <v>Coors</v>
          </cell>
          <cell r="C394" t="str">
            <v>Union</v>
          </cell>
          <cell r="D394" t="str">
            <v>Inactive</v>
          </cell>
        </row>
        <row r="395">
          <cell r="B395" t="str">
            <v>Coors Light</v>
          </cell>
          <cell r="C395" t="str">
            <v>Union</v>
          </cell>
          <cell r="D395" t="str">
            <v>Inactive</v>
          </cell>
        </row>
        <row r="396">
          <cell r="B396" t="str">
            <v>Coors Extra Gold</v>
          </cell>
          <cell r="C396" t="str">
            <v>Union</v>
          </cell>
          <cell r="D396" t="str">
            <v>Inactive</v>
          </cell>
        </row>
        <row r="397">
          <cell r="B397" t="str">
            <v>Keystone</v>
          </cell>
          <cell r="C397" t="str">
            <v>Union</v>
          </cell>
          <cell r="D397" t="str">
            <v>Inactive</v>
          </cell>
        </row>
        <row r="398">
          <cell r="B398" t="str">
            <v>Zima</v>
          </cell>
          <cell r="C398" t="str">
            <v>Union</v>
          </cell>
          <cell r="D398" t="str">
            <v>Inactive</v>
          </cell>
        </row>
        <row r="399">
          <cell r="B399" t="str">
            <v>Coors Seltzer</v>
          </cell>
          <cell r="C399" t="str">
            <v>Union</v>
          </cell>
          <cell r="D399" t="str">
            <v>Inactive</v>
          </cell>
        </row>
        <row r="400">
          <cell r="B400" t="str">
            <v>Blue Moon</v>
          </cell>
          <cell r="C400" t="str">
            <v>Union</v>
          </cell>
          <cell r="D400" t="str">
            <v>Inactive</v>
          </cell>
        </row>
        <row r="401">
          <cell r="B401" t="str">
            <v>Crispin</v>
          </cell>
          <cell r="C401" t="str">
            <v>Union</v>
          </cell>
          <cell r="D401" t="str">
            <v>Inactive</v>
          </cell>
        </row>
        <row r="402">
          <cell r="B402" t="str">
            <v>Henry's Weinhards</v>
          </cell>
          <cell r="C402" t="str">
            <v>Union</v>
          </cell>
          <cell r="D402" t="str">
            <v>Inactive</v>
          </cell>
        </row>
        <row r="403">
          <cell r="B403" t="str">
            <v>Two Hats</v>
          </cell>
          <cell r="C403" t="str">
            <v>Union</v>
          </cell>
          <cell r="D403" t="str">
            <v>Inactive</v>
          </cell>
        </row>
        <row r="404">
          <cell r="B404" t="str">
            <v>George Killian's</v>
          </cell>
          <cell r="C404" t="str">
            <v>Union</v>
          </cell>
          <cell r="D404" t="str">
            <v>Inactive</v>
          </cell>
        </row>
        <row r="405">
          <cell r="B405" t="str">
            <v>Redd's</v>
          </cell>
          <cell r="C405" t="str">
            <v>Union</v>
          </cell>
          <cell r="D405" t="str">
            <v>Inactive</v>
          </cell>
        </row>
        <row r="406">
          <cell r="B406" t="str">
            <v>Third Shift</v>
          </cell>
          <cell r="C406" t="str">
            <v>Union</v>
          </cell>
          <cell r="D406" t="str">
            <v>Inactive</v>
          </cell>
        </row>
        <row r="407">
          <cell r="B407" t="str">
            <v>Molson</v>
          </cell>
          <cell r="C407" t="str">
            <v>Union</v>
          </cell>
          <cell r="D407" t="str">
            <v>Inactive</v>
          </cell>
        </row>
        <row r="408">
          <cell r="B408" t="str">
            <v>Henry's Hard Sparkling</v>
          </cell>
          <cell r="C408" t="str">
            <v>Union</v>
          </cell>
          <cell r="D408" t="str">
            <v>Inactive</v>
          </cell>
        </row>
        <row r="409">
          <cell r="B409" t="str">
            <v>Steel Reserve</v>
          </cell>
          <cell r="C409" t="str">
            <v>Union</v>
          </cell>
          <cell r="D409" t="str">
            <v>Inactive</v>
          </cell>
        </row>
        <row r="410">
          <cell r="B410" t="str">
            <v>Coors Edge</v>
          </cell>
          <cell r="C410" t="str">
            <v>Union</v>
          </cell>
          <cell r="D410" t="str">
            <v>Inactive</v>
          </cell>
        </row>
        <row r="411">
          <cell r="B411" t="str">
            <v>Steel Reserve Alloy Series</v>
          </cell>
          <cell r="C411" t="str">
            <v>Union</v>
          </cell>
          <cell r="D411" t="str">
            <v>Inactive</v>
          </cell>
        </row>
        <row r="412">
          <cell r="B412" t="str">
            <v>Aguila</v>
          </cell>
          <cell r="C412" t="str">
            <v>Union</v>
          </cell>
          <cell r="D412" t="str">
            <v>Inactive</v>
          </cell>
        </row>
        <row r="413">
          <cell r="B413" t="str">
            <v>Smith &amp; Forge</v>
          </cell>
          <cell r="C413" t="str">
            <v>Union</v>
          </cell>
          <cell r="D413" t="str">
            <v>Inactive</v>
          </cell>
        </row>
        <row r="414">
          <cell r="B414" t="str">
            <v>Redd's Wicked</v>
          </cell>
          <cell r="C414" t="str">
            <v>Union</v>
          </cell>
          <cell r="D414" t="str">
            <v>Inactive</v>
          </cell>
        </row>
        <row r="415">
          <cell r="B415" t="str">
            <v>Henry's Hard Sodas</v>
          </cell>
          <cell r="C415" t="str">
            <v>Union</v>
          </cell>
          <cell r="D415" t="str">
            <v>Inactive</v>
          </cell>
        </row>
        <row r="416">
          <cell r="B416" t="str">
            <v>Hamm's</v>
          </cell>
          <cell r="C416" t="str">
            <v>Union</v>
          </cell>
          <cell r="D416" t="str">
            <v>Inactive</v>
          </cell>
        </row>
        <row r="417">
          <cell r="B417" t="str">
            <v>Hamm's Light</v>
          </cell>
          <cell r="C417" t="str">
            <v>Union</v>
          </cell>
          <cell r="D417" t="str">
            <v>Inactive</v>
          </cell>
        </row>
        <row r="418">
          <cell r="B418" t="str">
            <v>Miller High Life</v>
          </cell>
          <cell r="C418" t="str">
            <v>Union</v>
          </cell>
          <cell r="D418" t="str">
            <v>Inactive</v>
          </cell>
        </row>
        <row r="419">
          <cell r="B419" t="str">
            <v>Miller High Life Light</v>
          </cell>
          <cell r="C419" t="str">
            <v>Union</v>
          </cell>
          <cell r="D419" t="str">
            <v>Inactive</v>
          </cell>
        </row>
        <row r="420">
          <cell r="B420" t="str">
            <v>Icehouse</v>
          </cell>
          <cell r="C420" t="str">
            <v>Union</v>
          </cell>
          <cell r="D420" t="str">
            <v>Inactive</v>
          </cell>
        </row>
        <row r="421">
          <cell r="B421" t="str">
            <v>Icehouse Edge</v>
          </cell>
          <cell r="C421" t="str">
            <v>Union</v>
          </cell>
          <cell r="D421" t="str">
            <v>Inactive</v>
          </cell>
        </row>
        <row r="422">
          <cell r="B422" t="str">
            <v>Lite</v>
          </cell>
          <cell r="C422" t="str">
            <v>Union</v>
          </cell>
          <cell r="D422" t="str">
            <v>Inactive</v>
          </cell>
        </row>
        <row r="423">
          <cell r="B423" t="str">
            <v>Movo</v>
          </cell>
          <cell r="C423" t="str">
            <v>Union</v>
          </cell>
          <cell r="D423" t="str">
            <v>Inactive</v>
          </cell>
        </row>
        <row r="424">
          <cell r="B424" t="str">
            <v>Miller Genuine Draft</v>
          </cell>
          <cell r="C424" t="str">
            <v>Union</v>
          </cell>
          <cell r="D424" t="str">
            <v>Inactive</v>
          </cell>
        </row>
        <row r="425">
          <cell r="B425" t="str">
            <v>Mickey Malt</v>
          </cell>
          <cell r="C425" t="str">
            <v>Union</v>
          </cell>
          <cell r="D425" t="str">
            <v>Inactive</v>
          </cell>
        </row>
        <row r="426">
          <cell r="B426" t="str">
            <v>Miller Extra Light</v>
          </cell>
          <cell r="C426" t="str">
            <v>Union</v>
          </cell>
          <cell r="D426" t="str">
            <v>Inactive</v>
          </cell>
        </row>
        <row r="427">
          <cell r="B427" t="str">
            <v>Miller Fortune</v>
          </cell>
          <cell r="C427" t="str">
            <v>Union</v>
          </cell>
          <cell r="D427" t="str">
            <v>Inactive</v>
          </cell>
        </row>
        <row r="428">
          <cell r="B428" t="str">
            <v>Milwaukee's Best</v>
          </cell>
          <cell r="C428" t="str">
            <v>Union</v>
          </cell>
          <cell r="D428" t="str">
            <v>Inactive</v>
          </cell>
        </row>
        <row r="429">
          <cell r="B429" t="str">
            <v>Milwaukee's Best Ice</v>
          </cell>
          <cell r="C429" t="str">
            <v>Union</v>
          </cell>
          <cell r="D429" t="str">
            <v>Inactive</v>
          </cell>
        </row>
        <row r="430">
          <cell r="B430" t="str">
            <v>Milwaukee's Best Light</v>
          </cell>
          <cell r="C430" t="str">
            <v>Union</v>
          </cell>
          <cell r="D430" t="str">
            <v>Inactive</v>
          </cell>
        </row>
        <row r="431">
          <cell r="B431" t="str">
            <v>Leinenkugel</v>
          </cell>
          <cell r="C431" t="str">
            <v>Union</v>
          </cell>
          <cell r="D431" t="str">
            <v>Inactive</v>
          </cell>
        </row>
        <row r="432">
          <cell r="B432" t="str">
            <v>Leinenkugel Shandy</v>
          </cell>
          <cell r="C432" t="str">
            <v>Union</v>
          </cell>
          <cell r="D432" t="str">
            <v>Inactive</v>
          </cell>
        </row>
        <row r="433">
          <cell r="B433" t="str">
            <v>Cristal</v>
          </cell>
          <cell r="C433" t="str">
            <v>Union</v>
          </cell>
          <cell r="D433" t="str">
            <v>Inactive</v>
          </cell>
        </row>
        <row r="434">
          <cell r="B434" t="str">
            <v>Cusquena</v>
          </cell>
          <cell r="C434" t="str">
            <v>Union</v>
          </cell>
          <cell r="D434" t="str">
            <v>Inactive</v>
          </cell>
        </row>
        <row r="435">
          <cell r="B435" t="str">
            <v>Fosters</v>
          </cell>
          <cell r="C435" t="str">
            <v>Union</v>
          </cell>
          <cell r="D435" t="str">
            <v>Inactive</v>
          </cell>
        </row>
        <row r="436">
          <cell r="B436" t="str">
            <v>Grolsch</v>
          </cell>
          <cell r="C436" t="str">
            <v>Union</v>
          </cell>
          <cell r="D436" t="str">
            <v>Inactive</v>
          </cell>
        </row>
        <row r="437">
          <cell r="B437" t="str">
            <v>Lech</v>
          </cell>
          <cell r="C437" t="str">
            <v>Union</v>
          </cell>
          <cell r="D437" t="str">
            <v>Inactive</v>
          </cell>
        </row>
        <row r="438">
          <cell r="B438" t="str">
            <v>Peroni</v>
          </cell>
          <cell r="C438" t="str">
            <v>Union</v>
          </cell>
          <cell r="D438" t="str">
            <v>Inactive</v>
          </cell>
        </row>
        <row r="439">
          <cell r="B439" t="str">
            <v>Pilsner Urquell</v>
          </cell>
          <cell r="C439" t="str">
            <v>Union</v>
          </cell>
          <cell r="D439" t="str">
            <v>Inactive</v>
          </cell>
        </row>
        <row r="440">
          <cell r="B440" t="str">
            <v>Tyskie Gronie</v>
          </cell>
          <cell r="C440" t="str">
            <v>Union</v>
          </cell>
          <cell r="D440" t="str">
            <v>Inactive</v>
          </cell>
        </row>
        <row r="441">
          <cell r="B441" t="str">
            <v>Old English</v>
          </cell>
          <cell r="C441" t="str">
            <v>Union</v>
          </cell>
          <cell r="D441" t="str">
            <v>Inactive</v>
          </cell>
        </row>
        <row r="442">
          <cell r="B442" t="str">
            <v>Sol</v>
          </cell>
          <cell r="C442" t="str">
            <v>Union</v>
          </cell>
          <cell r="D442" t="str">
            <v>Inactive</v>
          </cell>
        </row>
        <row r="443">
          <cell r="B443" t="str">
            <v>Arnold Palmer</v>
          </cell>
          <cell r="C443" t="str">
            <v>Union</v>
          </cell>
          <cell r="D443" t="str">
            <v>Inactive</v>
          </cell>
        </row>
        <row r="444">
          <cell r="B444" t="str">
            <v>Cape Line</v>
          </cell>
          <cell r="C444" t="str">
            <v>Union</v>
          </cell>
          <cell r="D444" t="str">
            <v>Inactive</v>
          </cell>
        </row>
        <row r="445">
          <cell r="B445" t="str">
            <v>St Archer</v>
          </cell>
          <cell r="C445" t="str">
            <v>Union</v>
          </cell>
          <cell r="D445" t="str">
            <v>Inactive</v>
          </cell>
        </row>
        <row r="446">
          <cell r="B446" t="str">
            <v>Vizzy</v>
          </cell>
          <cell r="C446" t="str">
            <v>Union</v>
          </cell>
          <cell r="D446" t="str">
            <v>Inactive</v>
          </cell>
        </row>
        <row r="447">
          <cell r="B447" t="str">
            <v>Narragansett</v>
          </cell>
          <cell r="C447" t="str">
            <v>Union</v>
          </cell>
          <cell r="D447" t="str">
            <v>Inactive</v>
          </cell>
        </row>
        <row r="448">
          <cell r="B448" t="str">
            <v>New Belgium Brewing Company</v>
          </cell>
          <cell r="C448" t="str">
            <v>Union</v>
          </cell>
          <cell r="D448" t="str">
            <v>Inactive</v>
          </cell>
        </row>
        <row r="449">
          <cell r="B449" t="str">
            <v>Shiner</v>
          </cell>
          <cell r="C449" t="str">
            <v>Union</v>
          </cell>
          <cell r="D449" t="str">
            <v>Inactive</v>
          </cell>
        </row>
        <row r="450">
          <cell r="B450" t="str">
            <v>Sierra Nevada</v>
          </cell>
          <cell r="C450" t="str">
            <v>Union</v>
          </cell>
          <cell r="D450" t="str">
            <v>Inactive</v>
          </cell>
        </row>
        <row r="451">
          <cell r="B451" t="str">
            <v>Strainge Beast</v>
          </cell>
          <cell r="C451" t="str">
            <v>Union</v>
          </cell>
          <cell r="D451" t="str">
            <v>Inactive</v>
          </cell>
        </row>
        <row r="452">
          <cell r="B452" t="str">
            <v>Terrapin Beer Company</v>
          </cell>
          <cell r="C452" t="str">
            <v>Union</v>
          </cell>
          <cell r="D452" t="str">
            <v>Inactive</v>
          </cell>
        </row>
        <row r="453">
          <cell r="B453" t="str">
            <v>Moosehead</v>
          </cell>
          <cell r="C453" t="str">
            <v>Union</v>
          </cell>
          <cell r="D453" t="str">
            <v>Inactive</v>
          </cell>
        </row>
        <row r="454">
          <cell r="B454" t="str">
            <v>Press</v>
          </cell>
          <cell r="C454" t="str">
            <v>Union</v>
          </cell>
          <cell r="D454" t="str">
            <v>Inactive</v>
          </cell>
        </row>
        <row r="455">
          <cell r="B455" t="str">
            <v>Dg Yuengling Inc</v>
          </cell>
          <cell r="C455" t="str">
            <v>Union</v>
          </cell>
          <cell r="D455" t="str">
            <v>Inactive</v>
          </cell>
        </row>
        <row r="456">
          <cell r="B456" t="str">
            <v>Heineken USA</v>
          </cell>
          <cell r="C456" t="str">
            <v>Union</v>
          </cell>
          <cell r="D456" t="str">
            <v>Inactive</v>
          </cell>
        </row>
        <row r="457">
          <cell r="B457" t="str">
            <v>Heineken Dark</v>
          </cell>
          <cell r="C457" t="str">
            <v>Union</v>
          </cell>
          <cell r="D457" t="str">
            <v>Inactive</v>
          </cell>
        </row>
        <row r="458">
          <cell r="B458" t="str">
            <v>Heineken Light</v>
          </cell>
          <cell r="C458" t="str">
            <v>Union</v>
          </cell>
          <cell r="D458" t="str">
            <v>Inactive</v>
          </cell>
        </row>
        <row r="459">
          <cell r="B459" t="str">
            <v>Amstel</v>
          </cell>
          <cell r="C459" t="str">
            <v>Union</v>
          </cell>
          <cell r="D459" t="str">
            <v>Inactive</v>
          </cell>
        </row>
        <row r="460">
          <cell r="B460" t="str">
            <v>Newcastle</v>
          </cell>
          <cell r="C460" t="str">
            <v>Union</v>
          </cell>
          <cell r="D460" t="str">
            <v>Inactive</v>
          </cell>
        </row>
        <row r="461">
          <cell r="B461" t="str">
            <v>Buckler</v>
          </cell>
          <cell r="C461" t="str">
            <v>Union</v>
          </cell>
          <cell r="D461" t="str">
            <v>Inactive</v>
          </cell>
        </row>
        <row r="462">
          <cell r="B462" t="str">
            <v>Strongbow</v>
          </cell>
          <cell r="C462" t="str">
            <v>Union</v>
          </cell>
          <cell r="D462" t="str">
            <v>Inactive</v>
          </cell>
        </row>
        <row r="463">
          <cell r="B463" t="str">
            <v>Murphy's</v>
          </cell>
          <cell r="C463" t="str">
            <v>Union</v>
          </cell>
          <cell r="D463" t="str">
            <v>Inactive</v>
          </cell>
        </row>
        <row r="464">
          <cell r="B464" t="str">
            <v>Tiger</v>
          </cell>
          <cell r="C464" t="str">
            <v>Union</v>
          </cell>
          <cell r="D464" t="str">
            <v>Inactive</v>
          </cell>
        </row>
        <row r="465">
          <cell r="B465" t="str">
            <v>Red Stripe</v>
          </cell>
          <cell r="C465" t="str">
            <v>Union</v>
          </cell>
          <cell r="D465" t="str">
            <v>Inactive</v>
          </cell>
        </row>
        <row r="466">
          <cell r="B466" t="str">
            <v>Birra Moretti</v>
          </cell>
          <cell r="C466" t="str">
            <v>Union</v>
          </cell>
          <cell r="D466" t="str">
            <v>Inactive</v>
          </cell>
        </row>
        <row r="467">
          <cell r="B467" t="str">
            <v>Affligem</v>
          </cell>
          <cell r="C467" t="str">
            <v>Union</v>
          </cell>
          <cell r="D467" t="str">
            <v>Inactive</v>
          </cell>
        </row>
        <row r="468">
          <cell r="B468" t="str">
            <v>Cervezas De Mexico</v>
          </cell>
          <cell r="C468" t="str">
            <v>Union</v>
          </cell>
          <cell r="D468" t="str">
            <v>Inactive</v>
          </cell>
        </row>
        <row r="469">
          <cell r="B469" t="str">
            <v>Tecate</v>
          </cell>
          <cell r="C469" t="str">
            <v>Union</v>
          </cell>
          <cell r="D469" t="str">
            <v>Inactive</v>
          </cell>
        </row>
        <row r="470">
          <cell r="B470" t="str">
            <v>Bohemia</v>
          </cell>
          <cell r="C470" t="str">
            <v>Union</v>
          </cell>
          <cell r="D470" t="str">
            <v>Inactive</v>
          </cell>
        </row>
        <row r="471">
          <cell r="B471" t="str">
            <v>Carta Blanca</v>
          </cell>
          <cell r="C471" t="str">
            <v>Union</v>
          </cell>
          <cell r="D471" t="str">
            <v>Inactive</v>
          </cell>
        </row>
        <row r="472">
          <cell r="B472" t="str">
            <v>Tecate Light</v>
          </cell>
          <cell r="C472" t="str">
            <v>Union</v>
          </cell>
          <cell r="D472" t="str">
            <v>Inactive</v>
          </cell>
        </row>
        <row r="473">
          <cell r="B473" t="str">
            <v>Sagres Cerveja</v>
          </cell>
          <cell r="C473" t="str">
            <v>Union</v>
          </cell>
          <cell r="D473" t="str">
            <v>Inactive</v>
          </cell>
        </row>
        <row r="474">
          <cell r="B474" t="str">
            <v>Prestige Lager</v>
          </cell>
          <cell r="C474" t="str">
            <v>Union</v>
          </cell>
          <cell r="D474" t="str">
            <v>Inactive</v>
          </cell>
        </row>
        <row r="475">
          <cell r="B475" t="str">
            <v>Heineken 0.0</v>
          </cell>
          <cell r="C475" t="str">
            <v>Union</v>
          </cell>
          <cell r="D475" t="str">
            <v>Inactive</v>
          </cell>
        </row>
        <row r="476">
          <cell r="B476" t="str">
            <v>Anchor</v>
          </cell>
          <cell r="C476" t="str">
            <v>Union</v>
          </cell>
          <cell r="D476" t="str">
            <v>Inactive</v>
          </cell>
        </row>
        <row r="477">
          <cell r="B477" t="str">
            <v>Flying Fish</v>
          </cell>
          <cell r="C477" t="str">
            <v>Union</v>
          </cell>
          <cell r="D477" t="str">
            <v>Inactive</v>
          </cell>
        </row>
        <row r="478">
          <cell r="B478" t="str">
            <v>Basic</v>
          </cell>
          <cell r="C478" t="str">
            <v>Union</v>
          </cell>
          <cell r="D478" t="str">
            <v>Inactive</v>
          </cell>
        </row>
        <row r="479">
          <cell r="B479" t="str">
            <v>Mamita's</v>
          </cell>
          <cell r="C479" t="str">
            <v>Union</v>
          </cell>
          <cell r="D479" t="str">
            <v>Inactive</v>
          </cell>
        </row>
        <row r="480">
          <cell r="B480" t="str">
            <v>Four Loko</v>
          </cell>
          <cell r="C480" t="str">
            <v>Union</v>
          </cell>
          <cell r="D480" t="str">
            <v>Inactive</v>
          </cell>
        </row>
        <row r="481">
          <cell r="B481" t="str">
            <v>Earthquake</v>
          </cell>
          <cell r="C481" t="str">
            <v>Union</v>
          </cell>
          <cell r="D481" t="str">
            <v>Inactive</v>
          </cell>
        </row>
        <row r="482">
          <cell r="B482" t="str">
            <v>Moskato</v>
          </cell>
          <cell r="C482" t="str">
            <v>Union</v>
          </cell>
          <cell r="D482" t="str">
            <v>Inactive</v>
          </cell>
        </row>
        <row r="483">
          <cell r="B483" t="str">
            <v>Signture Cockt</v>
          </cell>
          <cell r="C483" t="str">
            <v>Union</v>
          </cell>
          <cell r="D483" t="str">
            <v>Inactive</v>
          </cell>
        </row>
        <row r="484">
          <cell r="B484" t="str">
            <v>Bartender Series</v>
          </cell>
          <cell r="C484" t="str">
            <v>Union</v>
          </cell>
          <cell r="D484" t="str">
            <v>Inactive</v>
          </cell>
        </row>
        <row r="485">
          <cell r="B485" t="str">
            <v>John Daly</v>
          </cell>
          <cell r="C485" t="str">
            <v>Union</v>
          </cell>
          <cell r="D485" t="str">
            <v>Inactive</v>
          </cell>
        </row>
        <row r="486">
          <cell r="B486" t="str">
            <v>Hard Fresco</v>
          </cell>
          <cell r="C486" t="str">
            <v>Union</v>
          </cell>
          <cell r="D486" t="str">
            <v>Inactive</v>
          </cell>
        </row>
        <row r="487">
          <cell r="B487" t="str">
            <v>Bold Rock</v>
          </cell>
          <cell r="C487" t="str">
            <v>Union</v>
          </cell>
          <cell r="D487" t="str">
            <v>Inactive</v>
          </cell>
        </row>
        <row r="488">
          <cell r="B488" t="str">
            <v>Citizen Cider</v>
          </cell>
          <cell r="C488" t="str">
            <v>Union</v>
          </cell>
          <cell r="D488" t="str">
            <v>Inactive</v>
          </cell>
        </row>
        <row r="489">
          <cell r="B489" t="str">
            <v>Ithaca</v>
          </cell>
          <cell r="C489" t="str">
            <v>Union</v>
          </cell>
          <cell r="D489" t="str">
            <v>Inactive</v>
          </cell>
        </row>
        <row r="490">
          <cell r="B490" t="str">
            <v>Otter Creek</v>
          </cell>
          <cell r="C490" t="str">
            <v>Union</v>
          </cell>
          <cell r="D490" t="str">
            <v>Inactive</v>
          </cell>
        </row>
        <row r="491">
          <cell r="B491" t="str">
            <v>Shed</v>
          </cell>
          <cell r="C491" t="str">
            <v>Union</v>
          </cell>
          <cell r="D491" t="str">
            <v>Inactive</v>
          </cell>
        </row>
        <row r="492">
          <cell r="B492" t="str">
            <v>Mckenzie's</v>
          </cell>
          <cell r="C492" t="str">
            <v>Union</v>
          </cell>
          <cell r="D492" t="str">
            <v>Inactive</v>
          </cell>
        </row>
        <row r="493">
          <cell r="B493" t="str">
            <v>Old Speckled Hen</v>
          </cell>
          <cell r="C493" t="str">
            <v>Union</v>
          </cell>
          <cell r="D493" t="str">
            <v>Inactive</v>
          </cell>
        </row>
        <row r="494">
          <cell r="B494" t="str">
            <v>Hacker-Pschorr</v>
          </cell>
          <cell r="C494" t="str">
            <v>Union</v>
          </cell>
          <cell r="D494" t="str">
            <v>Inactive</v>
          </cell>
        </row>
        <row r="495">
          <cell r="B495" t="str">
            <v>Paulaner</v>
          </cell>
          <cell r="C495" t="str">
            <v>Union</v>
          </cell>
          <cell r="D495" t="str">
            <v>Inactive</v>
          </cell>
        </row>
        <row r="496">
          <cell r="B496" t="str">
            <v>Fruli</v>
          </cell>
          <cell r="C496" t="str">
            <v>Union</v>
          </cell>
          <cell r="D496" t="str">
            <v>Inactive</v>
          </cell>
        </row>
        <row r="497">
          <cell r="B497" t="str">
            <v>Ohara's</v>
          </cell>
          <cell r="C497" t="str">
            <v>Union</v>
          </cell>
          <cell r="D497" t="str">
            <v>Inactive</v>
          </cell>
        </row>
        <row r="498">
          <cell r="B498" t="str">
            <v>Unibroue</v>
          </cell>
          <cell r="C498" t="str">
            <v>Union</v>
          </cell>
          <cell r="D498" t="str">
            <v>Inactive</v>
          </cell>
        </row>
        <row r="499">
          <cell r="B499" t="str">
            <v>Sea Dog</v>
          </cell>
          <cell r="C499" t="str">
            <v>Union</v>
          </cell>
          <cell r="D499" t="str">
            <v>Inactive</v>
          </cell>
        </row>
        <row r="500">
          <cell r="B500" t="str">
            <v>Shipyard</v>
          </cell>
          <cell r="C500" t="str">
            <v>Union</v>
          </cell>
          <cell r="D500" t="str">
            <v>Inactive</v>
          </cell>
        </row>
        <row r="501">
          <cell r="B501" t="str">
            <v>Southern Tier</v>
          </cell>
          <cell r="C501" t="str">
            <v>Union</v>
          </cell>
          <cell r="D501" t="str">
            <v>Inactive</v>
          </cell>
        </row>
        <row r="502">
          <cell r="B502" t="str">
            <v>Banks</v>
          </cell>
          <cell r="C502" t="str">
            <v>Union</v>
          </cell>
          <cell r="D502" t="str">
            <v>Inactive</v>
          </cell>
        </row>
        <row r="503">
          <cell r="B503" t="str">
            <v>Weihenstephaner</v>
          </cell>
          <cell r="C503" t="str">
            <v>Union</v>
          </cell>
          <cell r="D503" t="str">
            <v>Inactive</v>
          </cell>
        </row>
        <row r="504">
          <cell r="B504" t="str">
            <v>Victory</v>
          </cell>
          <cell r="C504" t="str">
            <v>Union</v>
          </cell>
          <cell r="D504" t="str">
            <v>Inactive</v>
          </cell>
        </row>
        <row r="505">
          <cell r="B505" t="str">
            <v>Samuel Adams</v>
          </cell>
          <cell r="C505" t="str">
            <v>Essex</v>
          </cell>
          <cell r="D505" t="str">
            <v>Inactive</v>
          </cell>
        </row>
        <row r="506">
          <cell r="B506" t="str">
            <v>Traveler</v>
          </cell>
          <cell r="C506" t="str">
            <v>Essex</v>
          </cell>
          <cell r="D506" t="str">
            <v>Inactive</v>
          </cell>
        </row>
        <row r="507">
          <cell r="B507" t="str">
            <v>Angry Orchard</v>
          </cell>
          <cell r="C507" t="str">
            <v>Essex</v>
          </cell>
          <cell r="D507" t="str">
            <v>Inactive</v>
          </cell>
        </row>
        <row r="508">
          <cell r="B508" t="str">
            <v>Twisted Tea</v>
          </cell>
          <cell r="C508" t="str">
            <v>Essex</v>
          </cell>
          <cell r="D508" t="str">
            <v>Inactive</v>
          </cell>
        </row>
        <row r="509">
          <cell r="B509" t="str">
            <v>Coney Island</v>
          </cell>
          <cell r="C509" t="str">
            <v>Essex</v>
          </cell>
          <cell r="D509" t="str">
            <v>Inactive</v>
          </cell>
        </row>
        <row r="510">
          <cell r="B510" t="str">
            <v>Truly</v>
          </cell>
          <cell r="C510" t="str">
            <v>Essex</v>
          </cell>
          <cell r="D510" t="str">
            <v>Inactive</v>
          </cell>
        </row>
        <row r="511">
          <cell r="B511" t="str">
            <v>Marathon</v>
          </cell>
          <cell r="C511" t="str">
            <v>Essex</v>
          </cell>
          <cell r="D511" t="str">
            <v>Inactive</v>
          </cell>
        </row>
        <row r="512">
          <cell r="B512" t="str">
            <v>Wild Leaf</v>
          </cell>
          <cell r="C512" t="str">
            <v>Essex</v>
          </cell>
          <cell r="D512" t="str">
            <v>Inactive</v>
          </cell>
        </row>
        <row r="513">
          <cell r="B513" t="str">
            <v>Dogfish Head Beer</v>
          </cell>
          <cell r="C513" t="str">
            <v>Essex</v>
          </cell>
          <cell r="D513" t="str">
            <v>Inactive</v>
          </cell>
        </row>
        <row r="514">
          <cell r="B514" t="str">
            <v>Ballast Point</v>
          </cell>
          <cell r="C514" t="str">
            <v>Essex</v>
          </cell>
          <cell r="D514" t="str">
            <v>Inactive</v>
          </cell>
        </row>
        <row r="515">
          <cell r="B515" t="str">
            <v>Jasmine's</v>
          </cell>
          <cell r="C515" t="str">
            <v>Essex</v>
          </cell>
          <cell r="D515" t="str">
            <v>Inactive</v>
          </cell>
        </row>
        <row r="516">
          <cell r="B516" t="str">
            <v>Corona Extra</v>
          </cell>
          <cell r="C516" t="str">
            <v>Essex</v>
          </cell>
          <cell r="D516" t="str">
            <v>Inactive</v>
          </cell>
        </row>
        <row r="517">
          <cell r="B517" t="str">
            <v>Corona Familiar</v>
          </cell>
          <cell r="C517" t="str">
            <v>Essex</v>
          </cell>
          <cell r="D517" t="str">
            <v>Inactive</v>
          </cell>
        </row>
        <row r="518">
          <cell r="B518" t="str">
            <v>Corona Light</v>
          </cell>
          <cell r="C518" t="str">
            <v>Essex</v>
          </cell>
          <cell r="D518" t="str">
            <v>Inactive</v>
          </cell>
        </row>
        <row r="519">
          <cell r="B519" t="str">
            <v>Pacifico</v>
          </cell>
          <cell r="C519" t="str">
            <v>Essex</v>
          </cell>
          <cell r="D519" t="str">
            <v>Inactive</v>
          </cell>
        </row>
        <row r="520">
          <cell r="B520" t="str">
            <v>Modelo Negra</v>
          </cell>
          <cell r="C520" t="str">
            <v>Essex</v>
          </cell>
          <cell r="D520" t="str">
            <v>Inactive</v>
          </cell>
        </row>
        <row r="521">
          <cell r="B521" t="str">
            <v>Modelo Especial</v>
          </cell>
          <cell r="C521" t="str">
            <v>Essex</v>
          </cell>
          <cell r="D521" t="str">
            <v>Inactive</v>
          </cell>
        </row>
        <row r="522">
          <cell r="B522" t="str">
            <v>Victoria</v>
          </cell>
          <cell r="C522" t="str">
            <v>Essex</v>
          </cell>
          <cell r="D522" t="str">
            <v>Inactive</v>
          </cell>
        </row>
        <row r="523">
          <cell r="B523" t="str">
            <v>Modelo Chelada</v>
          </cell>
          <cell r="C523" t="str">
            <v>Essex</v>
          </cell>
          <cell r="D523" t="str">
            <v>Inactive</v>
          </cell>
        </row>
        <row r="524">
          <cell r="B524" t="str">
            <v>Corona Premier</v>
          </cell>
          <cell r="C524" t="str">
            <v>Essex</v>
          </cell>
          <cell r="D524" t="str">
            <v>Inactive</v>
          </cell>
        </row>
        <row r="525">
          <cell r="B525" t="str">
            <v>Corona Refresca</v>
          </cell>
          <cell r="C525" t="str">
            <v>Essex</v>
          </cell>
          <cell r="D525" t="str">
            <v>Inactive</v>
          </cell>
        </row>
        <row r="526">
          <cell r="B526" t="str">
            <v>Corona Seltzer</v>
          </cell>
          <cell r="C526" t="str">
            <v>Essex</v>
          </cell>
          <cell r="D526" t="str">
            <v>Inactive</v>
          </cell>
        </row>
        <row r="527">
          <cell r="B527" t="str">
            <v>Franks</v>
          </cell>
          <cell r="C527" t="str">
            <v>Essex</v>
          </cell>
          <cell r="D527" t="str">
            <v>Inactive</v>
          </cell>
        </row>
        <row r="528">
          <cell r="B528" t="str">
            <v>Tgi Fridays</v>
          </cell>
          <cell r="C528" t="str">
            <v>Essex</v>
          </cell>
          <cell r="D528" t="str">
            <v>Inactive</v>
          </cell>
        </row>
        <row r="529">
          <cell r="B529" t="str">
            <v>Tipsy Tomato</v>
          </cell>
          <cell r="C529" t="str">
            <v>Essex</v>
          </cell>
          <cell r="D529" t="str">
            <v>Inactive</v>
          </cell>
        </row>
        <row r="530">
          <cell r="B530" t="str">
            <v>Mike's Hard Lemonade</v>
          </cell>
          <cell r="C530" t="str">
            <v>Essex</v>
          </cell>
          <cell r="D530" t="str">
            <v>Inactive</v>
          </cell>
        </row>
        <row r="531">
          <cell r="B531" t="str">
            <v>Mike's Harder</v>
          </cell>
          <cell r="C531" t="str">
            <v>Essex</v>
          </cell>
          <cell r="D531" t="str">
            <v>Inactive</v>
          </cell>
        </row>
        <row r="532">
          <cell r="B532" t="str">
            <v>Cayman Jack</v>
          </cell>
          <cell r="C532" t="str">
            <v>Essex</v>
          </cell>
          <cell r="D532" t="str">
            <v>Inactive</v>
          </cell>
        </row>
        <row r="533">
          <cell r="B533" t="str">
            <v>Mxd Cocktails</v>
          </cell>
          <cell r="C533" t="str">
            <v>Essex</v>
          </cell>
          <cell r="D533" t="str">
            <v>Inactive</v>
          </cell>
        </row>
        <row r="534">
          <cell r="B534" t="str">
            <v>Palm Breeze</v>
          </cell>
          <cell r="C534" t="str">
            <v>Essex</v>
          </cell>
          <cell r="D534" t="str">
            <v>Inactive</v>
          </cell>
        </row>
        <row r="535">
          <cell r="B535" t="str">
            <v>White Claw</v>
          </cell>
          <cell r="C535" t="str">
            <v>Essex</v>
          </cell>
          <cell r="D535" t="str">
            <v>Inactive</v>
          </cell>
        </row>
        <row r="536">
          <cell r="B536" t="str">
            <v>Coors</v>
          </cell>
          <cell r="C536" t="str">
            <v>Essex</v>
          </cell>
          <cell r="D536" t="str">
            <v>Inactive</v>
          </cell>
        </row>
        <row r="537">
          <cell r="B537" t="str">
            <v>Coors Light</v>
          </cell>
          <cell r="C537" t="str">
            <v>Essex</v>
          </cell>
          <cell r="D537" t="str">
            <v>Inactive</v>
          </cell>
        </row>
        <row r="538">
          <cell r="B538" t="str">
            <v>Coors Extra Gold</v>
          </cell>
          <cell r="C538" t="str">
            <v>Essex</v>
          </cell>
          <cell r="D538" t="str">
            <v>Inactive</v>
          </cell>
        </row>
        <row r="539">
          <cell r="B539" t="str">
            <v>Keystone</v>
          </cell>
          <cell r="C539" t="str">
            <v>Essex</v>
          </cell>
          <cell r="D539" t="str">
            <v>Inactive</v>
          </cell>
        </row>
        <row r="540">
          <cell r="B540" t="str">
            <v>Zima</v>
          </cell>
          <cell r="C540" t="str">
            <v>Essex</v>
          </cell>
          <cell r="D540" t="str">
            <v>Inactive</v>
          </cell>
        </row>
        <row r="541">
          <cell r="B541" t="str">
            <v>Coors Seltzer</v>
          </cell>
          <cell r="C541" t="str">
            <v>Essex</v>
          </cell>
          <cell r="D541" t="str">
            <v>Inactive</v>
          </cell>
        </row>
        <row r="542">
          <cell r="B542" t="str">
            <v>Blue Moon</v>
          </cell>
          <cell r="C542" t="str">
            <v>Essex</v>
          </cell>
          <cell r="D542" t="str">
            <v>Inactive</v>
          </cell>
        </row>
        <row r="543">
          <cell r="B543" t="str">
            <v>Crispin</v>
          </cell>
          <cell r="C543" t="str">
            <v>Essex</v>
          </cell>
          <cell r="D543" t="str">
            <v>Inactive</v>
          </cell>
        </row>
        <row r="544">
          <cell r="B544" t="str">
            <v>Henry's Weinhards</v>
          </cell>
          <cell r="C544" t="str">
            <v>Essex</v>
          </cell>
          <cell r="D544" t="str">
            <v>Inactive</v>
          </cell>
        </row>
        <row r="545">
          <cell r="B545" t="str">
            <v>Two Hats</v>
          </cell>
          <cell r="C545" t="str">
            <v>Essex</v>
          </cell>
          <cell r="D545" t="str">
            <v>Inactive</v>
          </cell>
        </row>
        <row r="546">
          <cell r="B546" t="str">
            <v>George Killian's</v>
          </cell>
          <cell r="C546" t="str">
            <v>Essex</v>
          </cell>
          <cell r="D546" t="str">
            <v>Inactive</v>
          </cell>
        </row>
        <row r="547">
          <cell r="B547" t="str">
            <v>Redd's</v>
          </cell>
          <cell r="C547" t="str">
            <v>Essex</v>
          </cell>
          <cell r="D547" t="str">
            <v>Inactive</v>
          </cell>
        </row>
        <row r="548">
          <cell r="B548" t="str">
            <v>Third Shift</v>
          </cell>
          <cell r="C548" t="str">
            <v>Essex</v>
          </cell>
          <cell r="D548" t="str">
            <v>Inactive</v>
          </cell>
        </row>
        <row r="549">
          <cell r="B549" t="str">
            <v>Molson</v>
          </cell>
          <cell r="C549" t="str">
            <v>Essex</v>
          </cell>
          <cell r="D549" t="str">
            <v>Inactive</v>
          </cell>
        </row>
        <row r="550">
          <cell r="B550" t="str">
            <v>Henry's Hard Sparkling</v>
          </cell>
          <cell r="C550" t="str">
            <v>Essex</v>
          </cell>
          <cell r="D550" t="str">
            <v>Inactive</v>
          </cell>
        </row>
        <row r="551">
          <cell r="B551" t="str">
            <v>Steel Reserve</v>
          </cell>
          <cell r="C551" t="str">
            <v>Essex</v>
          </cell>
          <cell r="D551" t="str">
            <v>Inactive</v>
          </cell>
        </row>
        <row r="552">
          <cell r="B552" t="str">
            <v>Coors Edge</v>
          </cell>
          <cell r="C552" t="str">
            <v>Essex</v>
          </cell>
          <cell r="D552" t="str">
            <v>Inactive</v>
          </cell>
        </row>
        <row r="553">
          <cell r="B553" t="str">
            <v>Steel Reserve Alloy Series</v>
          </cell>
          <cell r="C553" t="str">
            <v>Essex</v>
          </cell>
          <cell r="D553" t="str">
            <v>Inactive</v>
          </cell>
        </row>
        <row r="554">
          <cell r="B554" t="str">
            <v>Aguila</v>
          </cell>
          <cell r="C554" t="str">
            <v>Essex</v>
          </cell>
          <cell r="D554" t="str">
            <v>Inactive</v>
          </cell>
        </row>
        <row r="555">
          <cell r="B555" t="str">
            <v>Smith &amp; Forge</v>
          </cell>
          <cell r="C555" t="str">
            <v>Essex</v>
          </cell>
          <cell r="D555" t="str">
            <v>Inactive</v>
          </cell>
        </row>
        <row r="556">
          <cell r="B556" t="str">
            <v>Redd's Wicked</v>
          </cell>
          <cell r="C556" t="str">
            <v>Essex</v>
          </cell>
          <cell r="D556" t="str">
            <v>Inactive</v>
          </cell>
        </row>
        <row r="557">
          <cell r="B557" t="str">
            <v>Henry's Hard Sodas</v>
          </cell>
          <cell r="C557" t="str">
            <v>Essex</v>
          </cell>
          <cell r="D557" t="str">
            <v>Inactive</v>
          </cell>
        </row>
        <row r="558">
          <cell r="B558" t="str">
            <v>Hamm's</v>
          </cell>
          <cell r="C558" t="str">
            <v>Essex</v>
          </cell>
          <cell r="D558" t="str">
            <v>Inactive</v>
          </cell>
        </row>
        <row r="559">
          <cell r="B559" t="str">
            <v>Hamm's Light</v>
          </cell>
          <cell r="C559" t="str">
            <v>Essex</v>
          </cell>
          <cell r="D559" t="str">
            <v>Inactive</v>
          </cell>
        </row>
        <row r="560">
          <cell r="B560" t="str">
            <v>Miller High Life</v>
          </cell>
          <cell r="C560" t="str">
            <v>Essex</v>
          </cell>
          <cell r="D560" t="str">
            <v>Inactive</v>
          </cell>
        </row>
        <row r="561">
          <cell r="B561" t="str">
            <v>Miller High Life Light</v>
          </cell>
          <cell r="C561" t="str">
            <v>Essex</v>
          </cell>
          <cell r="D561" t="str">
            <v>Inactive</v>
          </cell>
        </row>
        <row r="562">
          <cell r="B562" t="str">
            <v>Icehouse</v>
          </cell>
          <cell r="C562" t="str">
            <v>Essex</v>
          </cell>
          <cell r="D562" t="str">
            <v>Inactive</v>
          </cell>
        </row>
        <row r="563">
          <cell r="B563" t="str">
            <v>Icehouse Edge</v>
          </cell>
          <cell r="C563" t="str">
            <v>Essex</v>
          </cell>
          <cell r="D563" t="str">
            <v>Inactive</v>
          </cell>
        </row>
        <row r="564">
          <cell r="B564" t="str">
            <v>Lite</v>
          </cell>
          <cell r="C564" t="str">
            <v>Essex</v>
          </cell>
          <cell r="D564" t="str">
            <v>Inactive</v>
          </cell>
        </row>
        <row r="565">
          <cell r="B565" t="str">
            <v>Movo</v>
          </cell>
          <cell r="C565" t="str">
            <v>Essex</v>
          </cell>
          <cell r="D565" t="str">
            <v>Inactive</v>
          </cell>
        </row>
        <row r="566">
          <cell r="B566" t="str">
            <v>Miller Genuine Draft</v>
          </cell>
          <cell r="C566" t="str">
            <v>Essex</v>
          </cell>
          <cell r="D566" t="str">
            <v>Inactive</v>
          </cell>
        </row>
        <row r="567">
          <cell r="B567" t="str">
            <v>Mickey Malt</v>
          </cell>
          <cell r="C567" t="str">
            <v>Essex</v>
          </cell>
          <cell r="D567" t="str">
            <v>Inactive</v>
          </cell>
        </row>
        <row r="568">
          <cell r="B568" t="str">
            <v>Miller Extra Light</v>
          </cell>
          <cell r="C568" t="str">
            <v>Essex</v>
          </cell>
          <cell r="D568" t="str">
            <v>Inactive</v>
          </cell>
        </row>
        <row r="569">
          <cell r="B569" t="str">
            <v>Miller Fortune</v>
          </cell>
          <cell r="C569" t="str">
            <v>Essex</v>
          </cell>
          <cell r="D569" t="str">
            <v>Inactive</v>
          </cell>
        </row>
        <row r="570">
          <cell r="B570" t="str">
            <v>Milwaukee's Best</v>
          </cell>
          <cell r="C570" t="str">
            <v>Essex</v>
          </cell>
          <cell r="D570" t="str">
            <v>Inactive</v>
          </cell>
        </row>
        <row r="571">
          <cell r="B571" t="str">
            <v>Milwaukee's Best Ice</v>
          </cell>
          <cell r="C571" t="str">
            <v>Essex</v>
          </cell>
          <cell r="D571" t="str">
            <v>Inactive</v>
          </cell>
        </row>
        <row r="572">
          <cell r="B572" t="str">
            <v>Milwaukee's Best Light</v>
          </cell>
          <cell r="C572" t="str">
            <v>Essex</v>
          </cell>
          <cell r="D572" t="str">
            <v>Inactive</v>
          </cell>
        </row>
        <row r="573">
          <cell r="B573" t="str">
            <v>Leinenkugel</v>
          </cell>
          <cell r="C573" t="str">
            <v>Essex</v>
          </cell>
          <cell r="D573" t="str">
            <v>Inactive</v>
          </cell>
        </row>
        <row r="574">
          <cell r="B574" t="str">
            <v>Leinenkugel Shandy</v>
          </cell>
          <cell r="C574" t="str">
            <v>Essex</v>
          </cell>
          <cell r="D574" t="str">
            <v>Inactive</v>
          </cell>
        </row>
        <row r="575">
          <cell r="B575" t="str">
            <v>Cristal</v>
          </cell>
          <cell r="C575" t="str">
            <v>Essex</v>
          </cell>
          <cell r="D575" t="str">
            <v>Inactive</v>
          </cell>
        </row>
        <row r="576">
          <cell r="B576" t="str">
            <v>Cusquena</v>
          </cell>
          <cell r="C576" t="str">
            <v>Essex</v>
          </cell>
          <cell r="D576" t="str">
            <v>Inactive</v>
          </cell>
        </row>
        <row r="577">
          <cell r="B577" t="str">
            <v>Fosters</v>
          </cell>
          <cell r="C577" t="str">
            <v>Essex</v>
          </cell>
          <cell r="D577" t="str">
            <v>Inactive</v>
          </cell>
        </row>
        <row r="578">
          <cell r="B578" t="str">
            <v>Grolsch</v>
          </cell>
          <cell r="C578" t="str">
            <v>Essex</v>
          </cell>
          <cell r="D578" t="str">
            <v>Inactive</v>
          </cell>
        </row>
        <row r="579">
          <cell r="B579" t="str">
            <v>Lech</v>
          </cell>
          <cell r="C579" t="str">
            <v>Essex</v>
          </cell>
          <cell r="D579" t="str">
            <v>Inactive</v>
          </cell>
        </row>
        <row r="580">
          <cell r="B580" t="str">
            <v>Peroni</v>
          </cell>
          <cell r="C580" t="str">
            <v>Essex</v>
          </cell>
          <cell r="D580" t="str">
            <v>Inactive</v>
          </cell>
        </row>
        <row r="581">
          <cell r="B581" t="str">
            <v>Pilsner Urquell</v>
          </cell>
          <cell r="C581" t="str">
            <v>Essex</v>
          </cell>
          <cell r="D581" t="str">
            <v>Inactive</v>
          </cell>
        </row>
        <row r="582">
          <cell r="B582" t="str">
            <v>Tyskie Gronie</v>
          </cell>
          <cell r="C582" t="str">
            <v>Essex</v>
          </cell>
          <cell r="D582" t="str">
            <v>Inactive</v>
          </cell>
        </row>
        <row r="583">
          <cell r="B583" t="str">
            <v>Old English</v>
          </cell>
          <cell r="C583" t="str">
            <v>Essex</v>
          </cell>
          <cell r="D583" t="str">
            <v>Inactive</v>
          </cell>
        </row>
        <row r="584">
          <cell r="B584" t="str">
            <v>Sol</v>
          </cell>
          <cell r="C584" t="str">
            <v>Essex</v>
          </cell>
          <cell r="D584" t="str">
            <v>Inactive</v>
          </cell>
        </row>
        <row r="585">
          <cell r="B585" t="str">
            <v>Arnold Palmer</v>
          </cell>
          <cell r="C585" t="str">
            <v>Essex</v>
          </cell>
          <cell r="D585" t="str">
            <v>Inactive</v>
          </cell>
        </row>
        <row r="586">
          <cell r="B586" t="str">
            <v>Cape Line</v>
          </cell>
          <cell r="C586" t="str">
            <v>Essex</v>
          </cell>
          <cell r="D586" t="str">
            <v>Inactive</v>
          </cell>
        </row>
        <row r="587">
          <cell r="B587" t="str">
            <v>St Archer</v>
          </cell>
          <cell r="C587" t="str">
            <v>Essex</v>
          </cell>
          <cell r="D587" t="str">
            <v>Inactive</v>
          </cell>
        </row>
        <row r="588">
          <cell r="B588" t="str">
            <v>Vizzy</v>
          </cell>
          <cell r="C588" t="str">
            <v>Essex</v>
          </cell>
          <cell r="D588" t="str">
            <v>Inactive</v>
          </cell>
        </row>
        <row r="589">
          <cell r="B589" t="str">
            <v>Narragansett</v>
          </cell>
          <cell r="C589" t="str">
            <v>Essex</v>
          </cell>
          <cell r="D589" t="str">
            <v>Inactive</v>
          </cell>
        </row>
        <row r="590">
          <cell r="B590" t="str">
            <v>New Belgium Brewing Company</v>
          </cell>
          <cell r="C590" t="str">
            <v>Essex</v>
          </cell>
          <cell r="D590" t="str">
            <v>Inactive</v>
          </cell>
        </row>
        <row r="591">
          <cell r="B591" t="str">
            <v>Shiner</v>
          </cell>
          <cell r="C591" t="str">
            <v>Essex</v>
          </cell>
          <cell r="D591" t="str">
            <v>Inactive</v>
          </cell>
        </row>
        <row r="592">
          <cell r="B592" t="str">
            <v>Sierra Nevada</v>
          </cell>
          <cell r="C592" t="str">
            <v>Essex</v>
          </cell>
          <cell r="D592" t="str">
            <v>Inactive</v>
          </cell>
        </row>
        <row r="593">
          <cell r="B593" t="str">
            <v>Strainge Beast</v>
          </cell>
          <cell r="C593" t="str">
            <v>Essex</v>
          </cell>
          <cell r="D593" t="str">
            <v>Inactive</v>
          </cell>
        </row>
        <row r="594">
          <cell r="B594" t="str">
            <v>Terrapin Beer Company</v>
          </cell>
          <cell r="C594" t="str">
            <v>Essex</v>
          </cell>
          <cell r="D594" t="str">
            <v>Inactive</v>
          </cell>
        </row>
        <row r="595">
          <cell r="B595" t="str">
            <v>Moosehead</v>
          </cell>
          <cell r="C595" t="str">
            <v>Essex</v>
          </cell>
          <cell r="D595" t="str">
            <v>Inactive</v>
          </cell>
        </row>
        <row r="596">
          <cell r="B596" t="str">
            <v>Press</v>
          </cell>
          <cell r="C596" t="str">
            <v>Essex</v>
          </cell>
          <cell r="D596" t="str">
            <v>Inactive</v>
          </cell>
        </row>
        <row r="597">
          <cell r="B597" t="str">
            <v>Dg Yuengling Inc</v>
          </cell>
          <cell r="C597" t="str">
            <v>Essex</v>
          </cell>
          <cell r="D597" t="str">
            <v>Inactive</v>
          </cell>
        </row>
        <row r="598">
          <cell r="B598" t="str">
            <v>Heineken USA</v>
          </cell>
          <cell r="C598" t="str">
            <v>Essex</v>
          </cell>
          <cell r="D598" t="str">
            <v>Inactive</v>
          </cell>
        </row>
        <row r="599">
          <cell r="B599" t="str">
            <v>Heineken Dark</v>
          </cell>
          <cell r="C599" t="str">
            <v>Essex</v>
          </cell>
          <cell r="D599" t="str">
            <v>Inactive</v>
          </cell>
        </row>
        <row r="600">
          <cell r="B600" t="str">
            <v>Heineken Light</v>
          </cell>
          <cell r="C600" t="str">
            <v>Essex</v>
          </cell>
          <cell r="D600" t="str">
            <v>Inactive</v>
          </cell>
        </row>
        <row r="601">
          <cell r="B601" t="str">
            <v>Amstel</v>
          </cell>
          <cell r="C601" t="str">
            <v>Essex</v>
          </cell>
          <cell r="D601" t="str">
            <v>Inactive</v>
          </cell>
        </row>
        <row r="602">
          <cell r="B602" t="str">
            <v>Newcastle</v>
          </cell>
          <cell r="C602" t="str">
            <v>Essex</v>
          </cell>
          <cell r="D602" t="str">
            <v>Inactive</v>
          </cell>
        </row>
        <row r="603">
          <cell r="B603" t="str">
            <v>Buckler</v>
          </cell>
          <cell r="C603" t="str">
            <v>Essex</v>
          </cell>
          <cell r="D603" t="str">
            <v>Inactive</v>
          </cell>
        </row>
        <row r="604">
          <cell r="B604" t="str">
            <v>Strongbow</v>
          </cell>
          <cell r="C604" t="str">
            <v>Essex</v>
          </cell>
          <cell r="D604" t="str">
            <v>Inactive</v>
          </cell>
        </row>
        <row r="605">
          <cell r="B605" t="str">
            <v>Murphy's</v>
          </cell>
          <cell r="C605" t="str">
            <v>Essex</v>
          </cell>
          <cell r="D605" t="str">
            <v>Inactive</v>
          </cell>
        </row>
        <row r="606">
          <cell r="B606" t="str">
            <v>Tiger</v>
          </cell>
          <cell r="C606" t="str">
            <v>Essex</v>
          </cell>
          <cell r="D606" t="str">
            <v>Inactive</v>
          </cell>
        </row>
        <row r="607">
          <cell r="B607" t="str">
            <v>Red Stripe</v>
          </cell>
          <cell r="C607" t="str">
            <v>Essex</v>
          </cell>
          <cell r="D607" t="str">
            <v>Inactive</v>
          </cell>
        </row>
        <row r="608">
          <cell r="B608" t="str">
            <v>Birra Moretti</v>
          </cell>
          <cell r="C608" t="str">
            <v>Essex</v>
          </cell>
          <cell r="D608" t="str">
            <v>Inactive</v>
          </cell>
        </row>
        <row r="609">
          <cell r="B609" t="str">
            <v>Affligem</v>
          </cell>
          <cell r="C609" t="str">
            <v>Essex</v>
          </cell>
          <cell r="D609" t="str">
            <v>Inactive</v>
          </cell>
        </row>
        <row r="610">
          <cell r="B610" t="str">
            <v>Cervezas De Mexico</v>
          </cell>
          <cell r="C610" t="str">
            <v>Essex</v>
          </cell>
          <cell r="D610" t="str">
            <v>Inactive</v>
          </cell>
        </row>
        <row r="611">
          <cell r="B611" t="str">
            <v>Tecate</v>
          </cell>
          <cell r="C611" t="str">
            <v>Essex</v>
          </cell>
          <cell r="D611" t="str">
            <v>Inactive</v>
          </cell>
        </row>
        <row r="612">
          <cell r="B612" t="str">
            <v>Bohemia</v>
          </cell>
          <cell r="C612" t="str">
            <v>Essex</v>
          </cell>
          <cell r="D612" t="str">
            <v>Inactive</v>
          </cell>
        </row>
        <row r="613">
          <cell r="B613" t="str">
            <v>Carta Blanca</v>
          </cell>
          <cell r="C613" t="str">
            <v>Essex</v>
          </cell>
          <cell r="D613" t="str">
            <v>Inactive</v>
          </cell>
        </row>
        <row r="614">
          <cell r="B614" t="str">
            <v>Tecate Light</v>
          </cell>
          <cell r="C614" t="str">
            <v>Essex</v>
          </cell>
          <cell r="D614" t="str">
            <v>Inactive</v>
          </cell>
        </row>
        <row r="615">
          <cell r="B615" t="str">
            <v>Sagres Cerveja</v>
          </cell>
          <cell r="C615" t="str">
            <v>Essex</v>
          </cell>
          <cell r="D615" t="str">
            <v>Inactive</v>
          </cell>
        </row>
        <row r="616">
          <cell r="B616" t="str">
            <v>Prestige Lager</v>
          </cell>
          <cell r="C616" t="str">
            <v>Essex</v>
          </cell>
          <cell r="D616" t="str">
            <v>Inactive</v>
          </cell>
        </row>
        <row r="617">
          <cell r="B617" t="str">
            <v>Heineken 0.0</v>
          </cell>
          <cell r="C617" t="str">
            <v>Essex</v>
          </cell>
          <cell r="D617" t="str">
            <v>Inactive</v>
          </cell>
        </row>
        <row r="618">
          <cell r="B618" t="str">
            <v>Anchor</v>
          </cell>
          <cell r="C618" t="str">
            <v>Essex</v>
          </cell>
          <cell r="D618" t="str">
            <v>Inactive</v>
          </cell>
        </row>
        <row r="619">
          <cell r="B619" t="str">
            <v>Basic</v>
          </cell>
          <cell r="C619" t="str">
            <v>Essex</v>
          </cell>
          <cell r="D619" t="str">
            <v>Inactive</v>
          </cell>
        </row>
        <row r="620">
          <cell r="B620" t="str">
            <v>Mamita's</v>
          </cell>
          <cell r="C620" t="str">
            <v>Essex</v>
          </cell>
          <cell r="D620" t="str">
            <v>Inactive</v>
          </cell>
        </row>
        <row r="621">
          <cell r="B621" t="str">
            <v>Four Loko</v>
          </cell>
          <cell r="C621" t="str">
            <v>Essex</v>
          </cell>
          <cell r="D621" t="str">
            <v>Inactive</v>
          </cell>
        </row>
        <row r="622">
          <cell r="B622" t="str">
            <v>Earthquake</v>
          </cell>
          <cell r="C622" t="str">
            <v>Essex</v>
          </cell>
          <cell r="D622" t="str">
            <v>Inactive</v>
          </cell>
        </row>
        <row r="623">
          <cell r="B623" t="str">
            <v>Moskato</v>
          </cell>
          <cell r="C623" t="str">
            <v>Essex</v>
          </cell>
          <cell r="D623" t="str">
            <v>Inactive</v>
          </cell>
        </row>
        <row r="624">
          <cell r="B624" t="str">
            <v>Signture Cockt</v>
          </cell>
          <cell r="C624" t="str">
            <v>Essex</v>
          </cell>
          <cell r="D624" t="str">
            <v>Inactive</v>
          </cell>
        </row>
        <row r="625">
          <cell r="B625" t="str">
            <v>Bartender Series</v>
          </cell>
          <cell r="C625" t="str">
            <v>Essex</v>
          </cell>
          <cell r="D625" t="str">
            <v>Inactive</v>
          </cell>
        </row>
        <row r="626">
          <cell r="B626" t="str">
            <v>John Daly</v>
          </cell>
          <cell r="C626" t="str">
            <v>Essex</v>
          </cell>
          <cell r="D626" t="str">
            <v>Inactive</v>
          </cell>
        </row>
        <row r="627">
          <cell r="B627" t="str">
            <v>Hard Fresco</v>
          </cell>
          <cell r="C627" t="str">
            <v>Essex</v>
          </cell>
          <cell r="D627" t="str">
            <v>Inactive</v>
          </cell>
        </row>
        <row r="628">
          <cell r="B628" t="str">
            <v>Hop Valley</v>
          </cell>
          <cell r="C628" t="str">
            <v>Morris 2</v>
          </cell>
          <cell r="D628" t="str">
            <v>Inactive</v>
          </cell>
        </row>
        <row r="629">
          <cell r="B629" t="str">
            <v>Hop Valley</v>
          </cell>
          <cell r="C629" t="str">
            <v>Hudson</v>
          </cell>
          <cell r="D629" t="str">
            <v>Inactive</v>
          </cell>
        </row>
        <row r="630">
          <cell r="B630" t="str">
            <v>Hop Valley</v>
          </cell>
          <cell r="C630" t="str">
            <v>Union</v>
          </cell>
          <cell r="D630" t="str">
            <v>Inactive</v>
          </cell>
        </row>
        <row r="631">
          <cell r="B631" t="str">
            <v>Hop Valley</v>
          </cell>
          <cell r="C631" t="str">
            <v>Essex</v>
          </cell>
          <cell r="D631" t="str">
            <v>Inactive</v>
          </cell>
        </row>
        <row r="632">
          <cell r="B632" t="str">
            <v>Proof Point</v>
          </cell>
          <cell r="C632" t="str">
            <v>Morris 2</v>
          </cell>
          <cell r="D632" t="str">
            <v>Inactive</v>
          </cell>
        </row>
        <row r="633">
          <cell r="B633" t="str">
            <v>Proof Point</v>
          </cell>
          <cell r="C633" t="str">
            <v>Hudson</v>
          </cell>
          <cell r="D633" t="str">
            <v>Inactive</v>
          </cell>
        </row>
        <row r="634">
          <cell r="B634" t="str">
            <v>Proof Point</v>
          </cell>
          <cell r="C634" t="str">
            <v>Union</v>
          </cell>
          <cell r="D634" t="str">
            <v>Inactive</v>
          </cell>
        </row>
        <row r="635">
          <cell r="B635" t="str">
            <v>Proof Point</v>
          </cell>
          <cell r="C635" t="str">
            <v>Essex</v>
          </cell>
          <cell r="D635" t="str">
            <v>Inactive</v>
          </cell>
        </row>
        <row r="636">
          <cell r="B636" t="str">
            <v>Sparkling Ice</v>
          </cell>
          <cell r="C636" t="str">
            <v>Essex</v>
          </cell>
          <cell r="D636" t="str">
            <v>Inactive</v>
          </cell>
        </row>
        <row r="637">
          <cell r="B637" t="str">
            <v>Rodia</v>
          </cell>
          <cell r="C637" t="str">
            <v>Morris 2</v>
          </cell>
          <cell r="D637" t="str">
            <v>Inactive</v>
          </cell>
        </row>
        <row r="638">
          <cell r="B638" t="str">
            <v>Rodia</v>
          </cell>
          <cell r="C638" t="str">
            <v>Hudson</v>
          </cell>
          <cell r="D638" t="str">
            <v>Inactive</v>
          </cell>
        </row>
        <row r="639">
          <cell r="B639" t="str">
            <v>Rodia</v>
          </cell>
          <cell r="C639" t="str">
            <v>Union</v>
          </cell>
          <cell r="D639" t="str">
            <v>Inactive</v>
          </cell>
        </row>
        <row r="640">
          <cell r="B640" t="str">
            <v>Rodia</v>
          </cell>
          <cell r="C640" t="str">
            <v>Essex</v>
          </cell>
          <cell r="D640" t="str">
            <v>Inactive</v>
          </cell>
        </row>
        <row r="641">
          <cell r="B641" t="str">
            <v>Southern Tier</v>
          </cell>
          <cell r="C641" t="str">
            <v>Morris 1</v>
          </cell>
          <cell r="D641" t="str">
            <v>Inactive</v>
          </cell>
        </row>
        <row r="642">
          <cell r="B642" t="str">
            <v>Southern Tier Distilling</v>
          </cell>
          <cell r="C642" t="str">
            <v>Morris 1</v>
          </cell>
          <cell r="D642" t="str">
            <v>Inactive</v>
          </cell>
        </row>
        <row r="643">
          <cell r="B643" t="str">
            <v>Southern Tier Distilling</v>
          </cell>
          <cell r="C643" t="str">
            <v>Morris 2</v>
          </cell>
          <cell r="D643" t="str">
            <v>Inactive</v>
          </cell>
        </row>
        <row r="644">
          <cell r="B644" t="str">
            <v>Southern Tier Distilling</v>
          </cell>
          <cell r="C644" t="str">
            <v>Morris 3</v>
          </cell>
          <cell r="D644" t="str">
            <v>Inactive</v>
          </cell>
        </row>
        <row r="645">
          <cell r="B645" t="str">
            <v>Southern Tier Distilling</v>
          </cell>
          <cell r="C645" t="str">
            <v>Union</v>
          </cell>
          <cell r="D645" t="str">
            <v>Inactive</v>
          </cell>
        </row>
        <row r="646">
          <cell r="B646" t="str">
            <v>Southern Tier Distilling</v>
          </cell>
          <cell r="C646" t="str">
            <v>Sussex</v>
          </cell>
          <cell r="D646" t="str">
            <v>Inactive</v>
          </cell>
        </row>
        <row r="647">
          <cell r="B647" t="str">
            <v>Mike's Hard Seltzer</v>
          </cell>
          <cell r="C647" t="str">
            <v>Morris 2</v>
          </cell>
          <cell r="D647" t="str">
            <v>Inactive</v>
          </cell>
        </row>
        <row r="648">
          <cell r="B648" t="str">
            <v>Mike's Hard Seltzer</v>
          </cell>
          <cell r="C648" t="str">
            <v>Union</v>
          </cell>
          <cell r="D648" t="str">
            <v>Inactive</v>
          </cell>
        </row>
        <row r="649">
          <cell r="B649" t="str">
            <v>Mike's Hard Seltzer</v>
          </cell>
          <cell r="C649" t="str">
            <v>Essex</v>
          </cell>
          <cell r="D649" t="str">
            <v>Inactive</v>
          </cell>
        </row>
        <row r="650">
          <cell r="B650" t="str">
            <v>Sauza</v>
          </cell>
          <cell r="C650" t="str">
            <v>Morris 2</v>
          </cell>
          <cell r="D650" t="str">
            <v>Inactive</v>
          </cell>
        </row>
        <row r="651">
          <cell r="B651" t="str">
            <v>Sauza</v>
          </cell>
          <cell r="C651" t="str">
            <v>Hudson</v>
          </cell>
          <cell r="D651" t="str">
            <v>Inactive</v>
          </cell>
        </row>
        <row r="652">
          <cell r="B652" t="str">
            <v>Sauza</v>
          </cell>
          <cell r="C652" t="str">
            <v>Union</v>
          </cell>
          <cell r="D652" t="str">
            <v>Inactive</v>
          </cell>
        </row>
        <row r="653">
          <cell r="B653" t="str">
            <v>Sauza</v>
          </cell>
          <cell r="C653" t="str">
            <v>Essex</v>
          </cell>
          <cell r="D653" t="str">
            <v>Inactive</v>
          </cell>
        </row>
        <row r="654">
          <cell r="B654" t="str">
            <v>Veryvell</v>
          </cell>
          <cell r="C654" t="str">
            <v>Morris 2</v>
          </cell>
          <cell r="D654" t="str">
            <v>Inactive</v>
          </cell>
        </row>
        <row r="655">
          <cell r="B655" t="str">
            <v>Veryvell</v>
          </cell>
          <cell r="C655" t="str">
            <v>Hudson</v>
          </cell>
          <cell r="D655" t="str">
            <v>Inactive</v>
          </cell>
        </row>
        <row r="656">
          <cell r="B656" t="str">
            <v>Veryvell</v>
          </cell>
          <cell r="C656" t="str">
            <v>Union</v>
          </cell>
          <cell r="D656" t="str">
            <v>Inactive</v>
          </cell>
        </row>
        <row r="657">
          <cell r="B657" t="str">
            <v>Veryvell</v>
          </cell>
          <cell r="C657" t="str">
            <v>Essex</v>
          </cell>
          <cell r="D657" t="str">
            <v>Inactive</v>
          </cell>
        </row>
        <row r="658">
          <cell r="B658" t="str">
            <v>Pirate Water</v>
          </cell>
          <cell r="C658" t="str">
            <v>Morris 2</v>
          </cell>
          <cell r="D658" t="str">
            <v>Inactive</v>
          </cell>
        </row>
        <row r="659">
          <cell r="B659" t="str">
            <v>Pirate Water</v>
          </cell>
          <cell r="C659" t="str">
            <v>Union</v>
          </cell>
          <cell r="D659" t="str">
            <v>Inactive</v>
          </cell>
        </row>
        <row r="660">
          <cell r="B660" t="str">
            <v>Pirate Water</v>
          </cell>
          <cell r="C660" t="str">
            <v>Essex</v>
          </cell>
          <cell r="D660" t="str">
            <v>Inactive</v>
          </cell>
        </row>
        <row r="661">
          <cell r="B661" t="str">
            <v>Rekorderlig</v>
          </cell>
          <cell r="C661" t="str">
            <v>Sussex</v>
          </cell>
          <cell r="D661" t="str">
            <v>Inactive</v>
          </cell>
        </row>
        <row r="662">
          <cell r="B662" t="str">
            <v>Rekorderlig</v>
          </cell>
          <cell r="C662" t="str">
            <v>Union</v>
          </cell>
          <cell r="D662" t="str">
            <v>Inactive</v>
          </cell>
        </row>
        <row r="663">
          <cell r="B663" t="str">
            <v>Rekorderlig</v>
          </cell>
          <cell r="C663" t="str">
            <v>Morris 2</v>
          </cell>
          <cell r="D663" t="str">
            <v>Inactive</v>
          </cell>
        </row>
        <row r="664">
          <cell r="B664" t="str">
            <v>Rekorderlig</v>
          </cell>
          <cell r="C664" t="str">
            <v>Morris 3</v>
          </cell>
          <cell r="D664" t="str">
            <v>Inactive</v>
          </cell>
        </row>
        <row r="665">
          <cell r="B665" t="str">
            <v>Cape May</v>
          </cell>
          <cell r="C665" t="str">
            <v>Essex</v>
          </cell>
          <cell r="D665" t="str">
            <v>Inactive</v>
          </cell>
        </row>
        <row r="666">
          <cell r="B666" t="str">
            <v>Cape May</v>
          </cell>
          <cell r="C666" t="str">
            <v>Hudson</v>
          </cell>
          <cell r="D666" t="str">
            <v>Inactive</v>
          </cell>
        </row>
        <row r="667">
          <cell r="B667" t="str">
            <v>Cape May</v>
          </cell>
          <cell r="C667" t="str">
            <v>Union</v>
          </cell>
          <cell r="D667" t="str">
            <v>Inactive</v>
          </cell>
        </row>
        <row r="668">
          <cell r="B668" t="str">
            <v>Cape May</v>
          </cell>
          <cell r="C668" t="str">
            <v>Morris 2</v>
          </cell>
          <cell r="D668" t="str">
            <v>Inactive</v>
          </cell>
        </row>
        <row r="669">
          <cell r="B669" t="str">
            <v>BJ'S Private Label Brewa</v>
          </cell>
          <cell r="C669" t="str">
            <v>Essex</v>
          </cell>
          <cell r="D669" t="str">
            <v>Inactive</v>
          </cell>
        </row>
        <row r="670">
          <cell r="B670" t="str">
            <v>BJ'S Private Label Brewa</v>
          </cell>
          <cell r="C670" t="str">
            <v>Hudson</v>
          </cell>
          <cell r="D670" t="str">
            <v>Inactive</v>
          </cell>
        </row>
        <row r="671">
          <cell r="B671" t="str">
            <v>BJ'S Private Label Brewa</v>
          </cell>
          <cell r="C671" t="str">
            <v>Union</v>
          </cell>
          <cell r="D671" t="str">
            <v>Inactive</v>
          </cell>
        </row>
        <row r="672">
          <cell r="B672" t="str">
            <v>BJ'S Private Label Brewa</v>
          </cell>
          <cell r="C672" t="str">
            <v>Morris 2</v>
          </cell>
          <cell r="D672" t="str">
            <v>Inactive</v>
          </cell>
        </row>
        <row r="673">
          <cell r="B673" t="str">
            <v>Lagunitas Brewing Co</v>
          </cell>
          <cell r="C673" t="str">
            <v>Essex</v>
          </cell>
          <cell r="D673" t="str">
            <v>Inactive</v>
          </cell>
        </row>
        <row r="674">
          <cell r="B674" t="str">
            <v>Lagunitas Brewing Co</v>
          </cell>
          <cell r="C674" t="str">
            <v>Hudson</v>
          </cell>
          <cell r="D674" t="str">
            <v>Inactive</v>
          </cell>
        </row>
        <row r="675">
          <cell r="B675" t="str">
            <v>Lagunitas Brewing Co</v>
          </cell>
          <cell r="C675" t="str">
            <v>Sussex</v>
          </cell>
          <cell r="D675" t="str">
            <v>Inactive</v>
          </cell>
        </row>
        <row r="676">
          <cell r="B676" t="str">
            <v>Lagunitas Brewing Co</v>
          </cell>
          <cell r="C676" t="str">
            <v>Union</v>
          </cell>
          <cell r="D676" t="str">
            <v>Inactive</v>
          </cell>
        </row>
        <row r="677">
          <cell r="B677" t="str">
            <v>Lagunitas Brewing Co</v>
          </cell>
          <cell r="C677" t="str">
            <v>Morris 1</v>
          </cell>
          <cell r="D677" t="str">
            <v>Inactive</v>
          </cell>
        </row>
        <row r="678">
          <cell r="B678" t="str">
            <v>Lagunitas Brewing Co</v>
          </cell>
          <cell r="C678" t="str">
            <v>Morris 2</v>
          </cell>
          <cell r="D678" t="str">
            <v>Inactive</v>
          </cell>
        </row>
        <row r="679">
          <cell r="B679" t="str">
            <v>Stone Brewing</v>
          </cell>
          <cell r="C679" t="str">
            <v>Sussex</v>
          </cell>
          <cell r="D679" t="str">
            <v>Inactive</v>
          </cell>
        </row>
        <row r="680">
          <cell r="B680" t="str">
            <v>Stone Brewing</v>
          </cell>
          <cell r="C680" t="str">
            <v>Union</v>
          </cell>
          <cell r="D680" t="str">
            <v>Inactive</v>
          </cell>
        </row>
        <row r="681">
          <cell r="B681" t="str">
            <v>Stone Brewing</v>
          </cell>
          <cell r="C681" t="str">
            <v>Morris 1</v>
          </cell>
          <cell r="D681" t="str">
            <v>Inactive</v>
          </cell>
        </row>
        <row r="682">
          <cell r="B682" t="str">
            <v>Stone Brewing</v>
          </cell>
          <cell r="C682" t="str">
            <v>Morris 2</v>
          </cell>
          <cell r="D682" t="str">
            <v>Inactive</v>
          </cell>
        </row>
        <row r="683">
          <cell r="B683" t="str">
            <v>Stone Brewing</v>
          </cell>
          <cell r="C683" t="str">
            <v>Morris 3</v>
          </cell>
          <cell r="D683" t="str">
            <v>Inactive</v>
          </cell>
        </row>
        <row r="684">
          <cell r="B684" t="str">
            <v>Sixpoint</v>
          </cell>
          <cell r="C684" t="str">
            <v>Morris 1</v>
          </cell>
          <cell r="D684" t="str">
            <v>Inactive</v>
          </cell>
        </row>
        <row r="685">
          <cell r="B685" t="str">
            <v>Sixpoint</v>
          </cell>
          <cell r="C685" t="str">
            <v>Morris 2</v>
          </cell>
          <cell r="D685" t="str">
            <v>Inactive</v>
          </cell>
        </row>
        <row r="686">
          <cell r="B686" t="str">
            <v>Sixpoint</v>
          </cell>
          <cell r="C686" t="str">
            <v>Morris 3</v>
          </cell>
          <cell r="D686" t="str">
            <v>Inactive</v>
          </cell>
        </row>
        <row r="687">
          <cell r="B687" t="str">
            <v>Sixpoint</v>
          </cell>
          <cell r="C687" t="str">
            <v>Union</v>
          </cell>
          <cell r="D687" t="str">
            <v>Inactive</v>
          </cell>
        </row>
        <row r="688">
          <cell r="B688" t="str">
            <v>Sixpoint</v>
          </cell>
          <cell r="C688" t="str">
            <v>Sussex</v>
          </cell>
          <cell r="D688" t="str">
            <v>Inactive</v>
          </cell>
        </row>
        <row r="689">
          <cell r="B689" t="str">
            <v>Victory</v>
          </cell>
          <cell r="C689" t="str">
            <v>Morris 1</v>
          </cell>
          <cell r="D689" t="str">
            <v>Inactive</v>
          </cell>
        </row>
        <row r="690">
          <cell r="B690" t="str">
            <v>Modelo Aquas Frescas</v>
          </cell>
          <cell r="C690" t="str">
            <v>Morris 2</v>
          </cell>
          <cell r="D690" t="str">
            <v>Inactive</v>
          </cell>
        </row>
        <row r="691">
          <cell r="B691" t="str">
            <v>Modelo Aquas Frescas</v>
          </cell>
          <cell r="C691" t="str">
            <v>Hudson</v>
          </cell>
          <cell r="D691" t="str">
            <v>Inactive</v>
          </cell>
        </row>
        <row r="692">
          <cell r="B692" t="str">
            <v>Modelo Aquas Frescas</v>
          </cell>
          <cell r="C692" t="str">
            <v>Union</v>
          </cell>
          <cell r="D692" t="str">
            <v>Inactive</v>
          </cell>
        </row>
        <row r="693">
          <cell r="B693" t="str">
            <v>Modelo Aquas Frescas</v>
          </cell>
          <cell r="C693" t="str">
            <v>Essex</v>
          </cell>
          <cell r="D693" t="str">
            <v>Inactive</v>
          </cell>
        </row>
        <row r="694">
          <cell r="B694" t="str">
            <v>Ithaca</v>
          </cell>
          <cell r="C694" t="str">
            <v>Sussex</v>
          </cell>
          <cell r="D694" t="str">
            <v>Inactive</v>
          </cell>
        </row>
        <row r="695">
          <cell r="B695" t="str">
            <v>Flying Fish</v>
          </cell>
          <cell r="C695" t="str">
            <v>Morris 1</v>
          </cell>
          <cell r="D695" t="str">
            <v>Inactive</v>
          </cell>
        </row>
        <row r="696">
          <cell r="B696" t="str">
            <v>Flying Fish</v>
          </cell>
          <cell r="C696" t="str">
            <v>Passaic-FF</v>
          </cell>
          <cell r="D696" t="str">
            <v>Inactive</v>
          </cell>
        </row>
        <row r="697">
          <cell r="B697" t="str">
            <v>White Claw</v>
          </cell>
          <cell r="C697" t="str">
            <v>Hudson</v>
          </cell>
          <cell r="D697" t="str">
            <v>Inactive</v>
          </cell>
        </row>
        <row r="698">
          <cell r="B698" t="str">
            <v>Hard Mountain Dew</v>
          </cell>
          <cell r="C698" t="str">
            <v>Essex</v>
          </cell>
          <cell r="D698" t="str">
            <v>Inactive</v>
          </cell>
        </row>
        <row r="699">
          <cell r="B699" t="str">
            <v>Hard Mountain Dew</v>
          </cell>
          <cell r="C699" t="str">
            <v>Hudson</v>
          </cell>
          <cell r="D699" t="str">
            <v>Inactive</v>
          </cell>
        </row>
        <row r="700">
          <cell r="B700" t="str">
            <v>Hard Mountain Dew</v>
          </cell>
          <cell r="C700" t="str">
            <v>Union</v>
          </cell>
          <cell r="D700" t="str">
            <v>Inactive</v>
          </cell>
        </row>
        <row r="701">
          <cell r="B701" t="str">
            <v>Hard Mountain Dew</v>
          </cell>
          <cell r="C701" t="str">
            <v>Morris 2</v>
          </cell>
          <cell r="D701" t="str">
            <v>Inactive</v>
          </cell>
        </row>
        <row r="702">
          <cell r="B702" t="str">
            <v>Bardstown Bourbon</v>
          </cell>
          <cell r="C702" t="str">
            <v>Morris 2</v>
          </cell>
          <cell r="D702" t="str">
            <v>Inactive</v>
          </cell>
        </row>
        <row r="703">
          <cell r="B703" t="str">
            <v>Bardstown Bourbon</v>
          </cell>
          <cell r="C703" t="str">
            <v>Hudson</v>
          </cell>
          <cell r="D703" t="str">
            <v>Inactive</v>
          </cell>
        </row>
        <row r="704">
          <cell r="B704" t="str">
            <v>Bardstown Bourbon</v>
          </cell>
          <cell r="C704" t="str">
            <v>Union</v>
          </cell>
          <cell r="D704" t="str">
            <v>Inactive</v>
          </cell>
        </row>
        <row r="705">
          <cell r="B705" t="str">
            <v>Bardstown Bourbon</v>
          </cell>
          <cell r="C705" t="str">
            <v>Essex</v>
          </cell>
          <cell r="D705" t="str">
            <v>Inactive</v>
          </cell>
        </row>
        <row r="706">
          <cell r="B706" t="str">
            <v>Garage Beer</v>
          </cell>
          <cell r="C706" t="str">
            <v>Middlesex County</v>
          </cell>
          <cell r="D706" t="str">
            <v>Inactive</v>
          </cell>
        </row>
        <row r="707">
          <cell r="B707" t="str">
            <v>Athletic</v>
          </cell>
          <cell r="C707" t="str">
            <v>Morris 2</v>
          </cell>
          <cell r="D707" t="str">
            <v>Inactive</v>
          </cell>
        </row>
        <row r="708">
          <cell r="B708" t="str">
            <v>Athletic</v>
          </cell>
          <cell r="C708" t="str">
            <v>Hudson</v>
          </cell>
          <cell r="D708" t="str">
            <v>Inactive</v>
          </cell>
        </row>
        <row r="709">
          <cell r="B709" t="str">
            <v>Athletic</v>
          </cell>
          <cell r="C709" t="str">
            <v>Union</v>
          </cell>
          <cell r="D709" t="str">
            <v>Inactive</v>
          </cell>
        </row>
        <row r="710">
          <cell r="B710" t="str">
            <v>Athletic</v>
          </cell>
          <cell r="C710" t="str">
            <v>Essex</v>
          </cell>
          <cell r="D710" t="str">
            <v>Inactive</v>
          </cell>
        </row>
        <row r="711">
          <cell r="B711" t="str">
            <v>HOP WTR</v>
          </cell>
          <cell r="C711" t="str">
            <v>Morris 2</v>
          </cell>
          <cell r="D711" t="str">
            <v>Inactive</v>
          </cell>
        </row>
        <row r="712">
          <cell r="B712" t="str">
            <v>HOP WTR</v>
          </cell>
          <cell r="C712" t="str">
            <v>Hudson</v>
          </cell>
          <cell r="D712" t="str">
            <v>Inactive</v>
          </cell>
        </row>
        <row r="713">
          <cell r="B713" t="str">
            <v>HOP WTR</v>
          </cell>
          <cell r="C713" t="str">
            <v>Union</v>
          </cell>
          <cell r="D713" t="str">
            <v>Inactive</v>
          </cell>
        </row>
        <row r="714">
          <cell r="B714" t="str">
            <v>HOP WTR</v>
          </cell>
          <cell r="C714" t="str">
            <v>Essex</v>
          </cell>
          <cell r="D714" t="str">
            <v>Inactive</v>
          </cell>
        </row>
        <row r="715">
          <cell r="B715" t="str">
            <v>Corona NA</v>
          </cell>
          <cell r="C715" t="str">
            <v>Morris 2</v>
          </cell>
          <cell r="D715" t="str">
            <v>Inactive</v>
          </cell>
        </row>
        <row r="716">
          <cell r="B716" t="str">
            <v>Corona NA</v>
          </cell>
          <cell r="C716" t="str">
            <v>Hudson</v>
          </cell>
          <cell r="D716" t="str">
            <v>Inactive</v>
          </cell>
        </row>
        <row r="717">
          <cell r="B717" t="str">
            <v>Corona NA</v>
          </cell>
          <cell r="C717" t="str">
            <v>Union</v>
          </cell>
          <cell r="D717" t="str">
            <v>Inactive</v>
          </cell>
        </row>
        <row r="718">
          <cell r="B718" t="str">
            <v>Corona NA</v>
          </cell>
          <cell r="C718" t="str">
            <v>Essex</v>
          </cell>
          <cell r="D718" t="str">
            <v>Inactive</v>
          </cell>
        </row>
        <row r="719">
          <cell r="B719" t="str">
            <v>Lagunitas</v>
          </cell>
          <cell r="C719" t="str">
            <v>Morris 2</v>
          </cell>
          <cell r="D719" t="str">
            <v>Inactive</v>
          </cell>
        </row>
        <row r="720">
          <cell r="B720" t="str">
            <v>Lagunitas</v>
          </cell>
          <cell r="C720" t="str">
            <v>Morris 1</v>
          </cell>
          <cell r="D720" t="str">
            <v>Inactive</v>
          </cell>
        </row>
        <row r="721">
          <cell r="B721" t="str">
            <v>Lagunitas</v>
          </cell>
          <cell r="C721" t="str">
            <v>Sussex</v>
          </cell>
          <cell r="D721" t="str">
            <v>Inactive</v>
          </cell>
        </row>
        <row r="722">
          <cell r="B722" t="str">
            <v>Lagunitas</v>
          </cell>
          <cell r="C722" t="str">
            <v>Hudson</v>
          </cell>
          <cell r="D722" t="str">
            <v>Inactive</v>
          </cell>
        </row>
        <row r="723">
          <cell r="B723" t="str">
            <v>Lagunitas</v>
          </cell>
          <cell r="C723" t="str">
            <v>Union</v>
          </cell>
          <cell r="D723" t="str">
            <v>Inactive</v>
          </cell>
        </row>
        <row r="724">
          <cell r="B724" t="str">
            <v>Lagunitas</v>
          </cell>
          <cell r="C724" t="str">
            <v>Essex</v>
          </cell>
          <cell r="D724" t="str">
            <v>Inactive</v>
          </cell>
        </row>
        <row r="725">
          <cell r="B725" t="str">
            <v>Lagunitas NA</v>
          </cell>
          <cell r="C725" t="str">
            <v>Morris 2</v>
          </cell>
          <cell r="D725" t="str">
            <v>Inactive</v>
          </cell>
        </row>
        <row r="726">
          <cell r="B726" t="str">
            <v>Lagunitas NA</v>
          </cell>
          <cell r="C726" t="str">
            <v>Morris 1</v>
          </cell>
          <cell r="D726" t="str">
            <v>Inactive</v>
          </cell>
        </row>
        <row r="727">
          <cell r="B727" t="str">
            <v>Lagunitas NA</v>
          </cell>
          <cell r="C727" t="str">
            <v>Sussex</v>
          </cell>
          <cell r="D727" t="str">
            <v>Inactive</v>
          </cell>
        </row>
        <row r="728">
          <cell r="B728" t="str">
            <v>Lagunitas NA</v>
          </cell>
          <cell r="C728" t="str">
            <v>Hudson</v>
          </cell>
          <cell r="D728" t="str">
            <v>Inactive</v>
          </cell>
        </row>
        <row r="729">
          <cell r="B729" t="str">
            <v>Lagunitas NA</v>
          </cell>
          <cell r="C729" t="str">
            <v>Union</v>
          </cell>
          <cell r="D729" t="str">
            <v>Inactive</v>
          </cell>
        </row>
        <row r="730">
          <cell r="B730" t="str">
            <v>Lagunitas NA</v>
          </cell>
          <cell r="C730" t="str">
            <v>Essex</v>
          </cell>
          <cell r="D730" t="str">
            <v>Inactive</v>
          </cell>
        </row>
        <row r="731">
          <cell r="B731" t="str">
            <v>Dad Grass</v>
          </cell>
          <cell r="C731" t="str">
            <v>Morris 2</v>
          </cell>
          <cell r="D731" t="str">
            <v>Inactive</v>
          </cell>
        </row>
        <row r="732">
          <cell r="B732" t="str">
            <v>Dad Grass</v>
          </cell>
          <cell r="C732" t="str">
            <v>Hudson</v>
          </cell>
          <cell r="D732" t="str">
            <v>Inactive</v>
          </cell>
        </row>
        <row r="733">
          <cell r="B733" t="str">
            <v>Dad Grass</v>
          </cell>
          <cell r="C733" t="str">
            <v>Union</v>
          </cell>
          <cell r="D733" t="str">
            <v>Inactive</v>
          </cell>
        </row>
        <row r="734">
          <cell r="B734" t="str">
            <v>Dad Grass</v>
          </cell>
          <cell r="C734" t="str">
            <v>Essex</v>
          </cell>
          <cell r="D734" t="str">
            <v>Inactive</v>
          </cell>
        </row>
        <row r="735">
          <cell r="B735" t="str">
            <v>Happy Thursday Spiked Refresher</v>
          </cell>
          <cell r="C735" t="str">
            <v>Morris 2</v>
          </cell>
          <cell r="D735" t="str">
            <v>Inactive</v>
          </cell>
        </row>
        <row r="736">
          <cell r="B736" t="str">
            <v>Happy Thursday Spiked Refresher</v>
          </cell>
          <cell r="C736" t="str">
            <v>Hudson</v>
          </cell>
          <cell r="D736" t="str">
            <v>Inactive</v>
          </cell>
        </row>
        <row r="737">
          <cell r="B737" t="str">
            <v>Happy Thursday Spiked Refresher</v>
          </cell>
          <cell r="C737" t="str">
            <v>Essex</v>
          </cell>
          <cell r="D737" t="str">
            <v>Inactive</v>
          </cell>
        </row>
        <row r="738">
          <cell r="B738" t="str">
            <v>Happy Thursday Spiked Refresher</v>
          </cell>
          <cell r="C738" t="str">
            <v>Union</v>
          </cell>
          <cell r="D738" t="str">
            <v>Inactive</v>
          </cell>
        </row>
        <row r="739">
          <cell r="B739" t="str">
            <v>Corona Sunbrew</v>
          </cell>
          <cell r="C739" t="str">
            <v>Hudson</v>
          </cell>
          <cell r="D739" t="str">
            <v>Inactive</v>
          </cell>
        </row>
        <row r="740">
          <cell r="B740" t="str">
            <v>Corona Sunbrew</v>
          </cell>
          <cell r="C740" t="str">
            <v>Morris 2</v>
          </cell>
          <cell r="D740" t="str">
            <v>Inactive</v>
          </cell>
        </row>
        <row r="741">
          <cell r="B741" t="str">
            <v>Corona Sunbrew</v>
          </cell>
          <cell r="C741" t="str">
            <v>Essex</v>
          </cell>
          <cell r="D741" t="str">
            <v>Inactive</v>
          </cell>
        </row>
        <row r="742">
          <cell r="B742" t="str">
            <v>Corona Sunbrew</v>
          </cell>
          <cell r="C742" t="str">
            <v>Union</v>
          </cell>
          <cell r="D742" t="str">
            <v>Inactive</v>
          </cell>
        </row>
        <row r="743">
          <cell r="B743" t="str">
            <v>Dogfish Head Spirits</v>
          </cell>
          <cell r="C743" t="str">
            <v>Essex</v>
          </cell>
          <cell r="D743" t="str">
            <v>Inactive</v>
          </cell>
        </row>
        <row r="744">
          <cell r="B744" t="str">
            <v>Dogfish Head Spirits</v>
          </cell>
          <cell r="C744" t="str">
            <v>Hudson</v>
          </cell>
          <cell r="D744" t="str">
            <v>Inactive</v>
          </cell>
        </row>
        <row r="745">
          <cell r="B745" t="str">
            <v>Dogfish Head Spirits</v>
          </cell>
          <cell r="C745" t="str">
            <v>Union</v>
          </cell>
          <cell r="D745" t="str">
            <v>Inactive</v>
          </cell>
        </row>
        <row r="746">
          <cell r="B746" t="str">
            <v>Dogfish Head Spirits</v>
          </cell>
          <cell r="C746" t="str">
            <v>Morris 2</v>
          </cell>
          <cell r="D746" t="str">
            <v>Inactive</v>
          </cell>
        </row>
        <row r="747">
          <cell r="B747" t="str">
            <v>Simply Spiked</v>
          </cell>
          <cell r="C747" t="str">
            <v>Essex</v>
          </cell>
          <cell r="D747" t="str">
            <v>Inactive</v>
          </cell>
        </row>
        <row r="748">
          <cell r="B748" t="str">
            <v>Simply Spiked</v>
          </cell>
          <cell r="C748" t="str">
            <v>Hudson</v>
          </cell>
          <cell r="D748" t="str">
            <v>Inactive</v>
          </cell>
        </row>
        <row r="749">
          <cell r="B749" t="str">
            <v>Simply Spiked</v>
          </cell>
          <cell r="C749" t="str">
            <v>Union</v>
          </cell>
          <cell r="D749" t="str">
            <v>Inactive</v>
          </cell>
        </row>
        <row r="750">
          <cell r="B750" t="str">
            <v>Simply Spiked</v>
          </cell>
          <cell r="C750" t="str">
            <v>Morris 2</v>
          </cell>
          <cell r="D750" t="str">
            <v>Inactive</v>
          </cell>
        </row>
        <row r="751">
          <cell r="B751" t="str">
            <v>Bell's</v>
          </cell>
          <cell r="C751" t="str">
            <v>Essex</v>
          </cell>
          <cell r="D751" t="str">
            <v>Inactive</v>
          </cell>
        </row>
        <row r="752">
          <cell r="B752" t="str">
            <v>Bell's</v>
          </cell>
          <cell r="C752" t="str">
            <v>Union</v>
          </cell>
          <cell r="D752" t="str">
            <v>Inactive</v>
          </cell>
        </row>
        <row r="753">
          <cell r="B753" t="str">
            <v>Bell's</v>
          </cell>
          <cell r="C753" t="str">
            <v>Hudson</v>
          </cell>
          <cell r="D753" t="str">
            <v>Inactive</v>
          </cell>
        </row>
        <row r="754">
          <cell r="B754" t="str">
            <v>Bell's</v>
          </cell>
          <cell r="C754" t="str">
            <v>Morris 2</v>
          </cell>
          <cell r="D754" t="str">
            <v>Inactive</v>
          </cell>
        </row>
        <row r="755">
          <cell r="B755" t="str">
            <v>Bell's Hearted Family</v>
          </cell>
          <cell r="C755" t="str">
            <v>Essex</v>
          </cell>
          <cell r="D755" t="str">
            <v>Inactive</v>
          </cell>
        </row>
        <row r="756">
          <cell r="B756" t="str">
            <v>Bell's Hearted Family</v>
          </cell>
          <cell r="C756" t="str">
            <v>Hudson</v>
          </cell>
          <cell r="D756" t="str">
            <v>Inactive</v>
          </cell>
        </row>
        <row r="757">
          <cell r="B757" t="str">
            <v>Bell's Hearted Family</v>
          </cell>
          <cell r="C757" t="str">
            <v>Union</v>
          </cell>
          <cell r="D757" t="str">
            <v>Inactive</v>
          </cell>
        </row>
        <row r="758">
          <cell r="B758" t="str">
            <v>Bell's Hearted Family</v>
          </cell>
          <cell r="C758" t="str">
            <v>Morris 2</v>
          </cell>
          <cell r="D758" t="str">
            <v>Inactive</v>
          </cell>
        </row>
        <row r="759">
          <cell r="B759" t="str">
            <v>Bell's Seasonal</v>
          </cell>
          <cell r="C759" t="str">
            <v>Essex</v>
          </cell>
          <cell r="D759" t="str">
            <v>Inactive</v>
          </cell>
        </row>
        <row r="760">
          <cell r="B760" t="str">
            <v>Bell's Seasonal</v>
          </cell>
          <cell r="C760" t="str">
            <v>Hudson</v>
          </cell>
          <cell r="D760" t="str">
            <v>Inactive</v>
          </cell>
        </row>
        <row r="761">
          <cell r="B761" t="str">
            <v>Bell's Seasonal</v>
          </cell>
          <cell r="C761" t="str">
            <v>Union</v>
          </cell>
          <cell r="D761" t="str">
            <v>Inactive</v>
          </cell>
        </row>
        <row r="762">
          <cell r="B762" t="str">
            <v>Bell's Seasonal</v>
          </cell>
          <cell r="C762" t="str">
            <v>Morris 2</v>
          </cell>
          <cell r="D762" t="str">
            <v>Inactive</v>
          </cell>
        </row>
        <row r="763">
          <cell r="B763" t="str">
            <v>Fat Tire Family</v>
          </cell>
          <cell r="C763" t="str">
            <v>Essex</v>
          </cell>
          <cell r="D763" t="str">
            <v>Inactive</v>
          </cell>
        </row>
        <row r="764">
          <cell r="B764" t="str">
            <v>Fat Tire Family</v>
          </cell>
          <cell r="C764" t="str">
            <v>Hudson</v>
          </cell>
          <cell r="D764" t="str">
            <v>Inactive</v>
          </cell>
        </row>
        <row r="765">
          <cell r="B765" t="str">
            <v>Fat Tire Family</v>
          </cell>
          <cell r="C765" t="str">
            <v>Union</v>
          </cell>
          <cell r="D765" t="str">
            <v>Inactive</v>
          </cell>
        </row>
        <row r="766">
          <cell r="B766" t="str">
            <v>Fat Tire Family</v>
          </cell>
          <cell r="C766" t="str">
            <v>Morris 2</v>
          </cell>
          <cell r="D766" t="str">
            <v>Inactive</v>
          </cell>
        </row>
        <row r="767">
          <cell r="B767" t="str">
            <v>Voodoo Family</v>
          </cell>
          <cell r="C767" t="str">
            <v>Essex</v>
          </cell>
          <cell r="D767" t="str">
            <v>Inactive</v>
          </cell>
        </row>
        <row r="768">
          <cell r="B768" t="str">
            <v>Voodoo Family</v>
          </cell>
          <cell r="C768" t="str">
            <v>Union</v>
          </cell>
          <cell r="D768" t="str">
            <v>Inactive</v>
          </cell>
        </row>
        <row r="769">
          <cell r="B769" t="str">
            <v>Voodoo Family</v>
          </cell>
          <cell r="C769" t="str">
            <v>Hudson</v>
          </cell>
          <cell r="D769" t="str">
            <v>Inactive</v>
          </cell>
        </row>
        <row r="770">
          <cell r="B770" t="str">
            <v>Voodoo Family</v>
          </cell>
          <cell r="C770" t="str">
            <v>Morris 2</v>
          </cell>
          <cell r="D770" t="str">
            <v>Inactive</v>
          </cell>
        </row>
        <row r="771">
          <cell r="B771" t="str">
            <v>Del's Shandy</v>
          </cell>
          <cell r="C771" t="str">
            <v>Essex</v>
          </cell>
          <cell r="D771" t="str">
            <v>Inactive</v>
          </cell>
        </row>
        <row r="772">
          <cell r="B772" t="str">
            <v>Del's Shandy</v>
          </cell>
          <cell r="C772" t="str">
            <v>Hudson</v>
          </cell>
          <cell r="D772" t="str">
            <v>Inactive</v>
          </cell>
        </row>
        <row r="773">
          <cell r="B773" t="str">
            <v>Del's Shandy</v>
          </cell>
          <cell r="C773" t="str">
            <v>Union</v>
          </cell>
          <cell r="D773" t="str">
            <v>Inactive</v>
          </cell>
        </row>
        <row r="774">
          <cell r="B774" t="str">
            <v>Del's Shandy</v>
          </cell>
          <cell r="C774" t="str">
            <v>Morris 2</v>
          </cell>
          <cell r="D774" t="str">
            <v>Inactive</v>
          </cell>
        </row>
        <row r="775">
          <cell r="B775" t="str">
            <v>Monkey Family</v>
          </cell>
          <cell r="C775" t="str">
            <v>Sussex</v>
          </cell>
          <cell r="D775" t="str">
            <v>Inactive</v>
          </cell>
        </row>
        <row r="776">
          <cell r="B776" t="str">
            <v>Monkey Family</v>
          </cell>
          <cell r="C776" t="str">
            <v>Union</v>
          </cell>
          <cell r="D776" t="str">
            <v>Inactive</v>
          </cell>
        </row>
        <row r="777">
          <cell r="B777" t="str">
            <v>Monkey Family</v>
          </cell>
          <cell r="C777" t="str">
            <v>Morris 2</v>
          </cell>
          <cell r="D777" t="str">
            <v>Inactive</v>
          </cell>
        </row>
        <row r="778">
          <cell r="B778" t="str">
            <v>Monkey Family</v>
          </cell>
          <cell r="C778" t="str">
            <v>Morris 3</v>
          </cell>
          <cell r="D778" t="str">
            <v>Inactive</v>
          </cell>
        </row>
        <row r="779">
          <cell r="B779" t="str">
            <v>Modelo Oro</v>
          </cell>
          <cell r="C779" t="str">
            <v>Essex</v>
          </cell>
          <cell r="D779" t="str">
            <v>Inactive</v>
          </cell>
        </row>
        <row r="780">
          <cell r="B780" t="str">
            <v>Modelo Oro</v>
          </cell>
          <cell r="C780" t="str">
            <v>Hudson</v>
          </cell>
          <cell r="D780" t="str">
            <v>Inactive</v>
          </cell>
        </row>
        <row r="781">
          <cell r="B781" t="str">
            <v>Modelo Oro</v>
          </cell>
          <cell r="C781" t="str">
            <v>Union</v>
          </cell>
          <cell r="D781" t="str">
            <v>Inactive</v>
          </cell>
        </row>
        <row r="782">
          <cell r="B782" t="str">
            <v>Modelo Oro</v>
          </cell>
          <cell r="C782" t="str">
            <v>Morris 2</v>
          </cell>
          <cell r="D782" t="str">
            <v>Inactive</v>
          </cell>
        </row>
        <row r="783">
          <cell r="B783" t="str">
            <v>Dos Equis</v>
          </cell>
          <cell r="C783" t="str">
            <v>Essex</v>
          </cell>
          <cell r="D783" t="str">
            <v>Inactive</v>
          </cell>
        </row>
        <row r="784">
          <cell r="B784" t="str">
            <v>Dos Equis</v>
          </cell>
          <cell r="C784" t="str">
            <v>Hudson</v>
          </cell>
          <cell r="D784" t="str">
            <v>Inactive</v>
          </cell>
        </row>
        <row r="785">
          <cell r="B785" t="str">
            <v>Dos Equis</v>
          </cell>
          <cell r="C785" t="str">
            <v>Sussex</v>
          </cell>
          <cell r="D785" t="str">
            <v>Inactive</v>
          </cell>
        </row>
        <row r="786">
          <cell r="B786" t="str">
            <v>Dos Equis</v>
          </cell>
          <cell r="C786" t="str">
            <v>Union</v>
          </cell>
          <cell r="D786" t="str">
            <v>Inactive</v>
          </cell>
        </row>
        <row r="787">
          <cell r="B787" t="str">
            <v>Dos Equis</v>
          </cell>
          <cell r="C787" t="str">
            <v>Morris 1</v>
          </cell>
          <cell r="D787" t="str">
            <v>Inactive</v>
          </cell>
        </row>
        <row r="788">
          <cell r="B788" t="str">
            <v>Dos Equis</v>
          </cell>
          <cell r="C788" t="str">
            <v>Morris 2</v>
          </cell>
          <cell r="D788" t="str">
            <v>Inactive</v>
          </cell>
        </row>
        <row r="789">
          <cell r="B789" t="str">
            <v>Fresca Mixed</v>
          </cell>
          <cell r="C789" t="str">
            <v>Essex</v>
          </cell>
          <cell r="D789" t="str">
            <v>Inactive</v>
          </cell>
        </row>
        <row r="790">
          <cell r="B790" t="str">
            <v>Fresca Mixed</v>
          </cell>
          <cell r="C790" t="str">
            <v>Hudson</v>
          </cell>
          <cell r="D790" t="str">
            <v>Inactive</v>
          </cell>
        </row>
        <row r="791">
          <cell r="B791" t="str">
            <v>Fresca Mixed</v>
          </cell>
          <cell r="C791" t="str">
            <v>Union</v>
          </cell>
          <cell r="D791" t="str">
            <v>Inactive</v>
          </cell>
        </row>
        <row r="792">
          <cell r="B792" t="str">
            <v>Fresca Mixed</v>
          </cell>
          <cell r="C792" t="str">
            <v>Morris 2</v>
          </cell>
          <cell r="D792" t="str">
            <v>Inactive</v>
          </cell>
        </row>
        <row r="793">
          <cell r="B793" t="str">
            <v>Yuengling Black &amp; Tan</v>
          </cell>
          <cell r="C793" t="str">
            <v>Morris 2</v>
          </cell>
          <cell r="D793" t="str">
            <v>Inactive</v>
          </cell>
        </row>
        <row r="794">
          <cell r="B794" t="str">
            <v>Yuengling Black &amp; Tan</v>
          </cell>
          <cell r="C794" t="str">
            <v>Hudson</v>
          </cell>
          <cell r="D794" t="str">
            <v>Inactive</v>
          </cell>
        </row>
        <row r="795">
          <cell r="B795" t="str">
            <v>Yuengling Black &amp; Tan</v>
          </cell>
          <cell r="C795" t="str">
            <v>Union</v>
          </cell>
          <cell r="D795" t="str">
            <v>Inactive</v>
          </cell>
        </row>
        <row r="796">
          <cell r="B796" t="str">
            <v>Yuengling Black &amp; Tan</v>
          </cell>
          <cell r="C796" t="str">
            <v>Essex</v>
          </cell>
          <cell r="D796" t="str">
            <v>Inactive</v>
          </cell>
        </row>
        <row r="797">
          <cell r="B797" t="str">
            <v>Yuengling Bongo Fizz</v>
          </cell>
          <cell r="C797" t="str">
            <v>Morris 2</v>
          </cell>
          <cell r="D797" t="str">
            <v>Inactive</v>
          </cell>
        </row>
        <row r="798">
          <cell r="B798" t="str">
            <v>Yuengling Bongo Fizz</v>
          </cell>
          <cell r="C798" t="str">
            <v>Hudson</v>
          </cell>
          <cell r="D798" t="str">
            <v>Inactive</v>
          </cell>
        </row>
        <row r="799">
          <cell r="B799" t="str">
            <v>Yuengling Bongo Fizz</v>
          </cell>
          <cell r="C799" t="str">
            <v>Union</v>
          </cell>
          <cell r="D799" t="str">
            <v>Inactive</v>
          </cell>
        </row>
        <row r="800">
          <cell r="B800" t="str">
            <v>Yuengling Bongo Fizz</v>
          </cell>
          <cell r="C800" t="str">
            <v>Essex</v>
          </cell>
          <cell r="D800" t="str">
            <v>Inactive</v>
          </cell>
        </row>
        <row r="801">
          <cell r="B801" t="str">
            <v>Yuengling Flight</v>
          </cell>
          <cell r="C801" t="str">
            <v>Morris 2</v>
          </cell>
          <cell r="D801" t="str">
            <v>Inactive</v>
          </cell>
        </row>
        <row r="802">
          <cell r="B802" t="str">
            <v>Yuengling Flight</v>
          </cell>
          <cell r="C802" t="str">
            <v>Hudson</v>
          </cell>
          <cell r="D802" t="str">
            <v>Inactive</v>
          </cell>
        </row>
        <row r="803">
          <cell r="B803" t="str">
            <v>Yuengling Flight</v>
          </cell>
          <cell r="C803" t="str">
            <v>Union</v>
          </cell>
          <cell r="D803" t="str">
            <v>Inactive</v>
          </cell>
        </row>
        <row r="804">
          <cell r="B804" t="str">
            <v>Yuengling Flight</v>
          </cell>
          <cell r="C804" t="str">
            <v>Essex</v>
          </cell>
          <cell r="D804" t="str">
            <v>Inactive</v>
          </cell>
        </row>
        <row r="805">
          <cell r="B805" t="str">
            <v>Yuengling Golden Pilsner</v>
          </cell>
          <cell r="C805" t="str">
            <v>Morris 2</v>
          </cell>
          <cell r="D805" t="str">
            <v>Inactive</v>
          </cell>
        </row>
        <row r="806">
          <cell r="B806" t="str">
            <v>Yuengling Golden Pilsner</v>
          </cell>
          <cell r="C806" t="str">
            <v>Hudson</v>
          </cell>
          <cell r="D806" t="str">
            <v>Inactive</v>
          </cell>
        </row>
        <row r="807">
          <cell r="B807" t="str">
            <v>Yuengling Golden Pilsner</v>
          </cell>
          <cell r="C807" t="str">
            <v>Union</v>
          </cell>
          <cell r="D807" t="str">
            <v>Inactive</v>
          </cell>
        </row>
        <row r="808">
          <cell r="B808" t="str">
            <v>Yuengling Golden Pilsner</v>
          </cell>
          <cell r="C808" t="str">
            <v>Essex</v>
          </cell>
          <cell r="D808" t="str">
            <v>Inactive</v>
          </cell>
        </row>
        <row r="809">
          <cell r="B809" t="str">
            <v>Yuengling Hershey's Chocolate Porter</v>
          </cell>
          <cell r="C809" t="str">
            <v>Morris 2</v>
          </cell>
          <cell r="D809" t="str">
            <v>Inactive</v>
          </cell>
        </row>
        <row r="810">
          <cell r="B810" t="str">
            <v>Yuengling Hershey's Chocolate Porter</v>
          </cell>
          <cell r="C810" t="str">
            <v>Hudson</v>
          </cell>
          <cell r="D810" t="str">
            <v>Inactive</v>
          </cell>
        </row>
        <row r="811">
          <cell r="B811" t="str">
            <v>Yuengling Hershey's Chocolate Porter</v>
          </cell>
          <cell r="C811" t="str">
            <v>Union</v>
          </cell>
          <cell r="D811" t="str">
            <v>Inactive</v>
          </cell>
        </row>
        <row r="812">
          <cell r="B812" t="str">
            <v>Yuengling Hershey's Chocolate Porter</v>
          </cell>
          <cell r="C812" t="str">
            <v>Essex</v>
          </cell>
          <cell r="D812" t="str">
            <v>Inactive</v>
          </cell>
        </row>
        <row r="813">
          <cell r="B813" t="str">
            <v>Yuengling Lager</v>
          </cell>
          <cell r="C813" t="str">
            <v>Morris 2</v>
          </cell>
          <cell r="D813" t="str">
            <v>Inactive</v>
          </cell>
        </row>
        <row r="814">
          <cell r="B814" t="str">
            <v>Yuengling Lager</v>
          </cell>
          <cell r="C814" t="str">
            <v>Hudson</v>
          </cell>
          <cell r="D814" t="str">
            <v>Inactive</v>
          </cell>
        </row>
        <row r="815">
          <cell r="B815" t="str">
            <v>Yuengling Lager</v>
          </cell>
          <cell r="C815" t="str">
            <v>Union</v>
          </cell>
          <cell r="D815" t="str">
            <v>Inactive</v>
          </cell>
        </row>
        <row r="816">
          <cell r="B816" t="str">
            <v>Yuengling Lager</v>
          </cell>
          <cell r="C816" t="str">
            <v>Essex</v>
          </cell>
          <cell r="D816" t="str">
            <v>Inactive</v>
          </cell>
        </row>
        <row r="817">
          <cell r="B817" t="str">
            <v>Yuengling Light Lager</v>
          </cell>
          <cell r="C817" t="str">
            <v>Morris 2</v>
          </cell>
          <cell r="D817" t="str">
            <v>Inactive</v>
          </cell>
        </row>
        <row r="818">
          <cell r="B818" t="str">
            <v>Yuengling Light Lager</v>
          </cell>
          <cell r="C818" t="str">
            <v>Hudson</v>
          </cell>
          <cell r="D818" t="str">
            <v>Inactive</v>
          </cell>
        </row>
        <row r="819">
          <cell r="B819" t="str">
            <v>Yuengling Light Lager</v>
          </cell>
          <cell r="C819" t="str">
            <v>Union</v>
          </cell>
          <cell r="D819" t="str">
            <v>Inactive</v>
          </cell>
        </row>
        <row r="820">
          <cell r="B820" t="str">
            <v>Yuengling Light Lager</v>
          </cell>
          <cell r="C820" t="str">
            <v>Essex</v>
          </cell>
          <cell r="D820" t="str">
            <v>Inactive</v>
          </cell>
        </row>
        <row r="821">
          <cell r="B821" t="str">
            <v>Yuengling Oktoberfest</v>
          </cell>
          <cell r="C821" t="str">
            <v>Morris 2</v>
          </cell>
          <cell r="D821" t="str">
            <v>Inactive</v>
          </cell>
        </row>
        <row r="822">
          <cell r="B822" t="str">
            <v>Yuengling Oktoberfest</v>
          </cell>
          <cell r="C822" t="str">
            <v>Hudson</v>
          </cell>
          <cell r="D822" t="str">
            <v>Inactive</v>
          </cell>
        </row>
        <row r="823">
          <cell r="B823" t="str">
            <v>Yuengling Oktoberfest</v>
          </cell>
          <cell r="C823" t="str">
            <v>Union</v>
          </cell>
          <cell r="D823" t="str">
            <v>Inactive</v>
          </cell>
        </row>
        <row r="824">
          <cell r="B824" t="str">
            <v>Yuengling Oktoberfest</v>
          </cell>
          <cell r="C824" t="str">
            <v>Essex</v>
          </cell>
          <cell r="D824" t="str">
            <v>Inactive</v>
          </cell>
        </row>
        <row r="825">
          <cell r="B825" t="str">
            <v>Yuengling Premium</v>
          </cell>
          <cell r="C825" t="str">
            <v>Morris 2</v>
          </cell>
          <cell r="D825" t="str">
            <v>Inactive</v>
          </cell>
        </row>
        <row r="826">
          <cell r="B826" t="str">
            <v>Yuengling Premium</v>
          </cell>
          <cell r="C826" t="str">
            <v>Hudson</v>
          </cell>
          <cell r="D826" t="str">
            <v>Inactive</v>
          </cell>
        </row>
        <row r="827">
          <cell r="B827" t="str">
            <v>Yuengling Premium</v>
          </cell>
          <cell r="C827" t="str">
            <v>Union</v>
          </cell>
          <cell r="D827" t="str">
            <v>Inactive</v>
          </cell>
        </row>
        <row r="828">
          <cell r="B828" t="str">
            <v>Yuengling Premium</v>
          </cell>
          <cell r="C828" t="str">
            <v>Essex</v>
          </cell>
          <cell r="D828" t="str">
            <v>Inactive</v>
          </cell>
        </row>
        <row r="829">
          <cell r="B829" t="str">
            <v>Yuengling Premium Light</v>
          </cell>
          <cell r="C829" t="str">
            <v>Morris 2</v>
          </cell>
          <cell r="D829" t="str">
            <v>Inactive</v>
          </cell>
        </row>
        <row r="830">
          <cell r="B830" t="str">
            <v>Yuengling Premium Light</v>
          </cell>
          <cell r="C830" t="str">
            <v>Hudson</v>
          </cell>
          <cell r="D830" t="str">
            <v>Inactive</v>
          </cell>
        </row>
        <row r="831">
          <cell r="B831" t="str">
            <v>Yuengling Premium Light</v>
          </cell>
          <cell r="C831" t="str">
            <v>Union</v>
          </cell>
          <cell r="D831" t="str">
            <v>Inactive</v>
          </cell>
        </row>
        <row r="832">
          <cell r="B832" t="str">
            <v>Yuengling Premium Light</v>
          </cell>
          <cell r="C832" t="str">
            <v>Essex</v>
          </cell>
          <cell r="D832" t="str">
            <v>Inactive</v>
          </cell>
        </row>
        <row r="833">
          <cell r="B833" t="str">
            <v>Yuengling Raging Eagle</v>
          </cell>
          <cell r="C833" t="str">
            <v>Morris 2</v>
          </cell>
          <cell r="D833" t="str">
            <v>Inactive</v>
          </cell>
        </row>
        <row r="834">
          <cell r="B834" t="str">
            <v>Yuengling Raging Eagle</v>
          </cell>
          <cell r="C834" t="str">
            <v>Hudson</v>
          </cell>
          <cell r="D834" t="str">
            <v>Inactive</v>
          </cell>
        </row>
        <row r="835">
          <cell r="B835" t="str">
            <v>Yuengling Raging Eagle</v>
          </cell>
          <cell r="C835" t="str">
            <v>Union</v>
          </cell>
          <cell r="D835" t="str">
            <v>Inactive</v>
          </cell>
        </row>
        <row r="836">
          <cell r="B836" t="str">
            <v>Yuengling Raging Eagle</v>
          </cell>
          <cell r="C836" t="str">
            <v>Essex</v>
          </cell>
          <cell r="D836" t="str">
            <v>Inactive</v>
          </cell>
        </row>
        <row r="837">
          <cell r="B837" t="str">
            <v>Sun Cruiser</v>
          </cell>
          <cell r="C837" t="str">
            <v>Essex</v>
          </cell>
          <cell r="D837" t="str">
            <v>Inactive</v>
          </cell>
        </row>
        <row r="838">
          <cell r="B838" t="str">
            <v>Sun Cruiser</v>
          </cell>
          <cell r="C838" t="str">
            <v>Hudson</v>
          </cell>
          <cell r="D838" t="str">
            <v>Inactive</v>
          </cell>
        </row>
        <row r="839">
          <cell r="B839" t="str">
            <v>Sun Cruiser</v>
          </cell>
          <cell r="C839" t="str">
            <v>Union</v>
          </cell>
          <cell r="D839" t="str">
            <v>Inactive</v>
          </cell>
        </row>
        <row r="840">
          <cell r="B840" t="str">
            <v>Sun Cruiser</v>
          </cell>
          <cell r="C840" t="str">
            <v>Morris 2</v>
          </cell>
          <cell r="D840" t="str">
            <v>Inactive</v>
          </cell>
        </row>
        <row r="841">
          <cell r="B841" t="str">
            <v>La Tropical</v>
          </cell>
          <cell r="C841" t="str">
            <v>Sussex</v>
          </cell>
          <cell r="D841" t="str">
            <v>Inactive</v>
          </cell>
        </row>
        <row r="842">
          <cell r="B842" t="str">
            <v>La Tropical</v>
          </cell>
          <cell r="C842" t="str">
            <v>Morris 1</v>
          </cell>
          <cell r="D842" t="str">
            <v>Inactive</v>
          </cell>
        </row>
        <row r="843">
          <cell r="B843" t="str">
            <v>La Tropical</v>
          </cell>
          <cell r="C843" t="str">
            <v>Morris 2</v>
          </cell>
          <cell r="D843" t="str">
            <v>Inactive</v>
          </cell>
        </row>
        <row r="844">
          <cell r="B844" t="str">
            <v>La Tropical</v>
          </cell>
          <cell r="C844" t="str">
            <v>Morris 3</v>
          </cell>
          <cell r="D844" t="str">
            <v>Inactive</v>
          </cell>
        </row>
        <row r="845">
          <cell r="B845" t="str">
            <v>Snow Beer</v>
          </cell>
          <cell r="C845" t="str">
            <v>Essex</v>
          </cell>
          <cell r="D845" t="str">
            <v>Inactive</v>
          </cell>
        </row>
        <row r="846">
          <cell r="B846" t="str">
            <v>Snow Beer</v>
          </cell>
          <cell r="C846" t="str">
            <v>Hudson</v>
          </cell>
          <cell r="D846" t="str">
            <v>Inactive</v>
          </cell>
        </row>
        <row r="847">
          <cell r="B847" t="str">
            <v>Snow Beer</v>
          </cell>
          <cell r="C847" t="str">
            <v>Union</v>
          </cell>
          <cell r="D847" t="str">
            <v>Inactive</v>
          </cell>
        </row>
        <row r="848">
          <cell r="B848" t="str">
            <v>Snow Beer</v>
          </cell>
          <cell r="C848" t="str">
            <v>Morris 2</v>
          </cell>
          <cell r="D848" t="str">
            <v>Inactive</v>
          </cell>
        </row>
        <row r="849">
          <cell r="B849" t="str">
            <v>The Drop</v>
          </cell>
          <cell r="C849" t="str">
            <v>Essex</v>
          </cell>
          <cell r="D849" t="str">
            <v>Inactive</v>
          </cell>
        </row>
        <row r="850">
          <cell r="B850" t="str">
            <v>The Drop</v>
          </cell>
          <cell r="C850" t="str">
            <v>Hudson</v>
          </cell>
          <cell r="D850" t="str">
            <v>Inactive</v>
          </cell>
        </row>
        <row r="851">
          <cell r="B851" t="str">
            <v>The Drop</v>
          </cell>
          <cell r="C851" t="str">
            <v>Union</v>
          </cell>
          <cell r="D851" t="str">
            <v>Inactive</v>
          </cell>
        </row>
        <row r="852">
          <cell r="B852" t="str">
            <v>The Drop</v>
          </cell>
          <cell r="C852" t="str">
            <v>Morris 2</v>
          </cell>
          <cell r="D852" t="str">
            <v>Inactive</v>
          </cell>
        </row>
        <row r="853">
          <cell r="B853" t="str">
            <v>Dillon's Cocktails</v>
          </cell>
          <cell r="C853" t="str">
            <v>Essex</v>
          </cell>
          <cell r="D853" t="str">
            <v>Inactive</v>
          </cell>
        </row>
        <row r="854">
          <cell r="B854" t="str">
            <v>Dillon's Cocktails</v>
          </cell>
          <cell r="C854" t="str">
            <v>Hudson</v>
          </cell>
          <cell r="D854" t="str">
            <v>Inactive</v>
          </cell>
        </row>
        <row r="855">
          <cell r="B855" t="str">
            <v>Dillon's Cocktails</v>
          </cell>
          <cell r="C855" t="str">
            <v>Union</v>
          </cell>
          <cell r="D855" t="str">
            <v>Inactive</v>
          </cell>
        </row>
        <row r="856">
          <cell r="B856" t="str">
            <v>Dillon's Cocktails</v>
          </cell>
          <cell r="C856" t="str">
            <v>Morris 2</v>
          </cell>
          <cell r="D856" t="str">
            <v>Inactive</v>
          </cell>
        </row>
        <row r="857">
          <cell r="B857" t="str">
            <v>Voodoo Hardcharged</v>
          </cell>
          <cell r="C857" t="str">
            <v>Essex</v>
          </cell>
          <cell r="D857" t="str">
            <v>Inactive</v>
          </cell>
        </row>
        <row r="858">
          <cell r="B858" t="str">
            <v>Voodoo Hardcharged</v>
          </cell>
          <cell r="C858" t="str">
            <v>Hudson</v>
          </cell>
          <cell r="D858" t="str">
            <v>Inactive</v>
          </cell>
        </row>
        <row r="859">
          <cell r="B859" t="str">
            <v>Voodoo Hardcharged</v>
          </cell>
          <cell r="C859" t="str">
            <v>Union</v>
          </cell>
          <cell r="D859" t="str">
            <v>Inactive</v>
          </cell>
        </row>
        <row r="860">
          <cell r="B860" t="str">
            <v>Voodoo Hardcharged</v>
          </cell>
          <cell r="C860" t="str">
            <v>Morris 2</v>
          </cell>
          <cell r="D860" t="str">
            <v>Inactive</v>
          </cell>
        </row>
        <row r="861">
          <cell r="B861" t="str">
            <v>Bardstown Green River</v>
          </cell>
          <cell r="C861" t="str">
            <v>Essex</v>
          </cell>
          <cell r="D861" t="str">
            <v>Inactive</v>
          </cell>
        </row>
        <row r="862">
          <cell r="B862" t="str">
            <v>Bardstown Green River</v>
          </cell>
          <cell r="C862" t="str">
            <v>Hudson</v>
          </cell>
          <cell r="D862" t="str">
            <v>Inactive</v>
          </cell>
        </row>
        <row r="863">
          <cell r="B863" t="str">
            <v>Bardstown Green River</v>
          </cell>
          <cell r="C863" t="str">
            <v>Union</v>
          </cell>
          <cell r="D863" t="str">
            <v>Inactive</v>
          </cell>
        </row>
        <row r="864">
          <cell r="B864" t="str">
            <v>Bardstown Green River</v>
          </cell>
          <cell r="C864" t="str">
            <v>Morris 2</v>
          </cell>
          <cell r="D864" t="str">
            <v>Inactive</v>
          </cell>
        </row>
        <row r="865">
          <cell r="B865" t="str">
            <v>Fever Tree</v>
          </cell>
          <cell r="C865" t="str">
            <v>Essex</v>
          </cell>
          <cell r="D865" t="str">
            <v>Inactive</v>
          </cell>
        </row>
        <row r="866">
          <cell r="B866" t="str">
            <v>Fever Tree</v>
          </cell>
          <cell r="C866" t="str">
            <v>Hudson</v>
          </cell>
          <cell r="D866" t="str">
            <v>Inactive</v>
          </cell>
        </row>
        <row r="867">
          <cell r="B867" t="str">
            <v>Fever Tree</v>
          </cell>
          <cell r="C867" t="str">
            <v>Union</v>
          </cell>
          <cell r="D867" t="str">
            <v>Inactive</v>
          </cell>
        </row>
        <row r="868">
          <cell r="B868" t="str">
            <v>Fever Tree</v>
          </cell>
          <cell r="C868" t="str">
            <v>Morris 2</v>
          </cell>
          <cell r="D868" t="str">
            <v>Inactive</v>
          </cell>
        </row>
        <row r="869">
          <cell r="B869" t="str">
            <v>Fresca Hard Sparkling</v>
          </cell>
          <cell r="C869" t="str">
            <v>Essex</v>
          </cell>
          <cell r="D869" t="str">
            <v>Inactive</v>
          </cell>
        </row>
        <row r="870">
          <cell r="B870" t="str">
            <v>Fresca Hard Sparkling</v>
          </cell>
          <cell r="C870" t="str">
            <v>Hudson</v>
          </cell>
          <cell r="D870" t="str">
            <v>Inactive</v>
          </cell>
        </row>
        <row r="871">
          <cell r="B871" t="str">
            <v>Fresca Hard Sparkling</v>
          </cell>
          <cell r="C871" t="str">
            <v>Union</v>
          </cell>
          <cell r="D871" t="str">
            <v>Inactive</v>
          </cell>
        </row>
        <row r="872">
          <cell r="B872" t="str">
            <v>Fresca Hard Sparkling</v>
          </cell>
          <cell r="C872" t="str">
            <v>Morris 2</v>
          </cell>
          <cell r="D872" t="str">
            <v>Inactive</v>
          </cell>
        </row>
        <row r="873">
          <cell r="B873" t="str">
            <v>Evil Genius</v>
          </cell>
          <cell r="C873" t="str">
            <v>Rockland</v>
          </cell>
          <cell r="D873" t="str">
            <v>Inactive</v>
          </cell>
        </row>
        <row r="874">
          <cell r="B874" t="str">
            <v>Ole</v>
          </cell>
          <cell r="C874" t="str">
            <v>Essex</v>
          </cell>
          <cell r="D874" t="str">
            <v>Inactive</v>
          </cell>
        </row>
        <row r="875">
          <cell r="B875" t="str">
            <v>Topo Chico</v>
          </cell>
          <cell r="C875" t="str">
            <v>Essex</v>
          </cell>
          <cell r="D875" t="str">
            <v>Inactive</v>
          </cell>
        </row>
        <row r="876">
          <cell r="B876" t="str">
            <v>Topo Chico</v>
          </cell>
          <cell r="C876" t="str">
            <v>Hudson</v>
          </cell>
          <cell r="D876" t="str">
            <v>Inactive</v>
          </cell>
        </row>
        <row r="877">
          <cell r="B877" t="str">
            <v>Topo Chico</v>
          </cell>
          <cell r="C877" t="str">
            <v>Union</v>
          </cell>
          <cell r="D877" t="str">
            <v>Inactive</v>
          </cell>
        </row>
        <row r="878">
          <cell r="B878" t="str">
            <v>Topo Chico</v>
          </cell>
          <cell r="C878" t="str">
            <v>Morris 2</v>
          </cell>
          <cell r="D878" t="str">
            <v>Inactive</v>
          </cell>
        </row>
        <row r="879">
          <cell r="B879" t="str">
            <v>Heineken Silver</v>
          </cell>
          <cell r="C879" t="str">
            <v>Sussex</v>
          </cell>
          <cell r="D879" t="str">
            <v>Inactive</v>
          </cell>
        </row>
        <row r="880">
          <cell r="B880" t="str">
            <v>Heineken Silver</v>
          </cell>
          <cell r="C880" t="str">
            <v>Essex</v>
          </cell>
          <cell r="D880" t="str">
            <v>Inactive</v>
          </cell>
        </row>
        <row r="881">
          <cell r="B881" t="str">
            <v>Heineken Silver</v>
          </cell>
          <cell r="C881" t="str">
            <v>Hudson</v>
          </cell>
          <cell r="D881" t="str">
            <v>Inactive</v>
          </cell>
        </row>
        <row r="882">
          <cell r="B882" t="str">
            <v>Heineken Silver</v>
          </cell>
          <cell r="C882" t="str">
            <v>Morris 1</v>
          </cell>
          <cell r="D882" t="str">
            <v>Inactive</v>
          </cell>
        </row>
        <row r="883">
          <cell r="B883" t="str">
            <v>Heineken Silver</v>
          </cell>
          <cell r="C883" t="str">
            <v>Morris 2</v>
          </cell>
          <cell r="D883" t="str">
            <v>Inactive</v>
          </cell>
        </row>
        <row r="884">
          <cell r="B884" t="str">
            <v>Heineken Silver</v>
          </cell>
          <cell r="C884" t="str">
            <v>Union</v>
          </cell>
          <cell r="D884" t="str">
            <v>Inactive</v>
          </cell>
        </row>
        <row r="885">
          <cell r="B885" t="str">
            <v>Heineken 0.0 Ultimate</v>
          </cell>
          <cell r="C885" t="str">
            <v>Essex</v>
          </cell>
          <cell r="D885" t="str">
            <v>Inactive</v>
          </cell>
        </row>
        <row r="886">
          <cell r="B886" t="str">
            <v>Heineken 0.0 Ultimate</v>
          </cell>
          <cell r="C886" t="str">
            <v>Hudson</v>
          </cell>
          <cell r="D886" t="str">
            <v>Inactive</v>
          </cell>
        </row>
        <row r="887">
          <cell r="B887" t="str">
            <v>Heineken 0.0 Ultimate</v>
          </cell>
          <cell r="C887" t="str">
            <v>Morris 1</v>
          </cell>
          <cell r="D887" t="str">
            <v>Inactive</v>
          </cell>
        </row>
        <row r="888">
          <cell r="B888" t="str">
            <v>Heineken 0.0 Ultimate</v>
          </cell>
          <cell r="C888" t="str">
            <v>Morris 2</v>
          </cell>
          <cell r="D888" t="str">
            <v>Inactive</v>
          </cell>
        </row>
        <row r="889">
          <cell r="B889" t="str">
            <v>Heineken 0.0 Ultimate</v>
          </cell>
          <cell r="C889" t="str">
            <v>Sussex</v>
          </cell>
          <cell r="D889" t="str">
            <v>Inactive</v>
          </cell>
        </row>
        <row r="890">
          <cell r="B890" t="str">
            <v>Heineken 0.0 Ultimate</v>
          </cell>
          <cell r="C890" t="str">
            <v>Union</v>
          </cell>
          <cell r="D890" t="str">
            <v>Inactive</v>
          </cell>
        </row>
        <row r="891">
          <cell r="B891" t="str">
            <v>Flying Fish Box of Bones Variety</v>
          </cell>
          <cell r="C891" t="str">
            <v>Morris 1</v>
          </cell>
          <cell r="D891" t="str">
            <v>Inactive</v>
          </cell>
        </row>
        <row r="892">
          <cell r="B892" t="str">
            <v>Flying Fish Box of Bones Variety</v>
          </cell>
          <cell r="C892" t="str">
            <v>Morris 2</v>
          </cell>
          <cell r="D892" t="str">
            <v>Inactive</v>
          </cell>
        </row>
        <row r="893">
          <cell r="B893" t="str">
            <v>Flying Fish Box of Bones Variety</v>
          </cell>
          <cell r="C893" t="str">
            <v>Morris 3</v>
          </cell>
          <cell r="D893" t="str">
            <v>Inactive</v>
          </cell>
        </row>
        <row r="894">
          <cell r="B894" t="str">
            <v>Flying Fish Box of Bones Variety</v>
          </cell>
          <cell r="C894" t="str">
            <v>Sussex</v>
          </cell>
          <cell r="D894" t="str">
            <v>Inactive</v>
          </cell>
        </row>
        <row r="895">
          <cell r="B895" t="str">
            <v>Flying Fish Box of Bones Variety</v>
          </cell>
          <cell r="C895" t="str">
            <v>Union</v>
          </cell>
          <cell r="D895" t="str">
            <v>Inactive</v>
          </cell>
        </row>
        <row r="896">
          <cell r="B896" t="str">
            <v>Flying Fish Box of Bones Variety</v>
          </cell>
          <cell r="C896" t="str">
            <v>Passaic-FF</v>
          </cell>
          <cell r="D896" t="str">
            <v>Inactive</v>
          </cell>
        </row>
        <row r="897">
          <cell r="B897" t="str">
            <v>Sixpoint Summer Sesh</v>
          </cell>
          <cell r="C897" t="str">
            <v>Morris 1</v>
          </cell>
          <cell r="D897" t="str">
            <v>Inactive</v>
          </cell>
        </row>
        <row r="898">
          <cell r="B898" t="str">
            <v>Sixpoint Summer Sesh</v>
          </cell>
          <cell r="C898" t="str">
            <v>Morris 2</v>
          </cell>
          <cell r="D898" t="str">
            <v>Inactive</v>
          </cell>
        </row>
        <row r="899">
          <cell r="B899" t="str">
            <v>Sixpoint Summer Sesh</v>
          </cell>
          <cell r="C899" t="str">
            <v>Morris 3</v>
          </cell>
          <cell r="D899" t="str">
            <v>Inactive</v>
          </cell>
        </row>
        <row r="900">
          <cell r="B900" t="str">
            <v>Sixpoint Summer Sesh</v>
          </cell>
          <cell r="C900" t="str">
            <v>Sussex</v>
          </cell>
          <cell r="D900" t="str">
            <v>Inactive</v>
          </cell>
        </row>
        <row r="901">
          <cell r="B901" t="str">
            <v>Sixpoint Summer Sesh</v>
          </cell>
          <cell r="C901" t="str">
            <v>Union</v>
          </cell>
          <cell r="D901" t="str">
            <v>Inactive</v>
          </cell>
        </row>
        <row r="902">
          <cell r="B902" t="str">
            <v>Stone Premium &amp; Smooth Beer Co</v>
          </cell>
          <cell r="C902" t="str">
            <v>Morris 1</v>
          </cell>
          <cell r="D902" t="str">
            <v>Inactive</v>
          </cell>
        </row>
        <row r="903">
          <cell r="B903" t="str">
            <v>Stone Premium &amp; Smooth Beer Co</v>
          </cell>
          <cell r="C903" t="str">
            <v>Morris 2</v>
          </cell>
          <cell r="D903" t="str">
            <v>Inactive</v>
          </cell>
        </row>
        <row r="904">
          <cell r="B904" t="str">
            <v>Stone Premium &amp; Smooth Beer Co</v>
          </cell>
          <cell r="C904" t="str">
            <v>Morris 3</v>
          </cell>
          <cell r="D904" t="str">
            <v>Inactive</v>
          </cell>
        </row>
        <row r="905">
          <cell r="B905" t="str">
            <v>Stone Premium &amp; Smooth Beer Co</v>
          </cell>
          <cell r="C905" t="str">
            <v>Sussex</v>
          </cell>
          <cell r="D905" t="str">
            <v>Inactive</v>
          </cell>
        </row>
        <row r="906">
          <cell r="B906" t="str">
            <v>Stone Premium &amp; Smooth Beer Co</v>
          </cell>
          <cell r="C906" t="str">
            <v>Union</v>
          </cell>
          <cell r="D906" t="str">
            <v>Inactive</v>
          </cell>
        </row>
        <row r="907">
          <cell r="B907" t="str">
            <v>Mike's Hard Dirty Lemonade</v>
          </cell>
          <cell r="C907" t="str">
            <v>Essex</v>
          </cell>
          <cell r="D907" t="str">
            <v>Inactive</v>
          </cell>
        </row>
        <row r="908">
          <cell r="B908" t="str">
            <v>Mike's Hard Dirty Lemonade</v>
          </cell>
          <cell r="C908" t="str">
            <v>Union</v>
          </cell>
          <cell r="D908" t="str">
            <v>Inactive</v>
          </cell>
        </row>
        <row r="909">
          <cell r="B909" t="str">
            <v>Mike's Hard Dirty Lemonade</v>
          </cell>
          <cell r="C909" t="str">
            <v>Hudson</v>
          </cell>
          <cell r="D909" t="str">
            <v>Inactive</v>
          </cell>
        </row>
        <row r="910">
          <cell r="B910" t="str">
            <v>Mike's Hard Dirty Lemonade</v>
          </cell>
          <cell r="C910" t="str">
            <v>Morris 2</v>
          </cell>
          <cell r="D910" t="str">
            <v>Inactive</v>
          </cell>
        </row>
        <row r="911">
          <cell r="B911" t="str">
            <v>Ole</v>
          </cell>
          <cell r="C911" t="str">
            <v>Union</v>
          </cell>
          <cell r="D911" t="str">
            <v>Inactive</v>
          </cell>
        </row>
        <row r="912">
          <cell r="B912" t="str">
            <v>Ole</v>
          </cell>
          <cell r="C912" t="str">
            <v>Hudson</v>
          </cell>
          <cell r="D912" t="str">
            <v>Inactive</v>
          </cell>
        </row>
        <row r="913">
          <cell r="B913" t="str">
            <v>Ole</v>
          </cell>
          <cell r="C913" t="str">
            <v>Morris 2</v>
          </cell>
          <cell r="D913" t="str">
            <v>Inactive</v>
          </cell>
        </row>
        <row r="914">
          <cell r="B914" t="str">
            <v>Hi5</v>
          </cell>
          <cell r="C914" t="str">
            <v>Essex</v>
          </cell>
          <cell r="D914" t="str">
            <v>Inactive</v>
          </cell>
        </row>
        <row r="915">
          <cell r="B915" t="str">
            <v>Hi5</v>
          </cell>
          <cell r="C915" t="str">
            <v>Hudson</v>
          </cell>
          <cell r="D915" t="str">
            <v>Inactive</v>
          </cell>
        </row>
        <row r="916">
          <cell r="B916" t="str">
            <v>Hi5</v>
          </cell>
          <cell r="C916" t="str">
            <v>Union</v>
          </cell>
          <cell r="D916" t="str">
            <v>Inactive</v>
          </cell>
        </row>
        <row r="917">
          <cell r="B917" t="str">
            <v>Hi5</v>
          </cell>
          <cell r="C917" t="str">
            <v>Morris 2</v>
          </cell>
          <cell r="D917" t="str">
            <v>Inactive</v>
          </cell>
        </row>
        <row r="918">
          <cell r="B918" t="str">
            <v>Poggio Torselli</v>
          </cell>
          <cell r="C918" t="str">
            <v>Essex</v>
          </cell>
          <cell r="D918" t="str">
            <v>Inactive</v>
          </cell>
        </row>
        <row r="919">
          <cell r="B919" t="str">
            <v>Poggio Torselli</v>
          </cell>
          <cell r="C919" t="str">
            <v>Hudson</v>
          </cell>
          <cell r="D919" t="str">
            <v>Inactive</v>
          </cell>
        </row>
        <row r="920">
          <cell r="B920" t="str">
            <v>Poggio Torselli</v>
          </cell>
          <cell r="C920" t="str">
            <v>Union</v>
          </cell>
          <cell r="D920" t="str">
            <v>Inactive</v>
          </cell>
        </row>
        <row r="921">
          <cell r="B921" t="str">
            <v>Poggio Torselli</v>
          </cell>
          <cell r="C921" t="str">
            <v>Morris 2</v>
          </cell>
          <cell r="D921" t="str">
            <v>Inactive</v>
          </cell>
        </row>
        <row r="922">
          <cell r="B922" t="str">
            <v>La Bodega</v>
          </cell>
          <cell r="C922" t="str">
            <v>Essex</v>
          </cell>
          <cell r="D922" t="str">
            <v>Inactive</v>
          </cell>
        </row>
        <row r="923">
          <cell r="B923" t="str">
            <v>La Bodega</v>
          </cell>
          <cell r="C923" t="str">
            <v>Hudson</v>
          </cell>
          <cell r="D923" t="str">
            <v>Inactive</v>
          </cell>
        </row>
        <row r="924">
          <cell r="B924" t="str">
            <v>La Bodega</v>
          </cell>
          <cell r="C924" t="str">
            <v>Union</v>
          </cell>
          <cell r="D924" t="str">
            <v>Inactive</v>
          </cell>
        </row>
        <row r="925">
          <cell r="B925" t="str">
            <v>La Bodega</v>
          </cell>
          <cell r="C925" t="str">
            <v>Morris 2</v>
          </cell>
          <cell r="D925" t="str">
            <v>Inactive</v>
          </cell>
        </row>
        <row r="926">
          <cell r="B926" t="str">
            <v>Coors 0.0</v>
          </cell>
          <cell r="C926" t="str">
            <v>Essex</v>
          </cell>
          <cell r="D926" t="str">
            <v>Inactive</v>
          </cell>
        </row>
        <row r="927">
          <cell r="B927" t="str">
            <v>Coors 0.0</v>
          </cell>
          <cell r="C927" t="str">
            <v>Hudson</v>
          </cell>
          <cell r="D927" t="str">
            <v>Inactive</v>
          </cell>
        </row>
        <row r="928">
          <cell r="B928" t="str">
            <v>Coors 0.0</v>
          </cell>
          <cell r="C928" t="str">
            <v>Union</v>
          </cell>
          <cell r="D928" t="str">
            <v>Inactive</v>
          </cell>
        </row>
        <row r="929">
          <cell r="B929" t="str">
            <v>Coors 0.0</v>
          </cell>
          <cell r="C929" t="str">
            <v>Morris 2</v>
          </cell>
          <cell r="D929" t="str">
            <v>Inactive</v>
          </cell>
        </row>
        <row r="930">
          <cell r="B930" t="str">
            <v>Leyenda 1925</v>
          </cell>
          <cell r="C930" t="str">
            <v>Morris 2</v>
          </cell>
          <cell r="D930" t="str">
            <v>Inactive</v>
          </cell>
        </row>
        <row r="931">
          <cell r="B931" t="str">
            <v>Leyenda 1925</v>
          </cell>
          <cell r="C931" t="str">
            <v>Hudson</v>
          </cell>
          <cell r="D931" t="str">
            <v>Inactive</v>
          </cell>
        </row>
        <row r="932">
          <cell r="B932" t="str">
            <v>Leyenda 1925</v>
          </cell>
          <cell r="C932" t="str">
            <v>Union</v>
          </cell>
          <cell r="D932" t="str">
            <v>Inactive</v>
          </cell>
        </row>
        <row r="933">
          <cell r="B933" t="str">
            <v>Leyenda 1925</v>
          </cell>
          <cell r="C933" t="str">
            <v>Essex</v>
          </cell>
          <cell r="D933" t="str">
            <v>Inactive</v>
          </cell>
        </row>
        <row r="934">
          <cell r="B934" t="str">
            <v>Lightstrike</v>
          </cell>
          <cell r="C934" t="str">
            <v>Essex</v>
          </cell>
          <cell r="D934" t="str">
            <v>Inactive</v>
          </cell>
        </row>
        <row r="935">
          <cell r="B935" t="str">
            <v>Lightstrike</v>
          </cell>
          <cell r="C935" t="str">
            <v>Union</v>
          </cell>
          <cell r="D935" t="str">
            <v>Inactive</v>
          </cell>
        </row>
        <row r="936">
          <cell r="B936" t="str">
            <v>Lightstrike</v>
          </cell>
          <cell r="C936" t="str">
            <v>Hudson</v>
          </cell>
          <cell r="D936" t="str">
            <v>Inactive</v>
          </cell>
        </row>
        <row r="937">
          <cell r="B937" t="str">
            <v>Lightstrike</v>
          </cell>
          <cell r="C937" t="str">
            <v>Morris 2</v>
          </cell>
          <cell r="D937" t="str">
            <v>Inactive</v>
          </cell>
        </row>
        <row r="938">
          <cell r="B938" t="str">
            <v>Kirin Ichiban</v>
          </cell>
          <cell r="C938" t="str">
            <v>Essex</v>
          </cell>
          <cell r="D938" t="str">
            <v>Inactive</v>
          </cell>
        </row>
        <row r="939">
          <cell r="B939" t="str">
            <v>Kirin Ichiban</v>
          </cell>
          <cell r="C939" t="str">
            <v>Union</v>
          </cell>
          <cell r="D939" t="str">
            <v>Inactive</v>
          </cell>
        </row>
        <row r="940">
          <cell r="B940" t="str">
            <v>Kirin Ichiban</v>
          </cell>
          <cell r="C940" t="str">
            <v>Hudson</v>
          </cell>
          <cell r="D940" t="str">
            <v>Inactive</v>
          </cell>
        </row>
        <row r="941">
          <cell r="B941" t="str">
            <v>Kirin Ichiban</v>
          </cell>
          <cell r="C941" t="str">
            <v>Morris 2</v>
          </cell>
          <cell r="D941" t="str">
            <v>Inactive</v>
          </cell>
        </row>
        <row r="942">
          <cell r="B942" t="str">
            <v>Kirin Light</v>
          </cell>
          <cell r="C942" t="str">
            <v>Essex</v>
          </cell>
          <cell r="D942" t="str">
            <v>Inactive</v>
          </cell>
        </row>
        <row r="943">
          <cell r="B943" t="str">
            <v>Kirin Light</v>
          </cell>
          <cell r="C943" t="str">
            <v>Hudson</v>
          </cell>
          <cell r="D943" t="str">
            <v>Inactive</v>
          </cell>
        </row>
        <row r="944">
          <cell r="B944" t="str">
            <v>Kirin Light</v>
          </cell>
          <cell r="C944" t="str">
            <v>Morris 2</v>
          </cell>
          <cell r="D944" t="str">
            <v>Inactive</v>
          </cell>
        </row>
        <row r="945">
          <cell r="B945" t="str">
            <v>Kirin Light</v>
          </cell>
          <cell r="C945" t="str">
            <v>Union</v>
          </cell>
          <cell r="D945" t="str">
            <v>Inactive</v>
          </cell>
        </row>
        <row r="946">
          <cell r="B946" t="str">
            <v>Sinless Vodka Cocktail</v>
          </cell>
          <cell r="C946" t="str">
            <v>Essex</v>
          </cell>
          <cell r="D946" t="str">
            <v>Inactive</v>
          </cell>
        </row>
        <row r="947">
          <cell r="B947" t="str">
            <v>Sinless Vodka Cocktail</v>
          </cell>
          <cell r="C947" t="str">
            <v>Hudson</v>
          </cell>
          <cell r="D947" t="str">
            <v>Inactive</v>
          </cell>
        </row>
        <row r="948">
          <cell r="B948" t="str">
            <v>Sinless Vodka Cocktail</v>
          </cell>
          <cell r="C948" t="str">
            <v>Morris 2</v>
          </cell>
          <cell r="D948" t="str">
            <v>Inactive</v>
          </cell>
        </row>
        <row r="949">
          <cell r="B949" t="str">
            <v>Sinless Vodka Cocktail</v>
          </cell>
          <cell r="C949" t="str">
            <v>Union</v>
          </cell>
          <cell r="D949" t="str">
            <v>Inactive</v>
          </cell>
        </row>
        <row r="950">
          <cell r="B950" t="str">
            <v>Mckenzie's</v>
          </cell>
          <cell r="C950" t="str">
            <v>Morris 1</v>
          </cell>
          <cell r="D950" t="str">
            <v>Inactive</v>
          </cell>
        </row>
        <row r="951">
          <cell r="B951" t="str">
            <v>Cayman Jack</v>
          </cell>
          <cell r="C951" t="str">
            <v>Hudson</v>
          </cell>
          <cell r="D951" t="str">
            <v>Inactive</v>
          </cell>
        </row>
        <row r="952">
          <cell r="B952" t="str">
            <v>Bold Rock</v>
          </cell>
          <cell r="C952" t="str">
            <v>Morris 1</v>
          </cell>
          <cell r="D952" t="str">
            <v>Inactive</v>
          </cell>
        </row>
        <row r="953">
          <cell r="B953" t="str">
            <v>Ithaca</v>
          </cell>
          <cell r="C953" t="str">
            <v>Morris 1</v>
          </cell>
          <cell r="D953" t="str">
            <v>Inactive</v>
          </cell>
        </row>
        <row r="954">
          <cell r="B954" t="str">
            <v>Mike's Hard Lemonade</v>
          </cell>
          <cell r="C954" t="str">
            <v>Hudson</v>
          </cell>
          <cell r="D954" t="str">
            <v>Inactive</v>
          </cell>
        </row>
        <row r="955">
          <cell r="B955" t="str">
            <v>Mike's Harder</v>
          </cell>
          <cell r="C955" t="str">
            <v>Hudson</v>
          </cell>
          <cell r="D955" t="str">
            <v>Inactive</v>
          </cell>
        </row>
        <row r="956">
          <cell r="B956" t="str">
            <v>Mxd Cocktails</v>
          </cell>
          <cell r="C956" t="str">
            <v>Hudson</v>
          </cell>
          <cell r="D956" t="str">
            <v>Inactive</v>
          </cell>
        </row>
        <row r="957">
          <cell r="B957" t="str">
            <v>Hacker-Pschorr</v>
          </cell>
          <cell r="C957" t="str">
            <v>Morris 1</v>
          </cell>
          <cell r="D957" t="str">
            <v>Inactive</v>
          </cell>
        </row>
        <row r="958">
          <cell r="B958" t="str">
            <v>Hacker-Pschorr</v>
          </cell>
          <cell r="C958" t="str">
            <v>Sussex</v>
          </cell>
          <cell r="D958" t="str">
            <v>Inactive</v>
          </cell>
        </row>
        <row r="959">
          <cell r="B959" t="str">
            <v>Paulaner</v>
          </cell>
          <cell r="C959" t="str">
            <v>Morris 1</v>
          </cell>
          <cell r="D959" t="str">
            <v>Inactive</v>
          </cell>
        </row>
        <row r="960">
          <cell r="B960" t="str">
            <v>Paulaner</v>
          </cell>
          <cell r="C960" t="str">
            <v>Sussex</v>
          </cell>
          <cell r="D960" t="str">
            <v>Inactive</v>
          </cell>
        </row>
        <row r="961">
          <cell r="B961" t="str">
            <v>Banks</v>
          </cell>
          <cell r="C961" t="str">
            <v>Morris 1</v>
          </cell>
          <cell r="D961" t="str">
            <v>Inactive</v>
          </cell>
        </row>
        <row r="962">
          <cell r="B962" t="str">
            <v>Rekorderlig</v>
          </cell>
          <cell r="C962" t="str">
            <v>Morris 1</v>
          </cell>
          <cell r="D962" t="str">
            <v>Inactive</v>
          </cell>
        </row>
        <row r="963">
          <cell r="B963" t="str">
            <v>Shipyard</v>
          </cell>
          <cell r="C963" t="str">
            <v>Morris 1</v>
          </cell>
          <cell r="D963" t="str">
            <v>Inactive</v>
          </cell>
        </row>
        <row r="964">
          <cell r="B964" t="str">
            <v>Weihenstephaner</v>
          </cell>
          <cell r="C964" t="str">
            <v>Morris 1</v>
          </cell>
          <cell r="D964" t="str">
            <v>Inactive</v>
          </cell>
        </row>
        <row r="965">
          <cell r="B965" t="str">
            <v>Unibroue</v>
          </cell>
          <cell r="C965" t="str">
            <v>Morris 1</v>
          </cell>
          <cell r="D965" t="str">
            <v>Inactive</v>
          </cell>
        </row>
        <row r="966">
          <cell r="B966" t="str">
            <v>Unibroue</v>
          </cell>
          <cell r="C966" t="str">
            <v>Sussex</v>
          </cell>
          <cell r="D966" t="str">
            <v>Inactive</v>
          </cell>
        </row>
        <row r="967">
          <cell r="B967" t="str">
            <v>Carbliss</v>
          </cell>
          <cell r="C967" t="str">
            <v>Morris 2</v>
          </cell>
          <cell r="D967" t="str">
            <v>Inactive</v>
          </cell>
        </row>
        <row r="968">
          <cell r="B968" t="str">
            <v>Carbliss</v>
          </cell>
          <cell r="C968" t="str">
            <v>Hudson</v>
          </cell>
          <cell r="D968" t="str">
            <v>Inactive</v>
          </cell>
        </row>
        <row r="969">
          <cell r="B969" t="str">
            <v>Carbliss</v>
          </cell>
          <cell r="C969" t="str">
            <v>Union</v>
          </cell>
          <cell r="D969" t="str">
            <v>Inactive</v>
          </cell>
        </row>
        <row r="970">
          <cell r="B970" t="str">
            <v>Carbliss</v>
          </cell>
          <cell r="C970" t="str">
            <v>Essex</v>
          </cell>
          <cell r="D970" t="str">
            <v>Inactive</v>
          </cell>
        </row>
        <row r="971">
          <cell r="B971" t="str">
            <v>Carta Blanca</v>
          </cell>
          <cell r="C971" t="str">
            <v>Morris 3</v>
          </cell>
          <cell r="D971" t="str">
            <v>Inactive</v>
          </cell>
        </row>
        <row r="972">
          <cell r="B972" t="str">
            <v>Tecate</v>
          </cell>
          <cell r="C972" t="str">
            <v>Morris 3</v>
          </cell>
          <cell r="D972" t="str">
            <v>Inactive</v>
          </cell>
        </row>
        <row r="973">
          <cell r="B973" t="str">
            <v>Tecate Light</v>
          </cell>
          <cell r="C973" t="str">
            <v>Morris 3</v>
          </cell>
          <cell r="D973" t="str">
            <v>Inactive</v>
          </cell>
        </row>
        <row r="974">
          <cell r="B974" t="str">
            <v>Dos Equis</v>
          </cell>
          <cell r="C974" t="str">
            <v>Morris 3</v>
          </cell>
          <cell r="D974" t="str">
            <v>Inactive</v>
          </cell>
        </row>
        <row r="975">
          <cell r="B975" t="str">
            <v>YaVe Tequila</v>
          </cell>
          <cell r="C975" t="str">
            <v>Morris 2</v>
          </cell>
          <cell r="D975" t="str">
            <v>Inactive</v>
          </cell>
        </row>
        <row r="976">
          <cell r="B976" t="str">
            <v>YaVe Tequila</v>
          </cell>
          <cell r="C976" t="str">
            <v>Hudson</v>
          </cell>
          <cell r="D976" t="str">
            <v>Inactive</v>
          </cell>
        </row>
        <row r="977">
          <cell r="B977" t="str">
            <v>YaVe Tequila</v>
          </cell>
          <cell r="C977" t="str">
            <v>Union</v>
          </cell>
          <cell r="D977" t="str">
            <v>Inactive</v>
          </cell>
        </row>
        <row r="978">
          <cell r="B978" t="str">
            <v>YaVe Tequila</v>
          </cell>
          <cell r="C978" t="str">
            <v>Essex</v>
          </cell>
          <cell r="D978" t="str">
            <v>Inactive</v>
          </cell>
        </row>
        <row r="979">
          <cell r="B979" t="str">
            <v>Monaco</v>
          </cell>
          <cell r="C979" t="str">
            <v>Essex</v>
          </cell>
          <cell r="D979" t="str">
            <v>Inactive</v>
          </cell>
        </row>
        <row r="980">
          <cell r="B980" t="str">
            <v>Monaco</v>
          </cell>
          <cell r="C980" t="str">
            <v>Hudson</v>
          </cell>
          <cell r="D980" t="str">
            <v>Inactive</v>
          </cell>
        </row>
        <row r="981">
          <cell r="B981" t="str">
            <v>Monaco</v>
          </cell>
          <cell r="C981" t="str">
            <v>Union</v>
          </cell>
          <cell r="D981" t="str">
            <v>Inactive</v>
          </cell>
        </row>
        <row r="982">
          <cell r="B982" t="str">
            <v>Monaco</v>
          </cell>
          <cell r="C982" t="str">
            <v>Morris 2</v>
          </cell>
          <cell r="D982" t="str">
            <v>Inactive</v>
          </cell>
        </row>
        <row r="983">
          <cell r="B983" t="str">
            <v>Le Grand Noir</v>
          </cell>
          <cell r="C983" t="str">
            <v>Essex</v>
          </cell>
          <cell r="D983" t="str">
            <v>Inactive</v>
          </cell>
        </row>
        <row r="984">
          <cell r="B984" t="str">
            <v>Le Grand Noir</v>
          </cell>
          <cell r="C984" t="str">
            <v>Hudson</v>
          </cell>
          <cell r="D984" t="str">
            <v>Inactive</v>
          </cell>
        </row>
        <row r="985">
          <cell r="B985" t="str">
            <v>Le Grand Noir</v>
          </cell>
          <cell r="C985" t="str">
            <v>Union</v>
          </cell>
          <cell r="D985" t="str">
            <v>Inactive</v>
          </cell>
        </row>
        <row r="986">
          <cell r="B986" t="str">
            <v>Le Grand Noir</v>
          </cell>
          <cell r="C986" t="str">
            <v>Morris 2</v>
          </cell>
          <cell r="D986" t="str">
            <v>Inactive</v>
          </cell>
        </row>
        <row r="987">
          <cell r="B987" t="str">
            <v>Overstone</v>
          </cell>
          <cell r="C987" t="str">
            <v>Essex</v>
          </cell>
          <cell r="D987" t="str">
            <v>Inactive</v>
          </cell>
        </row>
        <row r="988">
          <cell r="B988" t="str">
            <v>Overstone</v>
          </cell>
          <cell r="C988" t="str">
            <v>Hudson</v>
          </cell>
          <cell r="D988" t="str">
            <v>Inactive</v>
          </cell>
        </row>
        <row r="989">
          <cell r="B989" t="str">
            <v>Overstone</v>
          </cell>
          <cell r="C989" t="str">
            <v>Union</v>
          </cell>
          <cell r="D989" t="str">
            <v>Inactive</v>
          </cell>
        </row>
        <row r="990">
          <cell r="B990" t="str">
            <v>Overstone</v>
          </cell>
          <cell r="C990" t="str">
            <v>Morris 2</v>
          </cell>
          <cell r="D990" t="str">
            <v>Inactive</v>
          </cell>
        </row>
        <row r="991">
          <cell r="B991" t="str">
            <v>Gionelli</v>
          </cell>
          <cell r="C991" t="str">
            <v>Essex</v>
          </cell>
          <cell r="D991" t="str">
            <v>Inactive</v>
          </cell>
        </row>
        <row r="992">
          <cell r="B992" t="str">
            <v>Gionelli</v>
          </cell>
          <cell r="C992" t="str">
            <v>Hudson</v>
          </cell>
          <cell r="D992" t="str">
            <v>Inactive</v>
          </cell>
        </row>
        <row r="993">
          <cell r="B993" t="str">
            <v>Gionelli</v>
          </cell>
          <cell r="C993" t="str">
            <v>Union</v>
          </cell>
          <cell r="D993" t="str">
            <v>Inactive</v>
          </cell>
        </row>
        <row r="994">
          <cell r="B994" t="str">
            <v>Gionelli</v>
          </cell>
          <cell r="C994" t="str">
            <v>Morris 2</v>
          </cell>
          <cell r="D994" t="str">
            <v>Inactive</v>
          </cell>
        </row>
        <row r="995">
          <cell r="B995" t="str">
            <v>Beviamo</v>
          </cell>
          <cell r="C995" t="str">
            <v>Essex</v>
          </cell>
          <cell r="D995" t="str">
            <v>Inactive</v>
          </cell>
        </row>
        <row r="996">
          <cell r="B996" t="str">
            <v>Beviamo</v>
          </cell>
          <cell r="C996" t="str">
            <v>Hudson</v>
          </cell>
          <cell r="D996" t="str">
            <v>Inactive</v>
          </cell>
        </row>
        <row r="997">
          <cell r="B997" t="str">
            <v>Beviamo</v>
          </cell>
          <cell r="C997" t="str">
            <v>Union</v>
          </cell>
          <cell r="D997" t="str">
            <v>Inactive</v>
          </cell>
        </row>
        <row r="998">
          <cell r="B998" t="str">
            <v>Beviamo</v>
          </cell>
          <cell r="C998" t="str">
            <v>Morris 2</v>
          </cell>
          <cell r="D998" t="str">
            <v>Inactive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3F828-D068-46EC-9895-75DB8C9E5352}">
  <sheetPr>
    <tabColor rgb="FF00B050"/>
  </sheetPr>
  <dimension ref="A1:T309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273" sqref="I273"/>
    </sheetView>
  </sheetViews>
  <sheetFormatPr defaultRowHeight="12.75" x14ac:dyDescent="0.2"/>
  <cols>
    <col min="1" max="1" width="38.140625" customWidth="1"/>
    <col min="2" max="2" width="33.28515625" customWidth="1"/>
    <col min="3" max="12" width="16.7109375" customWidth="1"/>
    <col min="13" max="14" width="16.140625" customWidth="1"/>
    <col min="15" max="15" width="51.42578125" customWidth="1"/>
    <col min="16" max="16" width="28.5703125" customWidth="1"/>
    <col min="17" max="19" width="11.85546875" customWidth="1"/>
    <col min="20" max="20" width="21.85546875" customWidth="1"/>
  </cols>
  <sheetData>
    <row r="1" spans="1:20" ht="18" x14ac:dyDescent="0.25">
      <c r="A1" s="1" t="s">
        <v>0</v>
      </c>
    </row>
    <row r="2" spans="1:20" x14ac:dyDescent="0.2">
      <c r="A2" s="2" t="s">
        <v>1</v>
      </c>
    </row>
    <row r="3" spans="1:20" x14ac:dyDescent="0.2">
      <c r="B3" s="3" t="s">
        <v>2</v>
      </c>
      <c r="C3" s="4">
        <f>COUNTIF([1]Accounts!$J$4:$J$2309,C$4)</f>
        <v>834</v>
      </c>
      <c r="D3" s="4">
        <f>COUNTIF([1]Accounts!$J$4:$J$2309,D$4)</f>
        <v>413</v>
      </c>
      <c r="E3" s="4">
        <f>COUNTIF([1]Accounts!$J$4:$J$2309,E$4)</f>
        <v>35</v>
      </c>
      <c r="F3" s="4">
        <f>COUNTIF([1]Accounts!$J$4:$J$2309,F$4)</f>
        <v>249</v>
      </c>
      <c r="G3" s="4">
        <f>COUNTIF([1]Accounts!$J$4:$J$2309,G$4)</f>
        <v>328</v>
      </c>
      <c r="H3" s="4">
        <f>COUNTIF([1]Accounts!$J$4:$J$2309,H$4)</f>
        <v>133</v>
      </c>
      <c r="I3" s="4">
        <f>COUNTIF([1]Accounts!$J$4:$J$2309,I$4)</f>
        <v>136</v>
      </c>
      <c r="J3" s="4">
        <f>COUNTIF([1]Accounts!$J$4:$J$2309,J$4)</f>
        <v>142</v>
      </c>
      <c r="K3" s="4">
        <f>COUNTIF([1]Accounts!$J$4:$J$2309,K$4)</f>
        <v>0</v>
      </c>
      <c r="L3" s="4">
        <f>COUNTIF([1]Accounts!$J$4:$J$2309,L$4)</f>
        <v>36</v>
      </c>
      <c r="P3" s="5" t="s">
        <v>3</v>
      </c>
    </row>
    <row r="4" spans="1:20" ht="30" customHeight="1" x14ac:dyDescent="0.2">
      <c r="A4" s="6" t="s">
        <v>4</v>
      </c>
      <c r="B4" s="6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  <c r="M4" s="6" t="s">
        <v>16</v>
      </c>
      <c r="N4" s="6" t="s">
        <v>17</v>
      </c>
      <c r="O4" s="6" t="s">
        <v>18</v>
      </c>
      <c r="P4" s="8" t="s">
        <v>19</v>
      </c>
      <c r="Q4" s="8" t="s">
        <v>20</v>
      </c>
      <c r="R4" s="8" t="s">
        <v>21</v>
      </c>
      <c r="S4" s="8" t="s">
        <v>22</v>
      </c>
      <c r="T4" s="8" t="s">
        <v>23</v>
      </c>
    </row>
    <row r="5" spans="1:20" x14ac:dyDescent="0.2">
      <c r="A5" s="9" t="str" cm="1">
        <f t="array" ref="A5:A300">_xlfn._xlws.SORT(_xlfn._xlws.FILTER('[1]Brand Family Territory (Enc)'!$A$2:$A$400,'[1]Brand Family Territory (Enc)'!$A$2:$A$400&lt;&gt;""))</f>
        <v>1911 Hard Cider</v>
      </c>
      <c r="B5" s="10" t="str">
        <f>IF($A5="","",_xlfn.XLOOKUP($A5,'[1]Brand Family Territory (Enc)'!$A:$A,'[1]Brand Family Territory (Enc)'!$B:$B,"** NO TERRITORY SET **"))</f>
        <v>All Counties</v>
      </c>
      <c r="C5" s="11" t="str">
        <f>IF($A5="","",_xlfn.LET(_xlpm.t,MATCH($B5,'[1]Territory Definitions'!$B$5:$B$14,0),IF(ISNA(_xlpm.t),"NO TERRITORY",IF(INDEX('[1]Territory Definitions'!$D$5:$M$14,_xlpm.t,MATCH(C$4,'[1]Territory Definitions'!$D$4:$M$4,0))&lt;&gt;1,"NOT IN TERRITORY",IF(COUNTIFS('[1]Blackout Brand Fam Areas (Enc)'!$B$6:$B$998,$A5,'[1]Blackout Brand Fam Areas (Enc)'!$C$6:$C$998,C$4,'[1]Blackout Brand Fam Areas (Enc)'!$D$6:$D$998,"Inactive")&gt;0,"BLOCKED","CAN SELL")))))</f>
        <v>CAN SELL</v>
      </c>
      <c r="D5" s="11" t="str">
        <f>IF($A5="","",_xlfn.LET(_xlpm.t,MATCH($B5,'[1]Territory Definitions'!$B$5:$B$14,0),IF(ISNA(_xlpm.t),"NO TERRITORY",IF(INDEX('[1]Territory Definitions'!$D$5:$M$14,_xlpm.t,MATCH(D$4,'[1]Territory Definitions'!$D$4:$M$4,0))&lt;&gt;1,"NOT IN TERRITORY",IF(COUNTIFS('[1]Blackout Brand Fam Areas (Enc)'!$B$6:$B$998,$A5,'[1]Blackout Brand Fam Areas (Enc)'!$C$6:$C$998,D$4,'[1]Blackout Brand Fam Areas (Enc)'!$D$6:$D$998,"Inactive")&gt;0,"BLOCKED","CAN SELL")))))</f>
        <v>CAN SELL</v>
      </c>
      <c r="E5" s="11" t="str">
        <f>IF($A5="","",_xlfn.LET(_xlpm.t,MATCH($B5,'[1]Territory Definitions'!$B$5:$B$14,0),IF(ISNA(_xlpm.t),"NO TERRITORY",IF(INDEX('[1]Territory Definitions'!$D$5:$M$14,_xlpm.t,MATCH(E$4,'[1]Territory Definitions'!$D$4:$M$4,0))&lt;&gt;1,"NOT IN TERRITORY",IF(COUNTIFS('[1]Blackout Brand Fam Areas (Enc)'!$B$6:$B$998,$A5,'[1]Blackout Brand Fam Areas (Enc)'!$C$6:$C$998,E$4,'[1]Blackout Brand Fam Areas (Enc)'!$D$6:$D$998,"Inactive")&gt;0,"BLOCKED","CAN SELL")))))</f>
        <v>CAN SELL</v>
      </c>
      <c r="F5" s="11" t="str">
        <f>IF($A5="","",_xlfn.LET(_xlpm.t,MATCH($B5,'[1]Territory Definitions'!$B$5:$B$14,0),IF(ISNA(_xlpm.t),"NO TERRITORY",IF(INDEX('[1]Territory Definitions'!$D$5:$M$14,_xlpm.t,MATCH(F$4,'[1]Territory Definitions'!$D$4:$M$4,0))&lt;&gt;1,"NOT IN TERRITORY",IF(COUNTIFS('[1]Blackout Brand Fam Areas (Enc)'!$B$6:$B$998,$A5,'[1]Blackout Brand Fam Areas (Enc)'!$C$6:$C$998,F$4,'[1]Blackout Brand Fam Areas (Enc)'!$D$6:$D$998,"Inactive")&gt;0,"BLOCKED","CAN SELL")))))</f>
        <v>CAN SELL</v>
      </c>
      <c r="G5" s="11" t="str">
        <f>IF($A5="","",_xlfn.LET(_xlpm.t,MATCH($B5,'[1]Territory Definitions'!$B$5:$B$14,0),IF(ISNA(_xlpm.t),"NO TERRITORY",IF(INDEX('[1]Territory Definitions'!$D$5:$M$14,_xlpm.t,MATCH(G$4,'[1]Territory Definitions'!$D$4:$M$4,0))&lt;&gt;1,"NOT IN TERRITORY",IF(COUNTIFS('[1]Blackout Brand Fam Areas (Enc)'!$B$6:$B$998,$A5,'[1]Blackout Brand Fam Areas (Enc)'!$C$6:$C$998,G$4,'[1]Blackout Brand Fam Areas (Enc)'!$D$6:$D$998,"Inactive")&gt;0,"BLOCKED","CAN SELL")))))</f>
        <v>CAN SELL</v>
      </c>
      <c r="H5" s="11" t="str">
        <f>IF($A5="","",_xlfn.LET(_xlpm.t,MATCH($B5,'[1]Territory Definitions'!$B$5:$B$14,0),IF(ISNA(_xlpm.t),"NO TERRITORY",IF(INDEX('[1]Territory Definitions'!$D$5:$M$14,_xlpm.t,MATCH(H$4,'[1]Territory Definitions'!$D$4:$M$4,0))&lt;&gt;1,"NOT IN TERRITORY",IF(COUNTIFS('[1]Blackout Brand Fam Areas (Enc)'!$B$6:$B$998,$A5,'[1]Blackout Brand Fam Areas (Enc)'!$C$6:$C$998,H$4,'[1]Blackout Brand Fam Areas (Enc)'!$D$6:$D$998,"Inactive")&gt;0,"BLOCKED","CAN SELL")))))</f>
        <v>CAN SELL</v>
      </c>
      <c r="I5" s="11" t="str">
        <f>IF($A5="","",_xlfn.LET(_xlpm.t,MATCH($B5,'[1]Territory Definitions'!$B$5:$B$14,0),IF(ISNA(_xlpm.t),"NO TERRITORY",IF(INDEX('[1]Territory Definitions'!$D$5:$M$14,_xlpm.t,MATCH(I$4,'[1]Territory Definitions'!$D$4:$M$4,0))&lt;&gt;1,"NOT IN TERRITORY",IF(COUNTIFS('[1]Blackout Brand Fam Areas (Enc)'!$B$6:$B$998,$A5,'[1]Blackout Brand Fam Areas (Enc)'!$C$6:$C$998,I$4,'[1]Blackout Brand Fam Areas (Enc)'!$D$6:$D$998,"Inactive")&gt;0,"BLOCKED","CAN SELL")))))</f>
        <v>CAN SELL</v>
      </c>
      <c r="J5" s="11" t="str">
        <f>IF($A5="","",_xlfn.LET(_xlpm.t,MATCH($B5,'[1]Territory Definitions'!$B$5:$B$14,0),IF(ISNA(_xlpm.t),"NO TERRITORY",IF(INDEX('[1]Territory Definitions'!$D$5:$M$14,_xlpm.t,MATCH(J$4,'[1]Territory Definitions'!$D$4:$M$4,0))&lt;&gt;1,"NOT IN TERRITORY",IF(COUNTIFS('[1]Blackout Brand Fam Areas (Enc)'!$B$6:$B$998,$A5,'[1]Blackout Brand Fam Areas (Enc)'!$C$6:$C$998,J$4,'[1]Blackout Brand Fam Areas (Enc)'!$D$6:$D$998,"Inactive")&gt;0,"BLOCKED","CAN SELL")))))</f>
        <v>CAN SELL</v>
      </c>
      <c r="K5" s="11" t="str">
        <f>IF($A5="","",_xlfn.LET(_xlpm.t,MATCH($B5,'[1]Territory Definitions'!$B$5:$B$14,0),IF(ISNA(_xlpm.t),"NO TERRITORY",IF(INDEX('[1]Territory Definitions'!$D$5:$M$14,_xlpm.t,MATCH(K$4,'[1]Territory Definitions'!$D$4:$M$4,0))&lt;&gt;1,"NOT IN TERRITORY",IF(COUNTIFS('[1]Blackout Brand Fam Areas (Enc)'!$B$6:$B$998,$A5,'[1]Blackout Brand Fam Areas (Enc)'!$C$6:$C$998,K$4,'[1]Blackout Brand Fam Areas (Enc)'!$D$6:$D$998,"Inactive")&gt;0,"BLOCKED","CAN SELL")))))</f>
        <v>CAN SELL</v>
      </c>
      <c r="L5" s="11" t="str">
        <f>IF($A5="","",_xlfn.LET(_xlpm.t,MATCH($B5,'[1]Territory Definitions'!$B$5:$B$14,0),IF(ISNA(_xlpm.t),"NO TERRITORY",IF(INDEX('[1]Territory Definitions'!$D$5:$M$14,_xlpm.t,MATCH(L$4,'[1]Territory Definitions'!$D$4:$M$4,0))&lt;&gt;1,"NOT IN TERRITORY",IF(COUNTIFS('[1]Blackout Brand Fam Areas (Enc)'!$B$6:$B$998,$A5,'[1]Blackout Brand Fam Areas (Enc)'!$C$6:$C$998,L$4,'[1]Blackout Brand Fam Areas (Enc)'!$D$6:$D$998,"Inactive")&gt;0,"BLOCKED","CAN SELL")))))</f>
        <v>CAN SELL</v>
      </c>
      <c r="M5" s="12">
        <f>IF($A5="","",COUNTIF($C5:$L5,"CAN SELL"))</f>
        <v>10</v>
      </c>
      <c r="N5" s="13" cm="1">
        <f t="array" ref="N5">IF($A5="","",SUMPRODUCT(($C5:$L5="CAN SELL")*$C$3:$L$3))</f>
        <v>2306</v>
      </c>
      <c r="O5" s="14" t="str">
        <f>IF($A5="","",IF(COUNTIF($A$5:$A$299,$A5)&gt;1,"DUPLICATE - two different territories assigned",IF($B5="** NO TERRITORY SET **","No territory on Brand Family Territory (Enc)","")))</f>
        <v/>
      </c>
      <c r="P5" s="15" t="str">
        <f>IF($A5="","",IFERROR(INDEX([1]Products!$H$4:$H$4801,MATCH($A5,[1]Products!$G$4:$G$4801,0)),"(no products)"))</f>
        <v>Beak &amp; Skiff</v>
      </c>
      <c r="Q5" s="16">
        <f>IF($A5="","",COUNTIFS([1]Products!$G$4:$G$4801,$A5,[1]Products!$L$4:$L$4801,"Yes"))</f>
        <v>36</v>
      </c>
      <c r="R5" s="16">
        <f>IF($A5="","",COUNTIFS([1]Products!$G$4:$G$4801,$A5,[1]Products!$L$4:$L$4801,"Yes",[1]Products!$K$4:$K$4801,"Draft"))</f>
        <v>3</v>
      </c>
      <c r="S5" s="16">
        <f>IF($A5="","",COUNTIFS([1]Products!$G$4:$G$4801,$A5,[1]Products!$L$4:$L$4801,"Yes",[1]Products!$K$4:$K$4801,"Package"))</f>
        <v>33</v>
      </c>
      <c r="T5" s="17" t="str" cm="1">
        <f t="array" ref="T5">IF($A5="","",_xlfn.IFS($Q5=0,"NO ACTIVE SKUs",AND($R5&gt;0,$S5&gt;0),"Draft &amp; Package",$R5&gt;0,"Draft only",TRUE,"Package only"))</f>
        <v>Draft &amp; Package</v>
      </c>
    </row>
    <row r="6" spans="1:20" x14ac:dyDescent="0.2">
      <c r="A6" s="9" t="str">
        <v>2 Canos</v>
      </c>
      <c r="B6" s="10" t="str">
        <f>IF($A6="","",_xlfn.XLOOKUP($A6,'[1]Brand Family Territory (Enc)'!$A:$A,'[1]Brand Family Territory (Enc)'!$B:$B,"** NO TERRITORY SET **"))</f>
        <v>All Counties</v>
      </c>
      <c r="C6" s="11" t="str">
        <f>IF($A6="","",_xlfn.LET(_xlpm.t,MATCH($B6,'[1]Territory Definitions'!$B$5:$B$14,0),IF(ISNA(_xlpm.t),"NO TERRITORY",IF(INDEX('[1]Territory Definitions'!$D$5:$M$14,_xlpm.t,MATCH(C$4,'[1]Territory Definitions'!$D$4:$M$4,0))&lt;&gt;1,"NOT IN TERRITORY",IF(COUNTIFS('[1]Blackout Brand Fam Areas (Enc)'!$B$6:$B$998,$A6,'[1]Blackout Brand Fam Areas (Enc)'!$C$6:$C$998,C$4,'[1]Blackout Brand Fam Areas (Enc)'!$D$6:$D$998,"Inactive")&gt;0,"BLOCKED","CAN SELL")))))</f>
        <v>CAN SELL</v>
      </c>
      <c r="D6" s="11" t="str">
        <f>IF($A6="","",_xlfn.LET(_xlpm.t,MATCH($B6,'[1]Territory Definitions'!$B$5:$B$14,0),IF(ISNA(_xlpm.t),"NO TERRITORY",IF(INDEX('[1]Territory Definitions'!$D$5:$M$14,_xlpm.t,MATCH(D$4,'[1]Territory Definitions'!$D$4:$M$4,0))&lt;&gt;1,"NOT IN TERRITORY",IF(COUNTIFS('[1]Blackout Brand Fam Areas (Enc)'!$B$6:$B$998,$A6,'[1]Blackout Brand Fam Areas (Enc)'!$C$6:$C$998,D$4,'[1]Blackout Brand Fam Areas (Enc)'!$D$6:$D$998,"Inactive")&gt;0,"BLOCKED","CAN SELL")))))</f>
        <v>CAN SELL</v>
      </c>
      <c r="E6" s="11" t="str">
        <f>IF($A6="","",_xlfn.LET(_xlpm.t,MATCH($B6,'[1]Territory Definitions'!$B$5:$B$14,0),IF(ISNA(_xlpm.t),"NO TERRITORY",IF(INDEX('[1]Territory Definitions'!$D$5:$M$14,_xlpm.t,MATCH(E$4,'[1]Territory Definitions'!$D$4:$M$4,0))&lt;&gt;1,"NOT IN TERRITORY",IF(COUNTIFS('[1]Blackout Brand Fam Areas (Enc)'!$B$6:$B$998,$A6,'[1]Blackout Brand Fam Areas (Enc)'!$C$6:$C$998,E$4,'[1]Blackout Brand Fam Areas (Enc)'!$D$6:$D$998,"Inactive")&gt;0,"BLOCKED","CAN SELL")))))</f>
        <v>CAN SELL</v>
      </c>
      <c r="F6" s="11" t="str">
        <f>IF($A6="","",_xlfn.LET(_xlpm.t,MATCH($B6,'[1]Territory Definitions'!$B$5:$B$14,0),IF(ISNA(_xlpm.t),"NO TERRITORY",IF(INDEX('[1]Territory Definitions'!$D$5:$M$14,_xlpm.t,MATCH(F$4,'[1]Territory Definitions'!$D$4:$M$4,0))&lt;&gt;1,"NOT IN TERRITORY",IF(COUNTIFS('[1]Blackout Brand Fam Areas (Enc)'!$B$6:$B$998,$A6,'[1]Blackout Brand Fam Areas (Enc)'!$C$6:$C$998,F$4,'[1]Blackout Brand Fam Areas (Enc)'!$D$6:$D$998,"Inactive")&gt;0,"BLOCKED","CAN SELL")))))</f>
        <v>CAN SELL</v>
      </c>
      <c r="G6" s="11" t="str">
        <f>IF($A6="","",_xlfn.LET(_xlpm.t,MATCH($B6,'[1]Territory Definitions'!$B$5:$B$14,0),IF(ISNA(_xlpm.t),"NO TERRITORY",IF(INDEX('[1]Territory Definitions'!$D$5:$M$14,_xlpm.t,MATCH(G$4,'[1]Territory Definitions'!$D$4:$M$4,0))&lt;&gt;1,"NOT IN TERRITORY",IF(COUNTIFS('[1]Blackout Brand Fam Areas (Enc)'!$B$6:$B$998,$A6,'[1]Blackout Brand Fam Areas (Enc)'!$C$6:$C$998,G$4,'[1]Blackout Brand Fam Areas (Enc)'!$D$6:$D$998,"Inactive")&gt;0,"BLOCKED","CAN SELL")))))</f>
        <v>CAN SELL</v>
      </c>
      <c r="H6" s="11" t="str">
        <f>IF($A6="","",_xlfn.LET(_xlpm.t,MATCH($B6,'[1]Territory Definitions'!$B$5:$B$14,0),IF(ISNA(_xlpm.t),"NO TERRITORY",IF(INDEX('[1]Territory Definitions'!$D$5:$M$14,_xlpm.t,MATCH(H$4,'[1]Territory Definitions'!$D$4:$M$4,0))&lt;&gt;1,"NOT IN TERRITORY",IF(COUNTIFS('[1]Blackout Brand Fam Areas (Enc)'!$B$6:$B$998,$A6,'[1]Blackout Brand Fam Areas (Enc)'!$C$6:$C$998,H$4,'[1]Blackout Brand Fam Areas (Enc)'!$D$6:$D$998,"Inactive")&gt;0,"BLOCKED","CAN SELL")))))</f>
        <v>CAN SELL</v>
      </c>
      <c r="I6" s="11" t="str">
        <f>IF($A6="","",_xlfn.LET(_xlpm.t,MATCH($B6,'[1]Territory Definitions'!$B$5:$B$14,0),IF(ISNA(_xlpm.t),"NO TERRITORY",IF(INDEX('[1]Territory Definitions'!$D$5:$M$14,_xlpm.t,MATCH(I$4,'[1]Territory Definitions'!$D$4:$M$4,0))&lt;&gt;1,"NOT IN TERRITORY",IF(COUNTIFS('[1]Blackout Brand Fam Areas (Enc)'!$B$6:$B$998,$A6,'[1]Blackout Brand Fam Areas (Enc)'!$C$6:$C$998,I$4,'[1]Blackout Brand Fam Areas (Enc)'!$D$6:$D$998,"Inactive")&gt;0,"BLOCKED","CAN SELL")))))</f>
        <v>CAN SELL</v>
      </c>
      <c r="J6" s="11" t="str">
        <f>IF($A6="","",_xlfn.LET(_xlpm.t,MATCH($B6,'[1]Territory Definitions'!$B$5:$B$14,0),IF(ISNA(_xlpm.t),"NO TERRITORY",IF(INDEX('[1]Territory Definitions'!$D$5:$M$14,_xlpm.t,MATCH(J$4,'[1]Territory Definitions'!$D$4:$M$4,0))&lt;&gt;1,"NOT IN TERRITORY",IF(COUNTIFS('[1]Blackout Brand Fam Areas (Enc)'!$B$6:$B$998,$A6,'[1]Blackout Brand Fam Areas (Enc)'!$C$6:$C$998,J$4,'[1]Blackout Brand Fam Areas (Enc)'!$D$6:$D$998,"Inactive")&gt;0,"BLOCKED","CAN SELL")))))</f>
        <v>CAN SELL</v>
      </c>
      <c r="K6" s="11" t="str">
        <f>IF($A6="","",_xlfn.LET(_xlpm.t,MATCH($B6,'[1]Territory Definitions'!$B$5:$B$14,0),IF(ISNA(_xlpm.t),"NO TERRITORY",IF(INDEX('[1]Territory Definitions'!$D$5:$M$14,_xlpm.t,MATCH(K$4,'[1]Territory Definitions'!$D$4:$M$4,0))&lt;&gt;1,"NOT IN TERRITORY",IF(COUNTIFS('[1]Blackout Brand Fam Areas (Enc)'!$B$6:$B$998,$A6,'[1]Blackout Brand Fam Areas (Enc)'!$C$6:$C$998,K$4,'[1]Blackout Brand Fam Areas (Enc)'!$D$6:$D$998,"Inactive")&gt;0,"BLOCKED","CAN SELL")))))</f>
        <v>CAN SELL</v>
      </c>
      <c r="L6" s="11" t="str">
        <f>IF($A6="","",_xlfn.LET(_xlpm.t,MATCH($B6,'[1]Territory Definitions'!$B$5:$B$14,0),IF(ISNA(_xlpm.t),"NO TERRITORY",IF(INDEX('[1]Territory Definitions'!$D$5:$M$14,_xlpm.t,MATCH(L$4,'[1]Territory Definitions'!$D$4:$M$4,0))&lt;&gt;1,"NOT IN TERRITORY",IF(COUNTIFS('[1]Blackout Brand Fam Areas (Enc)'!$B$6:$B$998,$A6,'[1]Blackout Brand Fam Areas (Enc)'!$C$6:$C$998,L$4,'[1]Blackout Brand Fam Areas (Enc)'!$D$6:$D$998,"Inactive")&gt;0,"BLOCKED","CAN SELL")))))</f>
        <v>CAN SELL</v>
      </c>
      <c r="M6" s="12">
        <f>IF($A6="","",COUNTIF($C6:$L6,"CAN SELL"))</f>
        <v>10</v>
      </c>
      <c r="N6" s="13" cm="1">
        <f t="array" ref="N6">IF($A6="","",SUMPRODUCT(($C6:$L6="CAN SELL")*$C$3:$L$3))</f>
        <v>2306</v>
      </c>
      <c r="O6" s="14" t="str">
        <f>IF($A6="","",IF(COUNTIF($A$5:$A$299,$A6)&gt;1,"DUPLICATE - two different territories assigned",IF($B6="** NO TERRITORY SET **","No territory on Brand Family Territory (Enc)","")))</f>
        <v/>
      </c>
      <c r="P6" s="18" t="str">
        <f>IF($A6="","",IFERROR(INDEX([1]Products!$H$4:$H$4801,MATCH($A6,[1]Products!$G$4:$G$4801,0)),"(no products)"))</f>
        <v>Caravella Inc</v>
      </c>
      <c r="Q6" s="19">
        <f>IF($A6="","",COUNTIFS([1]Products!$G$4:$G$4801,$A6,[1]Products!$L$4:$L$4801,"Yes"))</f>
        <v>4</v>
      </c>
      <c r="R6" s="19">
        <f>IF($A6="","",COUNTIFS([1]Products!$G$4:$G$4801,$A6,[1]Products!$L$4:$L$4801,"Yes",[1]Products!$K$4:$K$4801,"Draft"))</f>
        <v>0</v>
      </c>
      <c r="S6" s="19">
        <f>IF($A6="","",COUNTIFS([1]Products!$G$4:$G$4801,$A6,[1]Products!$L$4:$L$4801,"Yes",[1]Products!$K$4:$K$4801,"Package"))</f>
        <v>0</v>
      </c>
      <c r="T6" s="20" t="str" cm="1">
        <f t="array" ref="T6">IF($A6="","",_xlfn.IFS($Q6=0,"NO ACTIVE SKUs",AND($R6&gt;0,$S6&gt;0),"Draft &amp; Package",$R6&gt;0,"Draft only",TRUE,"Package only"))</f>
        <v>Package only</v>
      </c>
    </row>
    <row r="7" spans="1:20" x14ac:dyDescent="0.2">
      <c r="A7" s="9" t="str">
        <v>2XO</v>
      </c>
      <c r="B7" s="10" t="str">
        <f>IF($A7="","",_xlfn.XLOOKUP($A7,'[1]Brand Family Territory (Enc)'!$A:$A,'[1]Brand Family Territory (Enc)'!$B:$B,"** NO TERRITORY SET **"))</f>
        <v>All Counties</v>
      </c>
      <c r="C7" s="11" t="str">
        <f>IF($A7="","",_xlfn.LET(_xlpm.t,MATCH($B7,'[1]Territory Definitions'!$B$5:$B$14,0),IF(ISNA(_xlpm.t),"NO TERRITORY",IF(INDEX('[1]Territory Definitions'!$D$5:$M$14,_xlpm.t,MATCH(C$4,'[1]Territory Definitions'!$D$4:$M$4,0))&lt;&gt;1,"NOT IN TERRITORY",IF(COUNTIFS('[1]Blackout Brand Fam Areas (Enc)'!$B$6:$B$998,$A7,'[1]Blackout Brand Fam Areas (Enc)'!$C$6:$C$998,C$4,'[1]Blackout Brand Fam Areas (Enc)'!$D$6:$D$998,"Inactive")&gt;0,"BLOCKED","CAN SELL")))))</f>
        <v>CAN SELL</v>
      </c>
      <c r="D7" s="11" t="str">
        <f>IF($A7="","",_xlfn.LET(_xlpm.t,MATCH($B7,'[1]Territory Definitions'!$B$5:$B$14,0),IF(ISNA(_xlpm.t),"NO TERRITORY",IF(INDEX('[1]Territory Definitions'!$D$5:$M$14,_xlpm.t,MATCH(D$4,'[1]Territory Definitions'!$D$4:$M$4,0))&lt;&gt;1,"NOT IN TERRITORY",IF(COUNTIFS('[1]Blackout Brand Fam Areas (Enc)'!$B$6:$B$998,$A7,'[1]Blackout Brand Fam Areas (Enc)'!$C$6:$C$998,D$4,'[1]Blackout Brand Fam Areas (Enc)'!$D$6:$D$998,"Inactive")&gt;0,"BLOCKED","CAN SELL")))))</f>
        <v>CAN SELL</v>
      </c>
      <c r="E7" s="11" t="str">
        <f>IF($A7="","",_xlfn.LET(_xlpm.t,MATCH($B7,'[1]Territory Definitions'!$B$5:$B$14,0),IF(ISNA(_xlpm.t),"NO TERRITORY",IF(INDEX('[1]Territory Definitions'!$D$5:$M$14,_xlpm.t,MATCH(E$4,'[1]Territory Definitions'!$D$4:$M$4,0))&lt;&gt;1,"NOT IN TERRITORY",IF(COUNTIFS('[1]Blackout Brand Fam Areas (Enc)'!$B$6:$B$998,$A7,'[1]Blackout Brand Fam Areas (Enc)'!$C$6:$C$998,E$4,'[1]Blackout Brand Fam Areas (Enc)'!$D$6:$D$998,"Inactive")&gt;0,"BLOCKED","CAN SELL")))))</f>
        <v>CAN SELL</v>
      </c>
      <c r="F7" s="11" t="str">
        <f>IF($A7="","",_xlfn.LET(_xlpm.t,MATCH($B7,'[1]Territory Definitions'!$B$5:$B$14,0),IF(ISNA(_xlpm.t),"NO TERRITORY",IF(INDEX('[1]Territory Definitions'!$D$5:$M$14,_xlpm.t,MATCH(F$4,'[1]Territory Definitions'!$D$4:$M$4,0))&lt;&gt;1,"NOT IN TERRITORY",IF(COUNTIFS('[1]Blackout Brand Fam Areas (Enc)'!$B$6:$B$998,$A7,'[1]Blackout Brand Fam Areas (Enc)'!$C$6:$C$998,F$4,'[1]Blackout Brand Fam Areas (Enc)'!$D$6:$D$998,"Inactive")&gt;0,"BLOCKED","CAN SELL")))))</f>
        <v>CAN SELL</v>
      </c>
      <c r="G7" s="11" t="str">
        <f>IF($A7="","",_xlfn.LET(_xlpm.t,MATCH($B7,'[1]Territory Definitions'!$B$5:$B$14,0),IF(ISNA(_xlpm.t),"NO TERRITORY",IF(INDEX('[1]Territory Definitions'!$D$5:$M$14,_xlpm.t,MATCH(G$4,'[1]Territory Definitions'!$D$4:$M$4,0))&lt;&gt;1,"NOT IN TERRITORY",IF(COUNTIFS('[1]Blackout Brand Fam Areas (Enc)'!$B$6:$B$998,$A7,'[1]Blackout Brand Fam Areas (Enc)'!$C$6:$C$998,G$4,'[1]Blackout Brand Fam Areas (Enc)'!$D$6:$D$998,"Inactive")&gt;0,"BLOCKED","CAN SELL")))))</f>
        <v>CAN SELL</v>
      </c>
      <c r="H7" s="11" t="str">
        <f>IF($A7="","",_xlfn.LET(_xlpm.t,MATCH($B7,'[1]Territory Definitions'!$B$5:$B$14,0),IF(ISNA(_xlpm.t),"NO TERRITORY",IF(INDEX('[1]Territory Definitions'!$D$5:$M$14,_xlpm.t,MATCH(H$4,'[1]Territory Definitions'!$D$4:$M$4,0))&lt;&gt;1,"NOT IN TERRITORY",IF(COUNTIFS('[1]Blackout Brand Fam Areas (Enc)'!$B$6:$B$998,$A7,'[1]Blackout Brand Fam Areas (Enc)'!$C$6:$C$998,H$4,'[1]Blackout Brand Fam Areas (Enc)'!$D$6:$D$998,"Inactive")&gt;0,"BLOCKED","CAN SELL")))))</f>
        <v>CAN SELL</v>
      </c>
      <c r="I7" s="11" t="str">
        <f>IF($A7="","",_xlfn.LET(_xlpm.t,MATCH($B7,'[1]Territory Definitions'!$B$5:$B$14,0),IF(ISNA(_xlpm.t),"NO TERRITORY",IF(INDEX('[1]Territory Definitions'!$D$5:$M$14,_xlpm.t,MATCH(I$4,'[1]Territory Definitions'!$D$4:$M$4,0))&lt;&gt;1,"NOT IN TERRITORY",IF(COUNTIFS('[1]Blackout Brand Fam Areas (Enc)'!$B$6:$B$998,$A7,'[1]Blackout Brand Fam Areas (Enc)'!$C$6:$C$998,I$4,'[1]Blackout Brand Fam Areas (Enc)'!$D$6:$D$998,"Inactive")&gt;0,"BLOCKED","CAN SELL")))))</f>
        <v>CAN SELL</v>
      </c>
      <c r="J7" s="11" t="str">
        <f>IF($A7="","",_xlfn.LET(_xlpm.t,MATCH($B7,'[1]Territory Definitions'!$B$5:$B$14,0),IF(ISNA(_xlpm.t),"NO TERRITORY",IF(INDEX('[1]Territory Definitions'!$D$5:$M$14,_xlpm.t,MATCH(J$4,'[1]Territory Definitions'!$D$4:$M$4,0))&lt;&gt;1,"NOT IN TERRITORY",IF(COUNTIFS('[1]Blackout Brand Fam Areas (Enc)'!$B$6:$B$998,$A7,'[1]Blackout Brand Fam Areas (Enc)'!$C$6:$C$998,J$4,'[1]Blackout Brand Fam Areas (Enc)'!$D$6:$D$998,"Inactive")&gt;0,"BLOCKED","CAN SELL")))))</f>
        <v>CAN SELL</v>
      </c>
      <c r="K7" s="11" t="str">
        <f>IF($A7="","",_xlfn.LET(_xlpm.t,MATCH($B7,'[1]Territory Definitions'!$B$5:$B$14,0),IF(ISNA(_xlpm.t),"NO TERRITORY",IF(INDEX('[1]Territory Definitions'!$D$5:$M$14,_xlpm.t,MATCH(K$4,'[1]Territory Definitions'!$D$4:$M$4,0))&lt;&gt;1,"NOT IN TERRITORY",IF(COUNTIFS('[1]Blackout Brand Fam Areas (Enc)'!$B$6:$B$998,$A7,'[1]Blackout Brand Fam Areas (Enc)'!$C$6:$C$998,K$4,'[1]Blackout Brand Fam Areas (Enc)'!$D$6:$D$998,"Inactive")&gt;0,"BLOCKED","CAN SELL")))))</f>
        <v>CAN SELL</v>
      </c>
      <c r="L7" s="11" t="str">
        <f>IF($A7="","",_xlfn.LET(_xlpm.t,MATCH($B7,'[1]Territory Definitions'!$B$5:$B$14,0),IF(ISNA(_xlpm.t),"NO TERRITORY",IF(INDEX('[1]Territory Definitions'!$D$5:$M$14,_xlpm.t,MATCH(L$4,'[1]Territory Definitions'!$D$4:$M$4,0))&lt;&gt;1,"NOT IN TERRITORY",IF(COUNTIFS('[1]Blackout Brand Fam Areas (Enc)'!$B$6:$B$998,$A7,'[1]Blackout Brand Fam Areas (Enc)'!$C$6:$C$998,L$4,'[1]Blackout Brand Fam Areas (Enc)'!$D$6:$D$998,"Inactive")&gt;0,"BLOCKED","CAN SELL")))))</f>
        <v>CAN SELL</v>
      </c>
      <c r="M7" s="12">
        <f>IF($A7="","",COUNTIF($C7:$L7,"CAN SELL"))</f>
        <v>10</v>
      </c>
      <c r="N7" s="13" cm="1">
        <f t="array" ref="N7">IF($A7="","",SUMPRODUCT(($C7:$L7="CAN SELL")*$C$3:$L$3))</f>
        <v>2306</v>
      </c>
      <c r="O7" s="14" t="str">
        <f>IF($A7="","",IF(COUNTIF($A$5:$A$299,$A7)&gt;1,"DUPLICATE - two different territories assigned",IF($B7="** NO TERRITORY SET **","No territory on Brand Family Territory (Enc)","")))</f>
        <v/>
      </c>
      <c r="P7" s="18" t="str">
        <f>IF($A7="","",IFERROR(INDEX([1]Products!$H$4:$H$4801,MATCH($A7,[1]Products!$G$4:$G$4801,0)),"(no products)"))</f>
        <v>Prestige Beverage Group</v>
      </c>
      <c r="Q7" s="19">
        <f>IF($A7="","",COUNTIFS([1]Products!$G$4:$G$4801,$A7,[1]Products!$L$4:$L$4801,"Yes"))</f>
        <v>3</v>
      </c>
      <c r="R7" s="19">
        <f>IF($A7="","",COUNTIFS([1]Products!$G$4:$G$4801,$A7,[1]Products!$L$4:$L$4801,"Yes",[1]Products!$K$4:$K$4801,"Draft"))</f>
        <v>0</v>
      </c>
      <c r="S7" s="19">
        <f>IF($A7="","",COUNTIFS([1]Products!$G$4:$G$4801,$A7,[1]Products!$L$4:$L$4801,"Yes",[1]Products!$K$4:$K$4801,"Package"))</f>
        <v>0</v>
      </c>
      <c r="T7" s="20" t="str" cm="1">
        <f t="array" ref="T7">IF($A7="","",_xlfn.IFS($Q7=0,"NO ACTIVE SKUs",AND($R7&gt;0,$S7&gt;0),"Draft &amp; Package",$R7&gt;0,"Draft only",TRUE,"Package only"))</f>
        <v>Package only</v>
      </c>
    </row>
    <row r="8" spans="1:20" x14ac:dyDescent="0.2">
      <c r="A8" s="9" t="str">
        <v>Aguila</v>
      </c>
      <c r="B8" s="10" t="str">
        <f>IF($A8="","",_xlfn.XLOOKUP($A8,'[1]Brand Family Territory (Enc)'!$A:$A,'[1]Brand Family Territory (Enc)'!$B:$B,"** NO TERRITORY SET **"))</f>
        <v>Core Market</v>
      </c>
      <c r="C8" s="11" t="str">
        <f>IF($A8="","",_xlfn.LET(_xlpm.t,MATCH($B8,'[1]Territory Definitions'!$B$5:$B$14,0),IF(ISNA(_xlpm.t),"NO TERRITORY",IF(INDEX('[1]Territory Definitions'!$D$5:$M$14,_xlpm.t,MATCH(C$4,'[1]Territory Definitions'!$D$4:$M$4,0))&lt;&gt;1,"NOT IN TERRITORY",IF(COUNTIFS('[1]Blackout Brand Fam Areas (Enc)'!$B$6:$B$998,$A8,'[1]Blackout Brand Fam Areas (Enc)'!$C$6:$C$998,C$4,'[1]Blackout Brand Fam Areas (Enc)'!$D$6:$D$998,"Inactive")&gt;0,"BLOCKED","CAN SELL")))))</f>
        <v>CAN SELL</v>
      </c>
      <c r="D8" s="11" t="str">
        <f>IF($A8="","",_xlfn.LET(_xlpm.t,MATCH($B8,'[1]Territory Definitions'!$B$5:$B$14,0),IF(ISNA(_xlpm.t),"NO TERRITORY",IF(INDEX('[1]Territory Definitions'!$D$5:$M$14,_xlpm.t,MATCH(D$4,'[1]Territory Definitions'!$D$4:$M$4,0))&lt;&gt;1,"NOT IN TERRITORY",IF(COUNTIFS('[1]Blackout Brand Fam Areas (Enc)'!$B$6:$B$998,$A8,'[1]Blackout Brand Fam Areas (Enc)'!$C$6:$C$998,D$4,'[1]Blackout Brand Fam Areas (Enc)'!$D$6:$D$998,"Inactive")&gt;0,"BLOCKED","CAN SELL")))))</f>
        <v>CAN SELL</v>
      </c>
      <c r="E8" s="11" t="str">
        <f>IF($A8="","",_xlfn.LET(_xlpm.t,MATCH($B8,'[1]Territory Definitions'!$B$5:$B$14,0),IF(ISNA(_xlpm.t),"NO TERRITORY",IF(INDEX('[1]Territory Definitions'!$D$5:$M$14,_xlpm.t,MATCH(E$4,'[1]Territory Definitions'!$D$4:$M$4,0))&lt;&gt;1,"NOT IN TERRITORY",IF(COUNTIFS('[1]Blackout Brand Fam Areas (Enc)'!$B$6:$B$998,$A8,'[1]Blackout Brand Fam Areas (Enc)'!$C$6:$C$998,E$4,'[1]Blackout Brand Fam Areas (Enc)'!$D$6:$D$998,"Inactive")&gt;0,"BLOCKED","CAN SELL")))))</f>
        <v>CAN SELL</v>
      </c>
      <c r="F8" s="11" t="str">
        <f>IF($A8="","",_xlfn.LET(_xlpm.t,MATCH($B8,'[1]Territory Definitions'!$B$5:$B$14,0),IF(ISNA(_xlpm.t),"NO TERRITORY",IF(INDEX('[1]Territory Definitions'!$D$5:$M$14,_xlpm.t,MATCH(F$4,'[1]Territory Definitions'!$D$4:$M$4,0))&lt;&gt;1,"NOT IN TERRITORY",IF(COUNTIFS('[1]Blackout Brand Fam Areas (Enc)'!$B$6:$B$998,$A8,'[1]Blackout Brand Fam Areas (Enc)'!$C$6:$C$998,F$4,'[1]Blackout Brand Fam Areas (Enc)'!$D$6:$D$998,"Inactive")&gt;0,"BLOCKED","CAN SELL")))))</f>
        <v>NOT IN TERRITORY</v>
      </c>
      <c r="G8" s="11" t="str">
        <f>IF($A8="","",_xlfn.LET(_xlpm.t,MATCH($B8,'[1]Territory Definitions'!$B$5:$B$14,0),IF(ISNA(_xlpm.t),"NO TERRITORY",IF(INDEX('[1]Territory Definitions'!$D$5:$M$14,_xlpm.t,MATCH(G$4,'[1]Territory Definitions'!$D$4:$M$4,0))&lt;&gt;1,"NOT IN TERRITORY",IF(COUNTIFS('[1]Blackout Brand Fam Areas (Enc)'!$B$6:$B$998,$A8,'[1]Blackout Brand Fam Areas (Enc)'!$C$6:$C$998,G$4,'[1]Blackout Brand Fam Areas (Enc)'!$D$6:$D$998,"Inactive")&gt;0,"BLOCKED","CAN SELL")))))</f>
        <v>NOT IN TERRITORY</v>
      </c>
      <c r="H8" s="11" t="str">
        <f>IF($A8="","",_xlfn.LET(_xlpm.t,MATCH($B8,'[1]Territory Definitions'!$B$5:$B$14,0),IF(ISNA(_xlpm.t),"NO TERRITORY",IF(INDEX('[1]Territory Definitions'!$D$5:$M$14,_xlpm.t,MATCH(H$4,'[1]Territory Definitions'!$D$4:$M$4,0))&lt;&gt;1,"NOT IN TERRITORY",IF(COUNTIFS('[1]Blackout Brand Fam Areas (Enc)'!$B$6:$B$998,$A8,'[1]Blackout Brand Fam Areas (Enc)'!$C$6:$C$998,H$4,'[1]Blackout Brand Fam Areas (Enc)'!$D$6:$D$998,"Inactive")&gt;0,"BLOCKED","CAN SELL")))))</f>
        <v>NOT IN TERRITORY</v>
      </c>
      <c r="I8" s="11" t="str">
        <f>IF($A8="","",_xlfn.LET(_xlpm.t,MATCH($B8,'[1]Territory Definitions'!$B$5:$B$14,0),IF(ISNA(_xlpm.t),"NO TERRITORY",IF(INDEX('[1]Territory Definitions'!$D$5:$M$14,_xlpm.t,MATCH(I$4,'[1]Territory Definitions'!$D$4:$M$4,0))&lt;&gt;1,"NOT IN TERRITORY",IF(COUNTIFS('[1]Blackout Brand Fam Areas (Enc)'!$B$6:$B$998,$A8,'[1]Blackout Brand Fam Areas (Enc)'!$C$6:$C$998,I$4,'[1]Blackout Brand Fam Areas (Enc)'!$D$6:$D$998,"Inactive")&gt;0,"BLOCKED","CAN SELL")))))</f>
        <v>CAN SELL</v>
      </c>
      <c r="J8" s="11" t="str">
        <f>IF($A8="","",_xlfn.LET(_xlpm.t,MATCH($B8,'[1]Territory Definitions'!$B$5:$B$14,0),IF(ISNA(_xlpm.t),"NO TERRITORY",IF(INDEX('[1]Territory Definitions'!$D$5:$M$14,_xlpm.t,MATCH(J$4,'[1]Territory Definitions'!$D$4:$M$4,0))&lt;&gt;1,"NOT IN TERRITORY",IF(COUNTIFS('[1]Blackout Brand Fam Areas (Enc)'!$B$6:$B$998,$A8,'[1]Blackout Brand Fam Areas (Enc)'!$C$6:$C$998,J$4,'[1]Blackout Brand Fam Areas (Enc)'!$D$6:$D$998,"Inactive")&gt;0,"BLOCKED","CAN SELL")))))</f>
        <v>CAN SELL</v>
      </c>
      <c r="K8" s="11" t="str">
        <f>IF($A8="","",_xlfn.LET(_xlpm.t,MATCH($B8,'[1]Territory Definitions'!$B$5:$B$14,0),IF(ISNA(_xlpm.t),"NO TERRITORY",IF(INDEX('[1]Territory Definitions'!$D$5:$M$14,_xlpm.t,MATCH(K$4,'[1]Territory Definitions'!$D$4:$M$4,0))&lt;&gt;1,"NOT IN TERRITORY",IF(COUNTIFS('[1]Blackout Brand Fam Areas (Enc)'!$B$6:$B$998,$A8,'[1]Blackout Brand Fam Areas (Enc)'!$C$6:$C$998,K$4,'[1]Blackout Brand Fam Areas (Enc)'!$D$6:$D$998,"Inactive")&gt;0,"BLOCKED","CAN SELL")))))</f>
        <v>NOT IN TERRITORY</v>
      </c>
      <c r="L8" s="11" t="str">
        <f>IF($A8="","",_xlfn.LET(_xlpm.t,MATCH($B8,'[1]Territory Definitions'!$B$5:$B$14,0),IF(ISNA(_xlpm.t),"NO TERRITORY",IF(INDEX('[1]Territory Definitions'!$D$5:$M$14,_xlpm.t,MATCH(L$4,'[1]Territory Definitions'!$D$4:$M$4,0))&lt;&gt;1,"NOT IN TERRITORY",IF(COUNTIFS('[1]Blackout Brand Fam Areas (Enc)'!$B$6:$B$998,$A8,'[1]Blackout Brand Fam Areas (Enc)'!$C$6:$C$998,L$4,'[1]Blackout Brand Fam Areas (Enc)'!$D$6:$D$998,"Inactive")&gt;0,"BLOCKED","CAN SELL")))))</f>
        <v>CAN SELL</v>
      </c>
      <c r="M8" s="12">
        <f>IF($A8="","",COUNTIF($C8:$L8,"CAN SELL"))</f>
        <v>6</v>
      </c>
      <c r="N8" s="13" cm="1">
        <f t="array" ref="N8">IF($A8="","",SUMPRODUCT(($C8:$L8="CAN SELL")*$C$3:$L$3))</f>
        <v>1596</v>
      </c>
      <c r="O8" s="14" t="str">
        <f>IF($A8="","",IF(COUNTIF($A$5:$A$299,$A8)&gt;1,"DUPLICATE - two different territories assigned",IF($B8="** NO TERRITORY SET **","No territory on Brand Family Territory (Enc)","")))</f>
        <v/>
      </c>
      <c r="P8" s="18" t="str">
        <f>IF($A8="","",IFERROR(INDEX([1]Products!$H$4:$H$4801,MATCH($A8,[1]Products!$G$4:$G$4801,0)),"(no products)"))</f>
        <v>MolsonCoors Beverage Company</v>
      </c>
      <c r="Q8" s="19">
        <f>IF($A8="","",COUNTIFS([1]Products!$G$4:$G$4801,$A8,[1]Products!$L$4:$L$4801,"Yes"))</f>
        <v>1</v>
      </c>
      <c r="R8" s="19">
        <f>IF($A8="","",COUNTIFS([1]Products!$G$4:$G$4801,$A8,[1]Products!$L$4:$L$4801,"Yes",[1]Products!$K$4:$K$4801,"Draft"))</f>
        <v>0</v>
      </c>
      <c r="S8" s="19">
        <f>IF($A8="","",COUNTIFS([1]Products!$G$4:$G$4801,$A8,[1]Products!$L$4:$L$4801,"Yes",[1]Products!$K$4:$K$4801,"Package"))</f>
        <v>1</v>
      </c>
      <c r="T8" s="20" t="str" cm="1">
        <f t="array" ref="T8">IF($A8="","",_xlfn.IFS($Q8=0,"NO ACTIVE SKUs",AND($R8&gt;0,$S8&gt;0),"Draft &amp; Package",$R8&gt;0,"Draft only",TRUE,"Package only"))</f>
        <v>Package only</v>
      </c>
    </row>
    <row r="9" spans="1:20" x14ac:dyDescent="0.2">
      <c r="A9" s="9" t="str">
        <v>Aguila Import</v>
      </c>
      <c r="B9" s="10" t="str">
        <f>IF($A9="","",_xlfn.XLOOKUP($A9,'[1]Brand Family Territory (Enc)'!$A:$A,'[1]Brand Family Territory (Enc)'!$B:$B,"** NO TERRITORY SET **"))</f>
        <v>All Counties</v>
      </c>
      <c r="C9" s="11" t="str">
        <f>IF($A9="","",_xlfn.LET(_xlpm.t,MATCH($B9,'[1]Territory Definitions'!$B$5:$B$14,0),IF(ISNA(_xlpm.t),"NO TERRITORY",IF(INDEX('[1]Territory Definitions'!$D$5:$M$14,_xlpm.t,MATCH(C$4,'[1]Territory Definitions'!$D$4:$M$4,0))&lt;&gt;1,"NOT IN TERRITORY",IF(COUNTIFS('[1]Blackout Brand Fam Areas (Enc)'!$B$6:$B$998,$A9,'[1]Blackout Brand Fam Areas (Enc)'!$C$6:$C$998,C$4,'[1]Blackout Brand Fam Areas (Enc)'!$D$6:$D$998,"Inactive")&gt;0,"BLOCKED","CAN SELL")))))</f>
        <v>CAN SELL</v>
      </c>
      <c r="D9" s="11" t="str">
        <f>IF($A9="","",_xlfn.LET(_xlpm.t,MATCH($B9,'[1]Territory Definitions'!$B$5:$B$14,0),IF(ISNA(_xlpm.t),"NO TERRITORY",IF(INDEX('[1]Territory Definitions'!$D$5:$M$14,_xlpm.t,MATCH(D$4,'[1]Territory Definitions'!$D$4:$M$4,0))&lt;&gt;1,"NOT IN TERRITORY",IF(COUNTIFS('[1]Blackout Brand Fam Areas (Enc)'!$B$6:$B$998,$A9,'[1]Blackout Brand Fam Areas (Enc)'!$C$6:$C$998,D$4,'[1]Blackout Brand Fam Areas (Enc)'!$D$6:$D$998,"Inactive")&gt;0,"BLOCKED","CAN SELL")))))</f>
        <v>CAN SELL</v>
      </c>
      <c r="E9" s="11" t="str">
        <f>IF($A9="","",_xlfn.LET(_xlpm.t,MATCH($B9,'[1]Territory Definitions'!$B$5:$B$14,0),IF(ISNA(_xlpm.t),"NO TERRITORY",IF(INDEX('[1]Territory Definitions'!$D$5:$M$14,_xlpm.t,MATCH(E$4,'[1]Territory Definitions'!$D$4:$M$4,0))&lt;&gt;1,"NOT IN TERRITORY",IF(COUNTIFS('[1]Blackout Brand Fam Areas (Enc)'!$B$6:$B$998,$A9,'[1]Blackout Brand Fam Areas (Enc)'!$C$6:$C$998,E$4,'[1]Blackout Brand Fam Areas (Enc)'!$D$6:$D$998,"Inactive")&gt;0,"BLOCKED","CAN SELL")))))</f>
        <v>CAN SELL</v>
      </c>
      <c r="F9" s="11" t="str">
        <f>IF($A9="","",_xlfn.LET(_xlpm.t,MATCH($B9,'[1]Territory Definitions'!$B$5:$B$14,0),IF(ISNA(_xlpm.t),"NO TERRITORY",IF(INDEX('[1]Territory Definitions'!$D$5:$M$14,_xlpm.t,MATCH(F$4,'[1]Territory Definitions'!$D$4:$M$4,0))&lt;&gt;1,"NOT IN TERRITORY",IF(COUNTIFS('[1]Blackout Brand Fam Areas (Enc)'!$B$6:$B$998,$A9,'[1]Blackout Brand Fam Areas (Enc)'!$C$6:$C$998,F$4,'[1]Blackout Brand Fam Areas (Enc)'!$D$6:$D$998,"Inactive")&gt;0,"BLOCKED","CAN SELL")))))</f>
        <v>CAN SELL</v>
      </c>
      <c r="G9" s="11" t="str">
        <f>IF($A9="","",_xlfn.LET(_xlpm.t,MATCH($B9,'[1]Territory Definitions'!$B$5:$B$14,0),IF(ISNA(_xlpm.t),"NO TERRITORY",IF(INDEX('[1]Territory Definitions'!$D$5:$M$14,_xlpm.t,MATCH(G$4,'[1]Territory Definitions'!$D$4:$M$4,0))&lt;&gt;1,"NOT IN TERRITORY",IF(COUNTIFS('[1]Blackout Brand Fam Areas (Enc)'!$B$6:$B$998,$A9,'[1]Blackout Brand Fam Areas (Enc)'!$C$6:$C$998,G$4,'[1]Blackout Brand Fam Areas (Enc)'!$D$6:$D$998,"Inactive")&gt;0,"BLOCKED","CAN SELL")))))</f>
        <v>CAN SELL</v>
      </c>
      <c r="H9" s="11" t="str">
        <f>IF($A9="","",_xlfn.LET(_xlpm.t,MATCH($B9,'[1]Territory Definitions'!$B$5:$B$14,0),IF(ISNA(_xlpm.t),"NO TERRITORY",IF(INDEX('[1]Territory Definitions'!$D$5:$M$14,_xlpm.t,MATCH(H$4,'[1]Territory Definitions'!$D$4:$M$4,0))&lt;&gt;1,"NOT IN TERRITORY",IF(COUNTIFS('[1]Blackout Brand Fam Areas (Enc)'!$B$6:$B$998,$A9,'[1]Blackout Brand Fam Areas (Enc)'!$C$6:$C$998,H$4,'[1]Blackout Brand Fam Areas (Enc)'!$D$6:$D$998,"Inactive")&gt;0,"BLOCKED","CAN SELL")))))</f>
        <v>CAN SELL</v>
      </c>
      <c r="I9" s="11" t="str">
        <f>IF($A9="","",_xlfn.LET(_xlpm.t,MATCH($B9,'[1]Territory Definitions'!$B$5:$B$14,0),IF(ISNA(_xlpm.t),"NO TERRITORY",IF(INDEX('[1]Territory Definitions'!$D$5:$M$14,_xlpm.t,MATCH(I$4,'[1]Territory Definitions'!$D$4:$M$4,0))&lt;&gt;1,"NOT IN TERRITORY",IF(COUNTIFS('[1]Blackout Brand Fam Areas (Enc)'!$B$6:$B$998,$A9,'[1]Blackout Brand Fam Areas (Enc)'!$C$6:$C$998,I$4,'[1]Blackout Brand Fam Areas (Enc)'!$D$6:$D$998,"Inactive")&gt;0,"BLOCKED","CAN SELL")))))</f>
        <v>CAN SELL</v>
      </c>
      <c r="J9" s="11" t="str">
        <f>IF($A9="","",_xlfn.LET(_xlpm.t,MATCH($B9,'[1]Territory Definitions'!$B$5:$B$14,0),IF(ISNA(_xlpm.t),"NO TERRITORY",IF(INDEX('[1]Territory Definitions'!$D$5:$M$14,_xlpm.t,MATCH(J$4,'[1]Territory Definitions'!$D$4:$M$4,0))&lt;&gt;1,"NOT IN TERRITORY",IF(COUNTIFS('[1]Blackout Brand Fam Areas (Enc)'!$B$6:$B$998,$A9,'[1]Blackout Brand Fam Areas (Enc)'!$C$6:$C$998,J$4,'[1]Blackout Brand Fam Areas (Enc)'!$D$6:$D$998,"Inactive")&gt;0,"BLOCKED","CAN SELL")))))</f>
        <v>CAN SELL</v>
      </c>
      <c r="K9" s="11" t="str">
        <f>IF($A9="","",_xlfn.LET(_xlpm.t,MATCH($B9,'[1]Territory Definitions'!$B$5:$B$14,0),IF(ISNA(_xlpm.t),"NO TERRITORY",IF(INDEX('[1]Territory Definitions'!$D$5:$M$14,_xlpm.t,MATCH(K$4,'[1]Territory Definitions'!$D$4:$M$4,0))&lt;&gt;1,"NOT IN TERRITORY",IF(COUNTIFS('[1]Blackout Brand Fam Areas (Enc)'!$B$6:$B$998,$A9,'[1]Blackout Brand Fam Areas (Enc)'!$C$6:$C$998,K$4,'[1]Blackout Brand Fam Areas (Enc)'!$D$6:$D$998,"Inactive")&gt;0,"BLOCKED","CAN SELL")))))</f>
        <v>CAN SELL</v>
      </c>
      <c r="L9" s="11" t="str">
        <f>IF($A9="","",_xlfn.LET(_xlpm.t,MATCH($B9,'[1]Territory Definitions'!$B$5:$B$14,0),IF(ISNA(_xlpm.t),"NO TERRITORY",IF(INDEX('[1]Territory Definitions'!$D$5:$M$14,_xlpm.t,MATCH(L$4,'[1]Territory Definitions'!$D$4:$M$4,0))&lt;&gt;1,"NOT IN TERRITORY",IF(COUNTIFS('[1]Blackout Brand Fam Areas (Enc)'!$B$6:$B$998,$A9,'[1]Blackout Brand Fam Areas (Enc)'!$C$6:$C$998,L$4,'[1]Blackout Brand Fam Areas (Enc)'!$D$6:$D$998,"Inactive")&gt;0,"BLOCKED","CAN SELL")))))</f>
        <v>CAN SELL</v>
      </c>
      <c r="M9" s="12">
        <f>IF($A9="","",COUNTIF($C9:$L9,"CAN SELL"))</f>
        <v>10</v>
      </c>
      <c r="N9" s="13" cm="1">
        <f t="array" ref="N9">IF($A9="","",SUMPRODUCT(($C9:$L9="CAN SELL")*$C$3:$L$3))</f>
        <v>2306</v>
      </c>
      <c r="O9" s="14" t="str">
        <f>IF($A9="","",IF(COUNTIF($A$5:$A$299,$A9)&gt;1,"DUPLICATE - two different territories assigned",IF($B9="** NO TERRITORY SET **","No territory on Brand Family Territory (Enc)","")))</f>
        <v/>
      </c>
      <c r="P9" s="18" t="str">
        <f>IF($A9="","",IFERROR(INDEX([1]Products!$H$4:$H$4801,MATCH($A9,[1]Products!$G$4:$G$4801,0)),"(no products)"))</f>
        <v>Food &amp; Bev Enterprise LLC</v>
      </c>
      <c r="Q9" s="19">
        <f>IF($A9="","",COUNTIFS([1]Products!$G$4:$G$4801,$A9,[1]Products!$L$4:$L$4801,"Yes"))</f>
        <v>6</v>
      </c>
      <c r="R9" s="19">
        <f>IF($A9="","",COUNTIFS([1]Products!$G$4:$G$4801,$A9,[1]Products!$L$4:$L$4801,"Yes",[1]Products!$K$4:$K$4801,"Draft"))</f>
        <v>0</v>
      </c>
      <c r="S9" s="19">
        <f>IF($A9="","",COUNTIFS([1]Products!$G$4:$G$4801,$A9,[1]Products!$L$4:$L$4801,"Yes",[1]Products!$K$4:$K$4801,"Package"))</f>
        <v>6</v>
      </c>
      <c r="T9" s="20" t="str" cm="1">
        <f t="array" ref="T9">IF($A9="","",_xlfn.IFS($Q9=0,"NO ACTIVE SKUs",AND($R9&gt;0,$S9&gt;0),"Draft &amp; Package",$R9&gt;0,"Draft only",TRUE,"Package only"))</f>
        <v>Package only</v>
      </c>
    </row>
    <row r="10" spans="1:20" x14ac:dyDescent="0.2">
      <c r="A10" s="9" t="str">
        <v>Alias Brew Works</v>
      </c>
      <c r="B10" s="10" t="str">
        <f>IF($A10="","",_xlfn.XLOOKUP($A10,'[1]Brand Family Territory (Enc)'!$A:$A,'[1]Brand Family Territory (Enc)'!$B:$B,"** NO TERRITORY SET **"))</f>
        <v>All Counties</v>
      </c>
      <c r="C10" s="11" t="str">
        <f>IF($A10="","",_xlfn.LET(_xlpm.t,MATCH($B10,'[1]Territory Definitions'!$B$5:$B$14,0),IF(ISNA(_xlpm.t),"NO TERRITORY",IF(INDEX('[1]Territory Definitions'!$D$5:$M$14,_xlpm.t,MATCH(C$4,'[1]Territory Definitions'!$D$4:$M$4,0))&lt;&gt;1,"NOT IN TERRITORY",IF(COUNTIFS('[1]Blackout Brand Fam Areas (Enc)'!$B$6:$B$998,$A10,'[1]Blackout Brand Fam Areas (Enc)'!$C$6:$C$998,C$4,'[1]Blackout Brand Fam Areas (Enc)'!$D$6:$D$998,"Inactive")&gt;0,"BLOCKED","CAN SELL")))))</f>
        <v>CAN SELL</v>
      </c>
      <c r="D10" s="11" t="str">
        <f>IF($A10="","",_xlfn.LET(_xlpm.t,MATCH($B10,'[1]Territory Definitions'!$B$5:$B$14,0),IF(ISNA(_xlpm.t),"NO TERRITORY",IF(INDEX('[1]Territory Definitions'!$D$5:$M$14,_xlpm.t,MATCH(D$4,'[1]Territory Definitions'!$D$4:$M$4,0))&lt;&gt;1,"NOT IN TERRITORY",IF(COUNTIFS('[1]Blackout Brand Fam Areas (Enc)'!$B$6:$B$998,$A10,'[1]Blackout Brand Fam Areas (Enc)'!$C$6:$C$998,D$4,'[1]Blackout Brand Fam Areas (Enc)'!$D$6:$D$998,"Inactive")&gt;0,"BLOCKED","CAN SELL")))))</f>
        <v>CAN SELL</v>
      </c>
      <c r="E10" s="11" t="str">
        <f>IF($A10="","",_xlfn.LET(_xlpm.t,MATCH($B10,'[1]Territory Definitions'!$B$5:$B$14,0),IF(ISNA(_xlpm.t),"NO TERRITORY",IF(INDEX('[1]Territory Definitions'!$D$5:$M$14,_xlpm.t,MATCH(E$4,'[1]Territory Definitions'!$D$4:$M$4,0))&lt;&gt;1,"NOT IN TERRITORY",IF(COUNTIFS('[1]Blackout Brand Fam Areas (Enc)'!$B$6:$B$998,$A10,'[1]Blackout Brand Fam Areas (Enc)'!$C$6:$C$998,E$4,'[1]Blackout Brand Fam Areas (Enc)'!$D$6:$D$998,"Inactive")&gt;0,"BLOCKED","CAN SELL")))))</f>
        <v>CAN SELL</v>
      </c>
      <c r="F10" s="11" t="str">
        <f>IF($A10="","",_xlfn.LET(_xlpm.t,MATCH($B10,'[1]Territory Definitions'!$B$5:$B$14,0),IF(ISNA(_xlpm.t),"NO TERRITORY",IF(INDEX('[1]Territory Definitions'!$D$5:$M$14,_xlpm.t,MATCH(F$4,'[1]Territory Definitions'!$D$4:$M$4,0))&lt;&gt;1,"NOT IN TERRITORY",IF(COUNTIFS('[1]Blackout Brand Fam Areas (Enc)'!$B$6:$B$998,$A10,'[1]Blackout Brand Fam Areas (Enc)'!$C$6:$C$998,F$4,'[1]Blackout Brand Fam Areas (Enc)'!$D$6:$D$998,"Inactive")&gt;0,"BLOCKED","CAN SELL")))))</f>
        <v>CAN SELL</v>
      </c>
      <c r="G10" s="11" t="str">
        <f>IF($A10="","",_xlfn.LET(_xlpm.t,MATCH($B10,'[1]Territory Definitions'!$B$5:$B$14,0),IF(ISNA(_xlpm.t),"NO TERRITORY",IF(INDEX('[1]Territory Definitions'!$D$5:$M$14,_xlpm.t,MATCH(G$4,'[1]Territory Definitions'!$D$4:$M$4,0))&lt;&gt;1,"NOT IN TERRITORY",IF(COUNTIFS('[1]Blackout Brand Fam Areas (Enc)'!$B$6:$B$998,$A10,'[1]Blackout Brand Fam Areas (Enc)'!$C$6:$C$998,G$4,'[1]Blackout Brand Fam Areas (Enc)'!$D$6:$D$998,"Inactive")&gt;0,"BLOCKED","CAN SELL")))))</f>
        <v>CAN SELL</v>
      </c>
      <c r="H10" s="11" t="str">
        <f>IF($A10="","",_xlfn.LET(_xlpm.t,MATCH($B10,'[1]Territory Definitions'!$B$5:$B$14,0),IF(ISNA(_xlpm.t),"NO TERRITORY",IF(INDEX('[1]Territory Definitions'!$D$5:$M$14,_xlpm.t,MATCH(H$4,'[1]Territory Definitions'!$D$4:$M$4,0))&lt;&gt;1,"NOT IN TERRITORY",IF(COUNTIFS('[1]Blackout Brand Fam Areas (Enc)'!$B$6:$B$998,$A10,'[1]Blackout Brand Fam Areas (Enc)'!$C$6:$C$998,H$4,'[1]Blackout Brand Fam Areas (Enc)'!$D$6:$D$998,"Inactive")&gt;0,"BLOCKED","CAN SELL")))))</f>
        <v>CAN SELL</v>
      </c>
      <c r="I10" s="11" t="str">
        <f>IF($A10="","",_xlfn.LET(_xlpm.t,MATCH($B10,'[1]Territory Definitions'!$B$5:$B$14,0),IF(ISNA(_xlpm.t),"NO TERRITORY",IF(INDEX('[1]Territory Definitions'!$D$5:$M$14,_xlpm.t,MATCH(I$4,'[1]Territory Definitions'!$D$4:$M$4,0))&lt;&gt;1,"NOT IN TERRITORY",IF(COUNTIFS('[1]Blackout Brand Fam Areas (Enc)'!$B$6:$B$998,$A10,'[1]Blackout Brand Fam Areas (Enc)'!$C$6:$C$998,I$4,'[1]Blackout Brand Fam Areas (Enc)'!$D$6:$D$998,"Inactive")&gt;0,"BLOCKED","CAN SELL")))))</f>
        <v>CAN SELL</v>
      </c>
      <c r="J10" s="11" t="str">
        <f>IF($A10="","",_xlfn.LET(_xlpm.t,MATCH($B10,'[1]Territory Definitions'!$B$5:$B$14,0),IF(ISNA(_xlpm.t),"NO TERRITORY",IF(INDEX('[1]Territory Definitions'!$D$5:$M$14,_xlpm.t,MATCH(J$4,'[1]Territory Definitions'!$D$4:$M$4,0))&lt;&gt;1,"NOT IN TERRITORY",IF(COUNTIFS('[1]Blackout Brand Fam Areas (Enc)'!$B$6:$B$998,$A10,'[1]Blackout Brand Fam Areas (Enc)'!$C$6:$C$998,J$4,'[1]Blackout Brand Fam Areas (Enc)'!$D$6:$D$998,"Inactive")&gt;0,"BLOCKED","CAN SELL")))))</f>
        <v>CAN SELL</v>
      </c>
      <c r="K10" s="11" t="str">
        <f>IF($A10="","",_xlfn.LET(_xlpm.t,MATCH($B10,'[1]Territory Definitions'!$B$5:$B$14,0),IF(ISNA(_xlpm.t),"NO TERRITORY",IF(INDEX('[1]Territory Definitions'!$D$5:$M$14,_xlpm.t,MATCH(K$4,'[1]Territory Definitions'!$D$4:$M$4,0))&lt;&gt;1,"NOT IN TERRITORY",IF(COUNTIFS('[1]Blackout Brand Fam Areas (Enc)'!$B$6:$B$998,$A10,'[1]Blackout Brand Fam Areas (Enc)'!$C$6:$C$998,K$4,'[1]Blackout Brand Fam Areas (Enc)'!$D$6:$D$998,"Inactive")&gt;0,"BLOCKED","CAN SELL")))))</f>
        <v>CAN SELL</v>
      </c>
      <c r="L10" s="11" t="str">
        <f>IF($A10="","",_xlfn.LET(_xlpm.t,MATCH($B10,'[1]Territory Definitions'!$B$5:$B$14,0),IF(ISNA(_xlpm.t),"NO TERRITORY",IF(INDEX('[1]Territory Definitions'!$D$5:$M$14,_xlpm.t,MATCH(L$4,'[1]Territory Definitions'!$D$4:$M$4,0))&lt;&gt;1,"NOT IN TERRITORY",IF(COUNTIFS('[1]Blackout Brand Fam Areas (Enc)'!$B$6:$B$998,$A10,'[1]Blackout Brand Fam Areas (Enc)'!$C$6:$C$998,L$4,'[1]Blackout Brand Fam Areas (Enc)'!$D$6:$D$998,"Inactive")&gt;0,"BLOCKED","CAN SELL")))))</f>
        <v>CAN SELL</v>
      </c>
      <c r="M10" s="12">
        <f>IF($A10="","",COUNTIF($C10:$L10,"CAN SELL"))</f>
        <v>10</v>
      </c>
      <c r="N10" s="13" cm="1">
        <f t="array" ref="N10">IF($A10="","",SUMPRODUCT(($C10:$L10="CAN SELL")*$C$3:$L$3))</f>
        <v>2306</v>
      </c>
      <c r="O10" s="14" t="str">
        <f>IF($A10="","",IF(COUNTIF($A$5:$A$299,$A10)&gt;1,"DUPLICATE - two different territories assigned",IF($B10="** NO TERRITORY SET **","No territory on Brand Family Territory (Enc)","")))</f>
        <v/>
      </c>
      <c r="P10" s="18" t="str">
        <f>IF($A10="","",IFERROR(INDEX([1]Products!$H$4:$H$4801,MATCH($A10,[1]Products!$G$4:$G$4801,0)),"(no products)"))</f>
        <v>(no products)</v>
      </c>
      <c r="Q10" s="19">
        <f>IF($A10="","",COUNTIFS([1]Products!$G$4:$G$4801,$A10,[1]Products!$L$4:$L$4801,"Yes"))</f>
        <v>0</v>
      </c>
      <c r="R10" s="19">
        <f>IF($A10="","",COUNTIFS([1]Products!$G$4:$G$4801,$A10,[1]Products!$L$4:$L$4801,"Yes",[1]Products!$K$4:$K$4801,"Draft"))</f>
        <v>0</v>
      </c>
      <c r="S10" s="19">
        <f>IF($A10="","",COUNTIFS([1]Products!$G$4:$G$4801,$A10,[1]Products!$L$4:$L$4801,"Yes",[1]Products!$K$4:$K$4801,"Package"))</f>
        <v>0</v>
      </c>
      <c r="T10" s="20" t="str" cm="1">
        <f t="array" ref="T10">IF($A10="","",_xlfn.IFS($Q10=0,"NO ACTIVE SKUs",AND($R10&gt;0,$S10&gt;0),"Draft &amp; Package",$R10&gt;0,"Draft only",TRUE,"Package only"))</f>
        <v>NO ACTIVE SKUs</v>
      </c>
    </row>
    <row r="11" spans="1:20" x14ac:dyDescent="0.2">
      <c r="A11" s="9" t="str">
        <v>Alte Beverage</v>
      </c>
      <c r="B11" s="10" t="str">
        <f>IF($A11="","",_xlfn.XLOOKUP($A11,'[1]Brand Family Territory (Enc)'!$A:$A,'[1]Brand Family Territory (Enc)'!$B:$B,"** NO TERRITORY SET **"))</f>
        <v>All Counties</v>
      </c>
      <c r="C11" s="11" t="str">
        <f>IF($A11="","",_xlfn.LET(_xlpm.t,MATCH($B11,'[1]Territory Definitions'!$B$5:$B$14,0),IF(ISNA(_xlpm.t),"NO TERRITORY",IF(INDEX('[1]Territory Definitions'!$D$5:$M$14,_xlpm.t,MATCH(C$4,'[1]Territory Definitions'!$D$4:$M$4,0))&lt;&gt;1,"NOT IN TERRITORY",IF(COUNTIFS('[1]Blackout Brand Fam Areas (Enc)'!$B$6:$B$998,$A11,'[1]Blackout Brand Fam Areas (Enc)'!$C$6:$C$998,C$4,'[1]Blackout Brand Fam Areas (Enc)'!$D$6:$D$998,"Inactive")&gt;0,"BLOCKED","CAN SELL")))))</f>
        <v>CAN SELL</v>
      </c>
      <c r="D11" s="11" t="str">
        <f>IF($A11="","",_xlfn.LET(_xlpm.t,MATCH($B11,'[1]Territory Definitions'!$B$5:$B$14,0),IF(ISNA(_xlpm.t),"NO TERRITORY",IF(INDEX('[1]Territory Definitions'!$D$5:$M$14,_xlpm.t,MATCH(D$4,'[1]Territory Definitions'!$D$4:$M$4,0))&lt;&gt;1,"NOT IN TERRITORY",IF(COUNTIFS('[1]Blackout Brand Fam Areas (Enc)'!$B$6:$B$998,$A11,'[1]Blackout Brand Fam Areas (Enc)'!$C$6:$C$998,D$4,'[1]Blackout Brand Fam Areas (Enc)'!$D$6:$D$998,"Inactive")&gt;0,"BLOCKED","CAN SELL")))))</f>
        <v>CAN SELL</v>
      </c>
      <c r="E11" s="11" t="str">
        <f>IF($A11="","",_xlfn.LET(_xlpm.t,MATCH($B11,'[1]Territory Definitions'!$B$5:$B$14,0),IF(ISNA(_xlpm.t),"NO TERRITORY",IF(INDEX('[1]Territory Definitions'!$D$5:$M$14,_xlpm.t,MATCH(E$4,'[1]Territory Definitions'!$D$4:$M$4,0))&lt;&gt;1,"NOT IN TERRITORY",IF(COUNTIFS('[1]Blackout Brand Fam Areas (Enc)'!$B$6:$B$998,$A11,'[1]Blackout Brand Fam Areas (Enc)'!$C$6:$C$998,E$4,'[1]Blackout Brand Fam Areas (Enc)'!$D$6:$D$998,"Inactive")&gt;0,"BLOCKED","CAN SELL")))))</f>
        <v>CAN SELL</v>
      </c>
      <c r="F11" s="11" t="str">
        <f>IF($A11="","",_xlfn.LET(_xlpm.t,MATCH($B11,'[1]Territory Definitions'!$B$5:$B$14,0),IF(ISNA(_xlpm.t),"NO TERRITORY",IF(INDEX('[1]Territory Definitions'!$D$5:$M$14,_xlpm.t,MATCH(F$4,'[1]Territory Definitions'!$D$4:$M$4,0))&lt;&gt;1,"NOT IN TERRITORY",IF(COUNTIFS('[1]Blackout Brand Fam Areas (Enc)'!$B$6:$B$998,$A11,'[1]Blackout Brand Fam Areas (Enc)'!$C$6:$C$998,F$4,'[1]Blackout Brand Fam Areas (Enc)'!$D$6:$D$998,"Inactive")&gt;0,"BLOCKED","CAN SELL")))))</f>
        <v>CAN SELL</v>
      </c>
      <c r="G11" s="11" t="str">
        <f>IF($A11="","",_xlfn.LET(_xlpm.t,MATCH($B11,'[1]Territory Definitions'!$B$5:$B$14,0),IF(ISNA(_xlpm.t),"NO TERRITORY",IF(INDEX('[1]Territory Definitions'!$D$5:$M$14,_xlpm.t,MATCH(G$4,'[1]Territory Definitions'!$D$4:$M$4,0))&lt;&gt;1,"NOT IN TERRITORY",IF(COUNTIFS('[1]Blackout Brand Fam Areas (Enc)'!$B$6:$B$998,$A11,'[1]Blackout Brand Fam Areas (Enc)'!$C$6:$C$998,G$4,'[1]Blackout Brand Fam Areas (Enc)'!$D$6:$D$998,"Inactive")&gt;0,"BLOCKED","CAN SELL")))))</f>
        <v>CAN SELL</v>
      </c>
      <c r="H11" s="11" t="str">
        <f>IF($A11="","",_xlfn.LET(_xlpm.t,MATCH($B11,'[1]Territory Definitions'!$B$5:$B$14,0),IF(ISNA(_xlpm.t),"NO TERRITORY",IF(INDEX('[1]Territory Definitions'!$D$5:$M$14,_xlpm.t,MATCH(H$4,'[1]Territory Definitions'!$D$4:$M$4,0))&lt;&gt;1,"NOT IN TERRITORY",IF(COUNTIFS('[1]Blackout Brand Fam Areas (Enc)'!$B$6:$B$998,$A11,'[1]Blackout Brand Fam Areas (Enc)'!$C$6:$C$998,H$4,'[1]Blackout Brand Fam Areas (Enc)'!$D$6:$D$998,"Inactive")&gt;0,"BLOCKED","CAN SELL")))))</f>
        <v>CAN SELL</v>
      </c>
      <c r="I11" s="11" t="str">
        <f>IF($A11="","",_xlfn.LET(_xlpm.t,MATCH($B11,'[1]Territory Definitions'!$B$5:$B$14,0),IF(ISNA(_xlpm.t),"NO TERRITORY",IF(INDEX('[1]Territory Definitions'!$D$5:$M$14,_xlpm.t,MATCH(I$4,'[1]Territory Definitions'!$D$4:$M$4,0))&lt;&gt;1,"NOT IN TERRITORY",IF(COUNTIFS('[1]Blackout Brand Fam Areas (Enc)'!$B$6:$B$998,$A11,'[1]Blackout Brand Fam Areas (Enc)'!$C$6:$C$998,I$4,'[1]Blackout Brand Fam Areas (Enc)'!$D$6:$D$998,"Inactive")&gt;0,"BLOCKED","CAN SELL")))))</f>
        <v>CAN SELL</v>
      </c>
      <c r="J11" s="11" t="str">
        <f>IF($A11="","",_xlfn.LET(_xlpm.t,MATCH($B11,'[1]Territory Definitions'!$B$5:$B$14,0),IF(ISNA(_xlpm.t),"NO TERRITORY",IF(INDEX('[1]Territory Definitions'!$D$5:$M$14,_xlpm.t,MATCH(J$4,'[1]Territory Definitions'!$D$4:$M$4,0))&lt;&gt;1,"NOT IN TERRITORY",IF(COUNTIFS('[1]Blackout Brand Fam Areas (Enc)'!$B$6:$B$998,$A11,'[1]Blackout Brand Fam Areas (Enc)'!$C$6:$C$998,J$4,'[1]Blackout Brand Fam Areas (Enc)'!$D$6:$D$998,"Inactive")&gt;0,"BLOCKED","CAN SELL")))))</f>
        <v>CAN SELL</v>
      </c>
      <c r="K11" s="11" t="str">
        <f>IF($A11="","",_xlfn.LET(_xlpm.t,MATCH($B11,'[1]Territory Definitions'!$B$5:$B$14,0),IF(ISNA(_xlpm.t),"NO TERRITORY",IF(INDEX('[1]Territory Definitions'!$D$5:$M$14,_xlpm.t,MATCH(K$4,'[1]Territory Definitions'!$D$4:$M$4,0))&lt;&gt;1,"NOT IN TERRITORY",IF(COUNTIFS('[1]Blackout Brand Fam Areas (Enc)'!$B$6:$B$998,$A11,'[1]Blackout Brand Fam Areas (Enc)'!$C$6:$C$998,K$4,'[1]Blackout Brand Fam Areas (Enc)'!$D$6:$D$998,"Inactive")&gt;0,"BLOCKED","CAN SELL")))))</f>
        <v>CAN SELL</v>
      </c>
      <c r="L11" s="11" t="str">
        <f>IF($A11="","",_xlfn.LET(_xlpm.t,MATCH($B11,'[1]Territory Definitions'!$B$5:$B$14,0),IF(ISNA(_xlpm.t),"NO TERRITORY",IF(INDEX('[1]Territory Definitions'!$D$5:$M$14,_xlpm.t,MATCH(L$4,'[1]Territory Definitions'!$D$4:$M$4,0))&lt;&gt;1,"NOT IN TERRITORY",IF(COUNTIFS('[1]Blackout Brand Fam Areas (Enc)'!$B$6:$B$998,$A11,'[1]Blackout Brand Fam Areas (Enc)'!$C$6:$C$998,L$4,'[1]Blackout Brand Fam Areas (Enc)'!$D$6:$D$998,"Inactive")&gt;0,"BLOCKED","CAN SELL")))))</f>
        <v>CAN SELL</v>
      </c>
      <c r="M11" s="12">
        <f>IF($A11="","",COUNTIF($C11:$L11,"CAN SELL"))</f>
        <v>10</v>
      </c>
      <c r="N11" s="13" cm="1">
        <f t="array" ref="N11">IF($A11="","",SUMPRODUCT(($C11:$L11="CAN SELL")*$C$3:$L$3))</f>
        <v>2306</v>
      </c>
      <c r="O11" s="14" t="str">
        <f>IF($A11="","",IF(COUNTIF($A$5:$A$299,$A11)&gt;1,"DUPLICATE - two different territories assigned",IF($B11="** NO TERRITORY SET **","No territory on Brand Family Territory (Enc)","")))</f>
        <v/>
      </c>
      <c r="P11" s="18" t="str">
        <f>IF($A11="","",IFERROR(INDEX([1]Products!$H$4:$H$4801,MATCH($A11,[1]Products!$G$4:$G$4801,0)),"(no products)"))</f>
        <v>Alte Beverage</v>
      </c>
      <c r="Q11" s="19">
        <f>IF($A11="","",COUNTIFS([1]Products!$G$4:$G$4801,$A11,[1]Products!$L$4:$L$4801,"Yes"))</f>
        <v>4</v>
      </c>
      <c r="R11" s="19">
        <f>IF($A11="","",COUNTIFS([1]Products!$G$4:$G$4801,$A11,[1]Products!$L$4:$L$4801,"Yes",[1]Products!$K$4:$K$4801,"Draft"))</f>
        <v>0</v>
      </c>
      <c r="S11" s="19">
        <f>IF($A11="","",COUNTIFS([1]Products!$G$4:$G$4801,$A11,[1]Products!$L$4:$L$4801,"Yes",[1]Products!$K$4:$K$4801,"Package"))</f>
        <v>4</v>
      </c>
      <c r="T11" s="20" t="str" cm="1">
        <f t="array" ref="T11">IF($A11="","",_xlfn.IFS($Q11=0,"NO ACTIVE SKUs",AND($R11&gt;0,$S11&gt;0),"Draft &amp; Package",$R11&gt;0,"Draft only",TRUE,"Package only"))</f>
        <v>Package only</v>
      </c>
    </row>
    <row r="12" spans="1:20" x14ac:dyDescent="0.2">
      <c r="A12" s="9" t="str">
        <v>Amstel</v>
      </c>
      <c r="B12" s="10" t="str">
        <f>IF($A12="","",_xlfn.XLOOKUP($A12,'[1]Brand Family Territory (Enc)'!$A:$A,'[1]Brand Family Territory (Enc)'!$B:$B,"** NO TERRITORY SET **"))</f>
        <v>Core + Morris Communities</v>
      </c>
      <c r="C12" s="11" t="str">
        <f>IF($A12="","",_xlfn.LET(_xlpm.t,MATCH($B12,'[1]Territory Definitions'!$B$5:$B$14,0),IF(ISNA(_xlpm.t),"NO TERRITORY",IF(INDEX('[1]Territory Definitions'!$D$5:$M$14,_xlpm.t,MATCH(C$4,'[1]Territory Definitions'!$D$4:$M$4,0))&lt;&gt;1,"NOT IN TERRITORY",IF(COUNTIFS('[1]Blackout Brand Fam Areas (Enc)'!$B$6:$B$998,$A12,'[1]Blackout Brand Fam Areas (Enc)'!$C$6:$C$998,C$4,'[1]Blackout Brand Fam Areas (Enc)'!$D$6:$D$998,"Inactive")&gt;0,"BLOCKED","CAN SELL")))))</f>
        <v>CAN SELL</v>
      </c>
      <c r="D12" s="11" t="str">
        <f>IF($A12="","",_xlfn.LET(_xlpm.t,MATCH($B12,'[1]Territory Definitions'!$B$5:$B$14,0),IF(ISNA(_xlpm.t),"NO TERRITORY",IF(INDEX('[1]Territory Definitions'!$D$5:$M$14,_xlpm.t,MATCH(D$4,'[1]Territory Definitions'!$D$4:$M$4,0))&lt;&gt;1,"NOT IN TERRITORY",IF(COUNTIFS('[1]Blackout Brand Fam Areas (Enc)'!$B$6:$B$998,$A12,'[1]Blackout Brand Fam Areas (Enc)'!$C$6:$C$998,D$4,'[1]Blackout Brand Fam Areas (Enc)'!$D$6:$D$998,"Inactive")&gt;0,"BLOCKED","CAN SELL")))))</f>
        <v>CAN SELL</v>
      </c>
      <c r="E12" s="11" t="str">
        <f>IF($A12="","",_xlfn.LET(_xlpm.t,MATCH($B12,'[1]Territory Definitions'!$B$5:$B$14,0),IF(ISNA(_xlpm.t),"NO TERRITORY",IF(INDEX('[1]Territory Definitions'!$D$5:$M$14,_xlpm.t,MATCH(E$4,'[1]Territory Definitions'!$D$4:$M$4,0))&lt;&gt;1,"NOT IN TERRITORY",IF(COUNTIFS('[1]Blackout Brand Fam Areas (Enc)'!$B$6:$B$998,$A12,'[1]Blackout Brand Fam Areas (Enc)'!$C$6:$C$998,E$4,'[1]Blackout Brand Fam Areas (Enc)'!$D$6:$D$998,"Inactive")&gt;0,"BLOCKED","CAN SELL")))))</f>
        <v>CAN SELL</v>
      </c>
      <c r="F12" s="11" t="str">
        <f>IF($A12="","",_xlfn.LET(_xlpm.t,MATCH($B12,'[1]Territory Definitions'!$B$5:$B$14,0),IF(ISNA(_xlpm.t),"NO TERRITORY",IF(INDEX('[1]Territory Definitions'!$D$5:$M$14,_xlpm.t,MATCH(F$4,'[1]Territory Definitions'!$D$4:$M$4,0))&lt;&gt;1,"NOT IN TERRITORY",IF(COUNTIFS('[1]Blackout Brand Fam Areas (Enc)'!$B$6:$B$998,$A12,'[1]Blackout Brand Fam Areas (Enc)'!$C$6:$C$998,F$4,'[1]Blackout Brand Fam Areas (Enc)'!$D$6:$D$998,"Inactive")&gt;0,"BLOCKED","CAN SELL")))))</f>
        <v>NOT IN TERRITORY</v>
      </c>
      <c r="G12" s="11" t="str">
        <f>IF($A12="","",_xlfn.LET(_xlpm.t,MATCH($B12,'[1]Territory Definitions'!$B$5:$B$14,0),IF(ISNA(_xlpm.t),"NO TERRITORY",IF(INDEX('[1]Territory Definitions'!$D$5:$M$14,_xlpm.t,MATCH(G$4,'[1]Territory Definitions'!$D$4:$M$4,0))&lt;&gt;1,"NOT IN TERRITORY",IF(COUNTIFS('[1]Blackout Brand Fam Areas (Enc)'!$B$6:$B$998,$A12,'[1]Blackout Brand Fam Areas (Enc)'!$C$6:$C$998,G$4,'[1]Blackout Brand Fam Areas (Enc)'!$D$6:$D$998,"Inactive")&gt;0,"BLOCKED","CAN SELL")))))</f>
        <v>NOT IN TERRITORY</v>
      </c>
      <c r="H12" s="11" t="str">
        <f>IF($A12="","",_xlfn.LET(_xlpm.t,MATCH($B12,'[1]Territory Definitions'!$B$5:$B$14,0),IF(ISNA(_xlpm.t),"NO TERRITORY",IF(INDEX('[1]Territory Definitions'!$D$5:$M$14,_xlpm.t,MATCH(H$4,'[1]Territory Definitions'!$D$4:$M$4,0))&lt;&gt;1,"NOT IN TERRITORY",IF(COUNTIFS('[1]Blackout Brand Fam Areas (Enc)'!$B$6:$B$998,$A12,'[1]Blackout Brand Fam Areas (Enc)'!$C$6:$C$998,H$4,'[1]Blackout Brand Fam Areas (Enc)'!$D$6:$D$998,"Inactive")&gt;0,"BLOCKED","CAN SELL")))))</f>
        <v>NOT IN TERRITORY</v>
      </c>
      <c r="I12" s="11" t="str">
        <f>IF($A12="","",_xlfn.LET(_xlpm.t,MATCH($B12,'[1]Territory Definitions'!$B$5:$B$14,0),IF(ISNA(_xlpm.t),"NO TERRITORY",IF(INDEX('[1]Territory Definitions'!$D$5:$M$14,_xlpm.t,MATCH(I$4,'[1]Territory Definitions'!$D$4:$M$4,0))&lt;&gt;1,"NOT IN TERRITORY",IF(COUNTIFS('[1]Blackout Brand Fam Areas (Enc)'!$B$6:$B$998,$A12,'[1]Blackout Brand Fam Areas (Enc)'!$C$6:$C$998,I$4,'[1]Blackout Brand Fam Areas (Enc)'!$D$6:$D$998,"Inactive")&gt;0,"BLOCKED","CAN SELL")))))</f>
        <v>NOT IN TERRITORY</v>
      </c>
      <c r="J12" s="11" t="str">
        <f>IF($A12="","",_xlfn.LET(_xlpm.t,MATCH($B12,'[1]Territory Definitions'!$B$5:$B$14,0),IF(ISNA(_xlpm.t),"NO TERRITORY",IF(INDEX('[1]Territory Definitions'!$D$5:$M$14,_xlpm.t,MATCH(J$4,'[1]Territory Definitions'!$D$4:$M$4,0))&lt;&gt;1,"NOT IN TERRITORY",IF(COUNTIFS('[1]Blackout Brand Fam Areas (Enc)'!$B$6:$B$998,$A12,'[1]Blackout Brand Fam Areas (Enc)'!$C$6:$C$998,J$4,'[1]Blackout Brand Fam Areas (Enc)'!$D$6:$D$998,"Inactive")&gt;0,"BLOCKED","CAN SELL")))))</f>
        <v>BLOCKED</v>
      </c>
      <c r="K12" s="11" t="str">
        <f>IF($A12="","",_xlfn.LET(_xlpm.t,MATCH($B12,'[1]Territory Definitions'!$B$5:$B$14,0),IF(ISNA(_xlpm.t),"NO TERRITORY",IF(INDEX('[1]Territory Definitions'!$D$5:$M$14,_xlpm.t,MATCH(K$4,'[1]Territory Definitions'!$D$4:$M$4,0))&lt;&gt;1,"NOT IN TERRITORY",IF(COUNTIFS('[1]Blackout Brand Fam Areas (Enc)'!$B$6:$B$998,$A12,'[1]Blackout Brand Fam Areas (Enc)'!$C$6:$C$998,K$4,'[1]Blackout Brand Fam Areas (Enc)'!$D$6:$D$998,"Inactive")&gt;0,"BLOCKED","CAN SELL")))))</f>
        <v>NOT IN TERRITORY</v>
      </c>
      <c r="L12" s="11" t="str">
        <f>IF($A12="","",_xlfn.LET(_xlpm.t,MATCH($B12,'[1]Territory Definitions'!$B$5:$B$14,0),IF(ISNA(_xlpm.t),"NO TERRITORY",IF(INDEX('[1]Territory Definitions'!$D$5:$M$14,_xlpm.t,MATCH(L$4,'[1]Territory Definitions'!$D$4:$M$4,0))&lt;&gt;1,"NOT IN TERRITORY",IF(COUNTIFS('[1]Blackout Brand Fam Areas (Enc)'!$B$6:$B$998,$A12,'[1]Blackout Brand Fam Areas (Enc)'!$C$6:$C$998,L$4,'[1]Blackout Brand Fam Areas (Enc)'!$D$6:$D$998,"Inactive")&gt;0,"BLOCKED","CAN SELL")))))</f>
        <v>CAN SELL</v>
      </c>
      <c r="M12" s="12">
        <f>IF($A12="","",COUNTIF($C12:$L12,"CAN SELL"))</f>
        <v>4</v>
      </c>
      <c r="N12" s="13" cm="1">
        <f t="array" ref="N12">IF($A12="","",SUMPRODUCT(($C12:$L12="CAN SELL")*$C$3:$L$3))</f>
        <v>1318</v>
      </c>
      <c r="O12" s="14" t="str">
        <f>IF($A12="","",IF(COUNTIF($A$5:$A$299,$A12)&gt;1,"DUPLICATE - two different territories assigned",IF($B12="** NO TERRITORY SET **","No territory on Brand Family Territory (Enc)","")))</f>
        <v/>
      </c>
      <c r="P12" s="18" t="str">
        <f>IF($A12="","",IFERROR(INDEX([1]Products!$H$4:$H$4801,MATCH($A12,[1]Products!$G$4:$G$4801,0)),"(no products)"))</f>
        <v>Heineken USA</v>
      </c>
      <c r="Q12" s="19">
        <f>IF($A12="","",COUNTIFS([1]Products!$G$4:$G$4801,$A12,[1]Products!$L$4:$L$4801,"Yes"))</f>
        <v>5</v>
      </c>
      <c r="R12" s="19">
        <f>IF($A12="","",COUNTIFS([1]Products!$G$4:$G$4801,$A12,[1]Products!$L$4:$L$4801,"Yes",[1]Products!$K$4:$K$4801,"Draft"))</f>
        <v>1</v>
      </c>
      <c r="S12" s="19">
        <f>IF($A12="","",COUNTIFS([1]Products!$G$4:$G$4801,$A12,[1]Products!$L$4:$L$4801,"Yes",[1]Products!$K$4:$K$4801,"Package"))</f>
        <v>4</v>
      </c>
      <c r="T12" s="20" t="str" cm="1">
        <f t="array" ref="T12">IF($A12="","",_xlfn.IFS($Q12=0,"NO ACTIVE SKUs",AND($R12&gt;0,$S12&gt;0),"Draft &amp; Package",$R12&gt;0,"Draft only",TRUE,"Package only"))</f>
        <v>Draft &amp; Package</v>
      </c>
    </row>
    <row r="13" spans="1:20" x14ac:dyDescent="0.2">
      <c r="A13" s="9" t="str">
        <v>Angry Orchard</v>
      </c>
      <c r="B13" s="10" t="str">
        <f>IF($A13="","",_xlfn.XLOOKUP($A13,'[1]Brand Family Territory (Enc)'!$A:$A,'[1]Brand Family Territory (Enc)'!$B:$B,"** NO TERRITORY SET **"))</f>
        <v>Core Market</v>
      </c>
      <c r="C13" s="11" t="str">
        <f>IF($A13="","",_xlfn.LET(_xlpm.t,MATCH($B13,'[1]Territory Definitions'!$B$5:$B$14,0),IF(ISNA(_xlpm.t),"NO TERRITORY",IF(INDEX('[1]Territory Definitions'!$D$5:$M$14,_xlpm.t,MATCH(C$4,'[1]Territory Definitions'!$D$4:$M$4,0))&lt;&gt;1,"NOT IN TERRITORY",IF(COUNTIFS('[1]Blackout Brand Fam Areas (Enc)'!$B$6:$B$998,$A13,'[1]Blackout Brand Fam Areas (Enc)'!$C$6:$C$998,C$4,'[1]Blackout Brand Fam Areas (Enc)'!$D$6:$D$998,"Inactive")&gt;0,"BLOCKED","CAN SELL")))))</f>
        <v>CAN SELL</v>
      </c>
      <c r="D13" s="11" t="str">
        <f>IF($A13="","",_xlfn.LET(_xlpm.t,MATCH($B13,'[1]Territory Definitions'!$B$5:$B$14,0),IF(ISNA(_xlpm.t),"NO TERRITORY",IF(INDEX('[1]Territory Definitions'!$D$5:$M$14,_xlpm.t,MATCH(D$4,'[1]Territory Definitions'!$D$4:$M$4,0))&lt;&gt;1,"NOT IN TERRITORY",IF(COUNTIFS('[1]Blackout Brand Fam Areas (Enc)'!$B$6:$B$998,$A13,'[1]Blackout Brand Fam Areas (Enc)'!$C$6:$C$998,D$4,'[1]Blackout Brand Fam Areas (Enc)'!$D$6:$D$998,"Inactive")&gt;0,"BLOCKED","CAN SELL")))))</f>
        <v>CAN SELL</v>
      </c>
      <c r="E13" s="11" t="str">
        <f>IF($A13="","",_xlfn.LET(_xlpm.t,MATCH($B13,'[1]Territory Definitions'!$B$5:$B$14,0),IF(ISNA(_xlpm.t),"NO TERRITORY",IF(INDEX('[1]Territory Definitions'!$D$5:$M$14,_xlpm.t,MATCH(E$4,'[1]Territory Definitions'!$D$4:$M$4,0))&lt;&gt;1,"NOT IN TERRITORY",IF(COUNTIFS('[1]Blackout Brand Fam Areas (Enc)'!$B$6:$B$998,$A13,'[1]Blackout Brand Fam Areas (Enc)'!$C$6:$C$998,E$4,'[1]Blackout Brand Fam Areas (Enc)'!$D$6:$D$998,"Inactive")&gt;0,"BLOCKED","CAN SELL")))))</f>
        <v>CAN SELL</v>
      </c>
      <c r="F13" s="11" t="str">
        <f>IF($A13="","",_xlfn.LET(_xlpm.t,MATCH($B13,'[1]Territory Definitions'!$B$5:$B$14,0),IF(ISNA(_xlpm.t),"NO TERRITORY",IF(INDEX('[1]Territory Definitions'!$D$5:$M$14,_xlpm.t,MATCH(F$4,'[1]Territory Definitions'!$D$4:$M$4,0))&lt;&gt;1,"NOT IN TERRITORY",IF(COUNTIFS('[1]Blackout Brand Fam Areas (Enc)'!$B$6:$B$998,$A13,'[1]Blackout Brand Fam Areas (Enc)'!$C$6:$C$998,F$4,'[1]Blackout Brand Fam Areas (Enc)'!$D$6:$D$998,"Inactive")&gt;0,"BLOCKED","CAN SELL")))))</f>
        <v>NOT IN TERRITORY</v>
      </c>
      <c r="G13" s="11" t="str">
        <f>IF($A13="","",_xlfn.LET(_xlpm.t,MATCH($B13,'[1]Territory Definitions'!$B$5:$B$14,0),IF(ISNA(_xlpm.t),"NO TERRITORY",IF(INDEX('[1]Territory Definitions'!$D$5:$M$14,_xlpm.t,MATCH(G$4,'[1]Territory Definitions'!$D$4:$M$4,0))&lt;&gt;1,"NOT IN TERRITORY",IF(COUNTIFS('[1]Blackout Brand Fam Areas (Enc)'!$B$6:$B$998,$A13,'[1]Blackout Brand Fam Areas (Enc)'!$C$6:$C$998,G$4,'[1]Blackout Brand Fam Areas (Enc)'!$D$6:$D$998,"Inactive")&gt;0,"BLOCKED","CAN SELL")))))</f>
        <v>NOT IN TERRITORY</v>
      </c>
      <c r="H13" s="11" t="str">
        <f>IF($A13="","",_xlfn.LET(_xlpm.t,MATCH($B13,'[1]Territory Definitions'!$B$5:$B$14,0),IF(ISNA(_xlpm.t),"NO TERRITORY",IF(INDEX('[1]Territory Definitions'!$D$5:$M$14,_xlpm.t,MATCH(H$4,'[1]Territory Definitions'!$D$4:$M$4,0))&lt;&gt;1,"NOT IN TERRITORY",IF(COUNTIFS('[1]Blackout Brand Fam Areas (Enc)'!$B$6:$B$998,$A13,'[1]Blackout Brand Fam Areas (Enc)'!$C$6:$C$998,H$4,'[1]Blackout Brand Fam Areas (Enc)'!$D$6:$D$998,"Inactive")&gt;0,"BLOCKED","CAN SELL")))))</f>
        <v>NOT IN TERRITORY</v>
      </c>
      <c r="I13" s="11" t="str">
        <f>IF($A13="","",_xlfn.LET(_xlpm.t,MATCH($B13,'[1]Territory Definitions'!$B$5:$B$14,0),IF(ISNA(_xlpm.t),"NO TERRITORY",IF(INDEX('[1]Territory Definitions'!$D$5:$M$14,_xlpm.t,MATCH(I$4,'[1]Territory Definitions'!$D$4:$M$4,0))&lt;&gt;1,"NOT IN TERRITORY",IF(COUNTIFS('[1]Blackout Brand Fam Areas (Enc)'!$B$6:$B$998,$A13,'[1]Blackout Brand Fam Areas (Enc)'!$C$6:$C$998,I$4,'[1]Blackout Brand Fam Areas (Enc)'!$D$6:$D$998,"Inactive")&gt;0,"BLOCKED","CAN SELL")))))</f>
        <v>CAN SELL</v>
      </c>
      <c r="J13" s="11" t="str">
        <f>IF($A13="","",_xlfn.LET(_xlpm.t,MATCH($B13,'[1]Territory Definitions'!$B$5:$B$14,0),IF(ISNA(_xlpm.t),"NO TERRITORY",IF(INDEX('[1]Territory Definitions'!$D$5:$M$14,_xlpm.t,MATCH(J$4,'[1]Territory Definitions'!$D$4:$M$4,0))&lt;&gt;1,"NOT IN TERRITORY",IF(COUNTIFS('[1]Blackout Brand Fam Areas (Enc)'!$B$6:$B$998,$A13,'[1]Blackout Brand Fam Areas (Enc)'!$C$6:$C$998,J$4,'[1]Blackout Brand Fam Areas (Enc)'!$D$6:$D$998,"Inactive")&gt;0,"BLOCKED","CAN SELL")))))</f>
        <v>CAN SELL</v>
      </c>
      <c r="K13" s="11" t="str">
        <f>IF($A13="","",_xlfn.LET(_xlpm.t,MATCH($B13,'[1]Territory Definitions'!$B$5:$B$14,0),IF(ISNA(_xlpm.t),"NO TERRITORY",IF(INDEX('[1]Territory Definitions'!$D$5:$M$14,_xlpm.t,MATCH(K$4,'[1]Territory Definitions'!$D$4:$M$4,0))&lt;&gt;1,"NOT IN TERRITORY",IF(COUNTIFS('[1]Blackout Brand Fam Areas (Enc)'!$B$6:$B$998,$A13,'[1]Blackout Brand Fam Areas (Enc)'!$C$6:$C$998,K$4,'[1]Blackout Brand Fam Areas (Enc)'!$D$6:$D$998,"Inactive")&gt;0,"BLOCKED","CAN SELL")))))</f>
        <v>NOT IN TERRITORY</v>
      </c>
      <c r="L13" s="11" t="str">
        <f>IF($A13="","",_xlfn.LET(_xlpm.t,MATCH($B13,'[1]Territory Definitions'!$B$5:$B$14,0),IF(ISNA(_xlpm.t),"NO TERRITORY",IF(INDEX('[1]Territory Definitions'!$D$5:$M$14,_xlpm.t,MATCH(L$4,'[1]Territory Definitions'!$D$4:$M$4,0))&lt;&gt;1,"NOT IN TERRITORY",IF(COUNTIFS('[1]Blackout Brand Fam Areas (Enc)'!$B$6:$B$998,$A13,'[1]Blackout Brand Fam Areas (Enc)'!$C$6:$C$998,L$4,'[1]Blackout Brand Fam Areas (Enc)'!$D$6:$D$998,"Inactive")&gt;0,"BLOCKED","CAN SELL")))))</f>
        <v>CAN SELL</v>
      </c>
      <c r="M13" s="12">
        <f>IF($A13="","",COUNTIF($C13:$L13,"CAN SELL"))</f>
        <v>6</v>
      </c>
      <c r="N13" s="13" cm="1">
        <f t="array" ref="N13">IF($A13="","",SUMPRODUCT(($C13:$L13="CAN SELL")*$C$3:$L$3))</f>
        <v>1596</v>
      </c>
      <c r="O13" s="14" t="str">
        <f>IF($A13="","",IF(COUNTIF($A$5:$A$299,$A13)&gt;1,"DUPLICATE - two different territories assigned",IF($B13="** NO TERRITORY SET **","No territory on Brand Family Territory (Enc)","")))</f>
        <v/>
      </c>
      <c r="P13" s="18" t="str">
        <f>IF($A13="","",IFERROR(INDEX([1]Products!$H$4:$H$4801,MATCH($A13,[1]Products!$G$4:$G$4801,0)),"(no products)"))</f>
        <v>Boston Beer Company</v>
      </c>
      <c r="Q13" s="19">
        <f>IF($A13="","",COUNTIFS([1]Products!$G$4:$G$4801,$A13,[1]Products!$L$4:$L$4801,"Yes"))</f>
        <v>35</v>
      </c>
      <c r="R13" s="19">
        <f>IF($A13="","",COUNTIFS([1]Products!$G$4:$G$4801,$A13,[1]Products!$L$4:$L$4801,"Yes",[1]Products!$K$4:$K$4801,"Draft"))</f>
        <v>8</v>
      </c>
      <c r="S13" s="19">
        <f>IF($A13="","",COUNTIFS([1]Products!$G$4:$G$4801,$A13,[1]Products!$L$4:$L$4801,"Yes",[1]Products!$K$4:$K$4801,"Package"))</f>
        <v>27</v>
      </c>
      <c r="T13" s="20" t="str" cm="1">
        <f t="array" ref="T13">IF($A13="","",_xlfn.IFS($Q13=0,"NO ACTIVE SKUs",AND($R13&gt;0,$S13&gt;0),"Draft &amp; Package",$R13&gt;0,"Draft only",TRUE,"Package only"))</f>
        <v>Draft &amp; Package</v>
      </c>
    </row>
    <row r="14" spans="1:20" x14ac:dyDescent="0.2">
      <c r="A14" s="9" t="str">
        <v>Arizona Hard</v>
      </c>
      <c r="B14" s="10" t="str">
        <f>IF($A14="","",_xlfn.XLOOKUP($A14,'[1]Brand Family Territory (Enc)'!$A:$A,'[1]Brand Family Territory (Enc)'!$B:$B,"** NO TERRITORY SET **"))</f>
        <v>All Counties</v>
      </c>
      <c r="C14" s="11" t="str">
        <f>IF($A14="","",_xlfn.LET(_xlpm.t,MATCH($B14,'[1]Territory Definitions'!$B$5:$B$14,0),IF(ISNA(_xlpm.t),"NO TERRITORY",IF(INDEX('[1]Territory Definitions'!$D$5:$M$14,_xlpm.t,MATCH(C$4,'[1]Territory Definitions'!$D$4:$M$4,0))&lt;&gt;1,"NOT IN TERRITORY",IF(COUNTIFS('[1]Blackout Brand Fam Areas (Enc)'!$B$6:$B$998,$A14,'[1]Blackout Brand Fam Areas (Enc)'!$C$6:$C$998,C$4,'[1]Blackout Brand Fam Areas (Enc)'!$D$6:$D$998,"Inactive")&gt;0,"BLOCKED","CAN SELL")))))</f>
        <v>CAN SELL</v>
      </c>
      <c r="D14" s="11" t="str">
        <f>IF($A14="","",_xlfn.LET(_xlpm.t,MATCH($B14,'[1]Territory Definitions'!$B$5:$B$14,0),IF(ISNA(_xlpm.t),"NO TERRITORY",IF(INDEX('[1]Territory Definitions'!$D$5:$M$14,_xlpm.t,MATCH(D$4,'[1]Territory Definitions'!$D$4:$M$4,0))&lt;&gt;1,"NOT IN TERRITORY",IF(COUNTIFS('[1]Blackout Brand Fam Areas (Enc)'!$B$6:$B$998,$A14,'[1]Blackout Brand Fam Areas (Enc)'!$C$6:$C$998,D$4,'[1]Blackout Brand Fam Areas (Enc)'!$D$6:$D$998,"Inactive")&gt;0,"BLOCKED","CAN SELL")))))</f>
        <v>CAN SELL</v>
      </c>
      <c r="E14" s="11" t="str">
        <f>IF($A14="","",_xlfn.LET(_xlpm.t,MATCH($B14,'[1]Territory Definitions'!$B$5:$B$14,0),IF(ISNA(_xlpm.t),"NO TERRITORY",IF(INDEX('[1]Territory Definitions'!$D$5:$M$14,_xlpm.t,MATCH(E$4,'[1]Territory Definitions'!$D$4:$M$4,0))&lt;&gt;1,"NOT IN TERRITORY",IF(COUNTIFS('[1]Blackout Brand Fam Areas (Enc)'!$B$6:$B$998,$A14,'[1]Blackout Brand Fam Areas (Enc)'!$C$6:$C$998,E$4,'[1]Blackout Brand Fam Areas (Enc)'!$D$6:$D$998,"Inactive")&gt;0,"BLOCKED","CAN SELL")))))</f>
        <v>CAN SELL</v>
      </c>
      <c r="F14" s="11" t="str">
        <f>IF($A14="","",_xlfn.LET(_xlpm.t,MATCH($B14,'[1]Territory Definitions'!$B$5:$B$14,0),IF(ISNA(_xlpm.t),"NO TERRITORY",IF(INDEX('[1]Territory Definitions'!$D$5:$M$14,_xlpm.t,MATCH(F$4,'[1]Territory Definitions'!$D$4:$M$4,0))&lt;&gt;1,"NOT IN TERRITORY",IF(COUNTIFS('[1]Blackout Brand Fam Areas (Enc)'!$B$6:$B$998,$A14,'[1]Blackout Brand Fam Areas (Enc)'!$C$6:$C$998,F$4,'[1]Blackout Brand Fam Areas (Enc)'!$D$6:$D$998,"Inactive")&gt;0,"BLOCKED","CAN SELL")))))</f>
        <v>CAN SELL</v>
      </c>
      <c r="G14" s="11" t="str">
        <f>IF($A14="","",_xlfn.LET(_xlpm.t,MATCH($B14,'[1]Territory Definitions'!$B$5:$B$14,0),IF(ISNA(_xlpm.t),"NO TERRITORY",IF(INDEX('[1]Territory Definitions'!$D$5:$M$14,_xlpm.t,MATCH(G$4,'[1]Territory Definitions'!$D$4:$M$4,0))&lt;&gt;1,"NOT IN TERRITORY",IF(COUNTIFS('[1]Blackout Brand Fam Areas (Enc)'!$B$6:$B$998,$A14,'[1]Blackout Brand Fam Areas (Enc)'!$C$6:$C$998,G$4,'[1]Blackout Brand Fam Areas (Enc)'!$D$6:$D$998,"Inactive")&gt;0,"BLOCKED","CAN SELL")))))</f>
        <v>CAN SELL</v>
      </c>
      <c r="H14" s="11" t="str">
        <f>IF($A14="","",_xlfn.LET(_xlpm.t,MATCH($B14,'[1]Territory Definitions'!$B$5:$B$14,0),IF(ISNA(_xlpm.t),"NO TERRITORY",IF(INDEX('[1]Territory Definitions'!$D$5:$M$14,_xlpm.t,MATCH(H$4,'[1]Territory Definitions'!$D$4:$M$4,0))&lt;&gt;1,"NOT IN TERRITORY",IF(COUNTIFS('[1]Blackout Brand Fam Areas (Enc)'!$B$6:$B$998,$A14,'[1]Blackout Brand Fam Areas (Enc)'!$C$6:$C$998,H$4,'[1]Blackout Brand Fam Areas (Enc)'!$D$6:$D$998,"Inactive")&gt;0,"BLOCKED","CAN SELL")))))</f>
        <v>CAN SELL</v>
      </c>
      <c r="I14" s="11" t="str">
        <f>IF($A14="","",_xlfn.LET(_xlpm.t,MATCH($B14,'[1]Territory Definitions'!$B$5:$B$14,0),IF(ISNA(_xlpm.t),"NO TERRITORY",IF(INDEX('[1]Territory Definitions'!$D$5:$M$14,_xlpm.t,MATCH(I$4,'[1]Territory Definitions'!$D$4:$M$4,0))&lt;&gt;1,"NOT IN TERRITORY",IF(COUNTIFS('[1]Blackout Brand Fam Areas (Enc)'!$B$6:$B$998,$A14,'[1]Blackout Brand Fam Areas (Enc)'!$C$6:$C$998,I$4,'[1]Blackout Brand Fam Areas (Enc)'!$D$6:$D$998,"Inactive")&gt;0,"BLOCKED","CAN SELL")))))</f>
        <v>CAN SELL</v>
      </c>
      <c r="J14" s="11" t="str">
        <f>IF($A14="","",_xlfn.LET(_xlpm.t,MATCH($B14,'[1]Territory Definitions'!$B$5:$B$14,0),IF(ISNA(_xlpm.t),"NO TERRITORY",IF(INDEX('[1]Territory Definitions'!$D$5:$M$14,_xlpm.t,MATCH(J$4,'[1]Territory Definitions'!$D$4:$M$4,0))&lt;&gt;1,"NOT IN TERRITORY",IF(COUNTIFS('[1]Blackout Brand Fam Areas (Enc)'!$B$6:$B$998,$A14,'[1]Blackout Brand Fam Areas (Enc)'!$C$6:$C$998,J$4,'[1]Blackout Brand Fam Areas (Enc)'!$D$6:$D$998,"Inactive")&gt;0,"BLOCKED","CAN SELL")))))</f>
        <v>CAN SELL</v>
      </c>
      <c r="K14" s="11" t="str">
        <f>IF($A14="","",_xlfn.LET(_xlpm.t,MATCH($B14,'[1]Territory Definitions'!$B$5:$B$14,0),IF(ISNA(_xlpm.t),"NO TERRITORY",IF(INDEX('[1]Territory Definitions'!$D$5:$M$14,_xlpm.t,MATCH(K$4,'[1]Territory Definitions'!$D$4:$M$4,0))&lt;&gt;1,"NOT IN TERRITORY",IF(COUNTIFS('[1]Blackout Brand Fam Areas (Enc)'!$B$6:$B$998,$A14,'[1]Blackout Brand Fam Areas (Enc)'!$C$6:$C$998,K$4,'[1]Blackout Brand Fam Areas (Enc)'!$D$6:$D$998,"Inactive")&gt;0,"BLOCKED","CAN SELL")))))</f>
        <v>CAN SELL</v>
      </c>
      <c r="L14" s="11" t="str">
        <f>IF($A14="","",_xlfn.LET(_xlpm.t,MATCH($B14,'[1]Territory Definitions'!$B$5:$B$14,0),IF(ISNA(_xlpm.t),"NO TERRITORY",IF(INDEX('[1]Territory Definitions'!$D$5:$M$14,_xlpm.t,MATCH(L$4,'[1]Territory Definitions'!$D$4:$M$4,0))&lt;&gt;1,"NOT IN TERRITORY",IF(COUNTIFS('[1]Blackout Brand Fam Areas (Enc)'!$B$6:$B$998,$A14,'[1]Blackout Brand Fam Areas (Enc)'!$C$6:$C$998,L$4,'[1]Blackout Brand Fam Areas (Enc)'!$D$6:$D$998,"Inactive")&gt;0,"BLOCKED","CAN SELL")))))</f>
        <v>CAN SELL</v>
      </c>
      <c r="M14" s="12">
        <f>IF($A14="","",COUNTIF($C14:$L14,"CAN SELL"))</f>
        <v>10</v>
      </c>
      <c r="N14" s="13" cm="1">
        <f t="array" ref="N14">IF($A14="","",SUMPRODUCT(($C14:$L14="CAN SELL")*$C$3:$L$3))</f>
        <v>2306</v>
      </c>
      <c r="O14" s="14" t="str">
        <f>IF($A14="","",IF(COUNTIF($A$5:$A$299,$A14)&gt;1,"DUPLICATE - two different territories assigned",IF($B14="** NO TERRITORY SET **","No territory on Brand Family Territory (Enc)","")))</f>
        <v/>
      </c>
      <c r="P14" s="18" t="str">
        <f>IF($A14="","",IFERROR(INDEX([1]Products!$H$4:$H$4801,MATCH($A14,[1]Products!$G$4:$G$4801,0)),"(no products)"))</f>
        <v>Hornell Brewing Company</v>
      </c>
      <c r="Q14" s="19">
        <f>IF($A14="","",COUNTIFS([1]Products!$G$4:$G$4801,$A14,[1]Products!$L$4:$L$4801,"Yes"))</f>
        <v>2</v>
      </c>
      <c r="R14" s="19">
        <f>IF($A14="","",COUNTIFS([1]Products!$G$4:$G$4801,$A14,[1]Products!$L$4:$L$4801,"Yes",[1]Products!$K$4:$K$4801,"Draft"))</f>
        <v>0</v>
      </c>
      <c r="S14" s="19">
        <f>IF($A14="","",COUNTIFS([1]Products!$G$4:$G$4801,$A14,[1]Products!$L$4:$L$4801,"Yes",[1]Products!$K$4:$K$4801,"Package"))</f>
        <v>0</v>
      </c>
      <c r="T14" s="20" t="str" cm="1">
        <f t="array" ref="T14">IF($A14="","",_xlfn.IFS($Q14=0,"NO ACTIVE SKUs",AND($R14&gt;0,$S14&gt;0),"Draft &amp; Package",$R14&gt;0,"Draft only",TRUE,"Package only"))</f>
        <v>Package only</v>
      </c>
    </row>
    <row r="15" spans="1:20" x14ac:dyDescent="0.2">
      <c r="A15" s="9" t="str">
        <v>Arnold Palmer</v>
      </c>
      <c r="B15" s="10" t="str">
        <f>IF($A15="","",_xlfn.XLOOKUP($A15,'[1]Brand Family Territory (Enc)'!$A:$A,'[1]Brand Family Territory (Enc)'!$B:$B,"** NO TERRITORY SET **"))</f>
        <v>Core Market</v>
      </c>
      <c r="C15" s="11" t="str">
        <f>IF($A15="","",_xlfn.LET(_xlpm.t,MATCH($B15,'[1]Territory Definitions'!$B$5:$B$14,0),IF(ISNA(_xlpm.t),"NO TERRITORY",IF(INDEX('[1]Territory Definitions'!$D$5:$M$14,_xlpm.t,MATCH(C$4,'[1]Territory Definitions'!$D$4:$M$4,0))&lt;&gt;1,"NOT IN TERRITORY",IF(COUNTIFS('[1]Blackout Brand Fam Areas (Enc)'!$B$6:$B$998,$A15,'[1]Blackout Brand Fam Areas (Enc)'!$C$6:$C$998,C$4,'[1]Blackout Brand Fam Areas (Enc)'!$D$6:$D$998,"Inactive")&gt;0,"BLOCKED","CAN SELL")))))</f>
        <v>CAN SELL</v>
      </c>
      <c r="D15" s="11" t="str">
        <f>IF($A15="","",_xlfn.LET(_xlpm.t,MATCH($B15,'[1]Territory Definitions'!$B$5:$B$14,0),IF(ISNA(_xlpm.t),"NO TERRITORY",IF(INDEX('[1]Territory Definitions'!$D$5:$M$14,_xlpm.t,MATCH(D$4,'[1]Territory Definitions'!$D$4:$M$4,0))&lt;&gt;1,"NOT IN TERRITORY",IF(COUNTIFS('[1]Blackout Brand Fam Areas (Enc)'!$B$6:$B$998,$A15,'[1]Blackout Brand Fam Areas (Enc)'!$C$6:$C$998,D$4,'[1]Blackout Brand Fam Areas (Enc)'!$D$6:$D$998,"Inactive")&gt;0,"BLOCKED","CAN SELL")))))</f>
        <v>CAN SELL</v>
      </c>
      <c r="E15" s="11" t="str">
        <f>IF($A15="","",_xlfn.LET(_xlpm.t,MATCH($B15,'[1]Territory Definitions'!$B$5:$B$14,0),IF(ISNA(_xlpm.t),"NO TERRITORY",IF(INDEX('[1]Territory Definitions'!$D$5:$M$14,_xlpm.t,MATCH(E$4,'[1]Territory Definitions'!$D$4:$M$4,0))&lt;&gt;1,"NOT IN TERRITORY",IF(COUNTIFS('[1]Blackout Brand Fam Areas (Enc)'!$B$6:$B$998,$A15,'[1]Blackout Brand Fam Areas (Enc)'!$C$6:$C$998,E$4,'[1]Blackout Brand Fam Areas (Enc)'!$D$6:$D$998,"Inactive")&gt;0,"BLOCKED","CAN SELL")))))</f>
        <v>CAN SELL</v>
      </c>
      <c r="F15" s="11" t="str">
        <f>IF($A15="","",_xlfn.LET(_xlpm.t,MATCH($B15,'[1]Territory Definitions'!$B$5:$B$14,0),IF(ISNA(_xlpm.t),"NO TERRITORY",IF(INDEX('[1]Territory Definitions'!$D$5:$M$14,_xlpm.t,MATCH(F$4,'[1]Territory Definitions'!$D$4:$M$4,0))&lt;&gt;1,"NOT IN TERRITORY",IF(COUNTIFS('[1]Blackout Brand Fam Areas (Enc)'!$B$6:$B$998,$A15,'[1]Blackout Brand Fam Areas (Enc)'!$C$6:$C$998,F$4,'[1]Blackout Brand Fam Areas (Enc)'!$D$6:$D$998,"Inactive")&gt;0,"BLOCKED","CAN SELL")))))</f>
        <v>NOT IN TERRITORY</v>
      </c>
      <c r="G15" s="11" t="str">
        <f>IF($A15="","",_xlfn.LET(_xlpm.t,MATCH($B15,'[1]Territory Definitions'!$B$5:$B$14,0),IF(ISNA(_xlpm.t),"NO TERRITORY",IF(INDEX('[1]Territory Definitions'!$D$5:$M$14,_xlpm.t,MATCH(G$4,'[1]Territory Definitions'!$D$4:$M$4,0))&lt;&gt;1,"NOT IN TERRITORY",IF(COUNTIFS('[1]Blackout Brand Fam Areas (Enc)'!$B$6:$B$998,$A15,'[1]Blackout Brand Fam Areas (Enc)'!$C$6:$C$998,G$4,'[1]Blackout Brand Fam Areas (Enc)'!$D$6:$D$998,"Inactive")&gt;0,"BLOCKED","CAN SELL")))))</f>
        <v>NOT IN TERRITORY</v>
      </c>
      <c r="H15" s="11" t="str">
        <f>IF($A15="","",_xlfn.LET(_xlpm.t,MATCH($B15,'[1]Territory Definitions'!$B$5:$B$14,0),IF(ISNA(_xlpm.t),"NO TERRITORY",IF(INDEX('[1]Territory Definitions'!$D$5:$M$14,_xlpm.t,MATCH(H$4,'[1]Territory Definitions'!$D$4:$M$4,0))&lt;&gt;1,"NOT IN TERRITORY",IF(COUNTIFS('[1]Blackout Brand Fam Areas (Enc)'!$B$6:$B$998,$A15,'[1]Blackout Brand Fam Areas (Enc)'!$C$6:$C$998,H$4,'[1]Blackout Brand Fam Areas (Enc)'!$D$6:$D$998,"Inactive")&gt;0,"BLOCKED","CAN SELL")))))</f>
        <v>NOT IN TERRITORY</v>
      </c>
      <c r="I15" s="11" t="str">
        <f>IF($A15="","",_xlfn.LET(_xlpm.t,MATCH($B15,'[1]Territory Definitions'!$B$5:$B$14,0),IF(ISNA(_xlpm.t),"NO TERRITORY",IF(INDEX('[1]Territory Definitions'!$D$5:$M$14,_xlpm.t,MATCH(I$4,'[1]Territory Definitions'!$D$4:$M$4,0))&lt;&gt;1,"NOT IN TERRITORY",IF(COUNTIFS('[1]Blackout Brand Fam Areas (Enc)'!$B$6:$B$998,$A15,'[1]Blackout Brand Fam Areas (Enc)'!$C$6:$C$998,I$4,'[1]Blackout Brand Fam Areas (Enc)'!$D$6:$D$998,"Inactive")&gt;0,"BLOCKED","CAN SELL")))))</f>
        <v>CAN SELL</v>
      </c>
      <c r="J15" s="11" t="str">
        <f>IF($A15="","",_xlfn.LET(_xlpm.t,MATCH($B15,'[1]Territory Definitions'!$B$5:$B$14,0),IF(ISNA(_xlpm.t),"NO TERRITORY",IF(INDEX('[1]Territory Definitions'!$D$5:$M$14,_xlpm.t,MATCH(J$4,'[1]Territory Definitions'!$D$4:$M$4,0))&lt;&gt;1,"NOT IN TERRITORY",IF(COUNTIFS('[1]Blackout Brand Fam Areas (Enc)'!$B$6:$B$998,$A15,'[1]Blackout Brand Fam Areas (Enc)'!$C$6:$C$998,J$4,'[1]Blackout Brand Fam Areas (Enc)'!$D$6:$D$998,"Inactive")&gt;0,"BLOCKED","CAN SELL")))))</f>
        <v>CAN SELL</v>
      </c>
      <c r="K15" s="11" t="str">
        <f>IF($A15="","",_xlfn.LET(_xlpm.t,MATCH($B15,'[1]Territory Definitions'!$B$5:$B$14,0),IF(ISNA(_xlpm.t),"NO TERRITORY",IF(INDEX('[1]Territory Definitions'!$D$5:$M$14,_xlpm.t,MATCH(K$4,'[1]Territory Definitions'!$D$4:$M$4,0))&lt;&gt;1,"NOT IN TERRITORY",IF(COUNTIFS('[1]Blackout Brand Fam Areas (Enc)'!$B$6:$B$998,$A15,'[1]Blackout Brand Fam Areas (Enc)'!$C$6:$C$998,K$4,'[1]Blackout Brand Fam Areas (Enc)'!$D$6:$D$998,"Inactive")&gt;0,"BLOCKED","CAN SELL")))))</f>
        <v>NOT IN TERRITORY</v>
      </c>
      <c r="L15" s="11" t="str">
        <f>IF($A15="","",_xlfn.LET(_xlpm.t,MATCH($B15,'[1]Territory Definitions'!$B$5:$B$14,0),IF(ISNA(_xlpm.t),"NO TERRITORY",IF(INDEX('[1]Territory Definitions'!$D$5:$M$14,_xlpm.t,MATCH(L$4,'[1]Territory Definitions'!$D$4:$M$4,0))&lt;&gt;1,"NOT IN TERRITORY",IF(COUNTIFS('[1]Blackout Brand Fam Areas (Enc)'!$B$6:$B$998,$A15,'[1]Blackout Brand Fam Areas (Enc)'!$C$6:$C$998,L$4,'[1]Blackout Brand Fam Areas (Enc)'!$D$6:$D$998,"Inactive")&gt;0,"BLOCKED","CAN SELL")))))</f>
        <v>CAN SELL</v>
      </c>
      <c r="M15" s="12">
        <f>IF($A15="","",COUNTIF($C15:$L15,"CAN SELL"))</f>
        <v>6</v>
      </c>
      <c r="N15" s="13" cm="1">
        <f t="array" ref="N15">IF($A15="","",SUMPRODUCT(($C15:$L15="CAN SELL")*$C$3:$L$3))</f>
        <v>1596</v>
      </c>
      <c r="O15" s="14" t="str">
        <f>IF($A15="","",IF(COUNTIF($A$5:$A$299,$A15)&gt;1,"DUPLICATE - two different territories assigned",IF($B15="** NO TERRITORY SET **","No territory on Brand Family Territory (Enc)","")))</f>
        <v/>
      </c>
      <c r="P15" s="18" t="str">
        <f>IF($A15="","",IFERROR(INDEX([1]Products!$H$4:$H$4801,MATCH($A15,[1]Products!$G$4:$G$4801,0)),"(no products)"))</f>
        <v>MolsonCoors Beverage Company</v>
      </c>
      <c r="Q15" s="19">
        <f>IF($A15="","",COUNTIFS([1]Products!$G$4:$G$4801,$A15,[1]Products!$L$4:$L$4801,"Yes"))</f>
        <v>7</v>
      </c>
      <c r="R15" s="19">
        <f>IF($A15="","",COUNTIFS([1]Products!$G$4:$G$4801,$A15,[1]Products!$L$4:$L$4801,"Yes",[1]Products!$K$4:$K$4801,"Draft"))</f>
        <v>0</v>
      </c>
      <c r="S15" s="19">
        <f>IF($A15="","",COUNTIFS([1]Products!$G$4:$G$4801,$A15,[1]Products!$L$4:$L$4801,"Yes",[1]Products!$K$4:$K$4801,"Package"))</f>
        <v>7</v>
      </c>
      <c r="T15" s="20" t="str" cm="1">
        <f t="array" ref="T15">IF($A15="","",_xlfn.IFS($Q15=0,"NO ACTIVE SKUs",AND($R15&gt;0,$S15&gt;0),"Draft &amp; Package",$R15&gt;0,"Draft only",TRUE,"Package only"))</f>
        <v>Package only</v>
      </c>
    </row>
    <row r="16" spans="1:20" x14ac:dyDescent="0.2">
      <c r="A16" s="9" t="str">
        <v>Athletic</v>
      </c>
      <c r="B16" s="10" t="str">
        <f>IF($A16="","",_xlfn.XLOOKUP($A16,'[1]Brand Family Territory (Enc)'!$A:$A,'[1]Brand Family Territory (Enc)'!$B:$B,"** NO TERRITORY SET **"))</f>
        <v>Core Market</v>
      </c>
      <c r="C16" s="11" t="str">
        <f>IF($A16="","",_xlfn.LET(_xlpm.t,MATCH($B16,'[1]Territory Definitions'!$B$5:$B$14,0),IF(ISNA(_xlpm.t),"NO TERRITORY",IF(INDEX('[1]Territory Definitions'!$D$5:$M$14,_xlpm.t,MATCH(C$4,'[1]Territory Definitions'!$D$4:$M$4,0))&lt;&gt;1,"NOT IN TERRITORY",IF(COUNTIFS('[1]Blackout Brand Fam Areas (Enc)'!$B$6:$B$998,$A16,'[1]Blackout Brand Fam Areas (Enc)'!$C$6:$C$998,C$4,'[1]Blackout Brand Fam Areas (Enc)'!$D$6:$D$998,"Inactive")&gt;0,"BLOCKED","CAN SELL")))))</f>
        <v>CAN SELL</v>
      </c>
      <c r="D16" s="11" t="str">
        <f>IF($A16="","",_xlfn.LET(_xlpm.t,MATCH($B16,'[1]Territory Definitions'!$B$5:$B$14,0),IF(ISNA(_xlpm.t),"NO TERRITORY",IF(INDEX('[1]Territory Definitions'!$D$5:$M$14,_xlpm.t,MATCH(D$4,'[1]Territory Definitions'!$D$4:$M$4,0))&lt;&gt;1,"NOT IN TERRITORY",IF(COUNTIFS('[1]Blackout Brand Fam Areas (Enc)'!$B$6:$B$998,$A16,'[1]Blackout Brand Fam Areas (Enc)'!$C$6:$C$998,D$4,'[1]Blackout Brand Fam Areas (Enc)'!$D$6:$D$998,"Inactive")&gt;0,"BLOCKED","CAN SELL")))))</f>
        <v>CAN SELL</v>
      </c>
      <c r="E16" s="11" t="str">
        <f>IF($A16="","",_xlfn.LET(_xlpm.t,MATCH($B16,'[1]Territory Definitions'!$B$5:$B$14,0),IF(ISNA(_xlpm.t),"NO TERRITORY",IF(INDEX('[1]Territory Definitions'!$D$5:$M$14,_xlpm.t,MATCH(E$4,'[1]Territory Definitions'!$D$4:$M$4,0))&lt;&gt;1,"NOT IN TERRITORY",IF(COUNTIFS('[1]Blackout Brand Fam Areas (Enc)'!$B$6:$B$998,$A16,'[1]Blackout Brand Fam Areas (Enc)'!$C$6:$C$998,E$4,'[1]Blackout Brand Fam Areas (Enc)'!$D$6:$D$998,"Inactive")&gt;0,"BLOCKED","CAN SELL")))))</f>
        <v>CAN SELL</v>
      </c>
      <c r="F16" s="11" t="str">
        <f>IF($A16="","",_xlfn.LET(_xlpm.t,MATCH($B16,'[1]Territory Definitions'!$B$5:$B$14,0),IF(ISNA(_xlpm.t),"NO TERRITORY",IF(INDEX('[1]Territory Definitions'!$D$5:$M$14,_xlpm.t,MATCH(F$4,'[1]Territory Definitions'!$D$4:$M$4,0))&lt;&gt;1,"NOT IN TERRITORY",IF(COUNTIFS('[1]Blackout Brand Fam Areas (Enc)'!$B$6:$B$998,$A16,'[1]Blackout Brand Fam Areas (Enc)'!$C$6:$C$998,F$4,'[1]Blackout Brand Fam Areas (Enc)'!$D$6:$D$998,"Inactive")&gt;0,"BLOCKED","CAN SELL")))))</f>
        <v>NOT IN TERRITORY</v>
      </c>
      <c r="G16" s="11" t="str">
        <f>IF($A16="","",_xlfn.LET(_xlpm.t,MATCH($B16,'[1]Territory Definitions'!$B$5:$B$14,0),IF(ISNA(_xlpm.t),"NO TERRITORY",IF(INDEX('[1]Territory Definitions'!$D$5:$M$14,_xlpm.t,MATCH(G$4,'[1]Territory Definitions'!$D$4:$M$4,0))&lt;&gt;1,"NOT IN TERRITORY",IF(COUNTIFS('[1]Blackout Brand Fam Areas (Enc)'!$B$6:$B$998,$A16,'[1]Blackout Brand Fam Areas (Enc)'!$C$6:$C$998,G$4,'[1]Blackout Brand Fam Areas (Enc)'!$D$6:$D$998,"Inactive")&gt;0,"BLOCKED","CAN SELL")))))</f>
        <v>NOT IN TERRITORY</v>
      </c>
      <c r="H16" s="11" t="str">
        <f>IF($A16="","",_xlfn.LET(_xlpm.t,MATCH($B16,'[1]Territory Definitions'!$B$5:$B$14,0),IF(ISNA(_xlpm.t),"NO TERRITORY",IF(INDEX('[1]Territory Definitions'!$D$5:$M$14,_xlpm.t,MATCH(H$4,'[1]Territory Definitions'!$D$4:$M$4,0))&lt;&gt;1,"NOT IN TERRITORY",IF(COUNTIFS('[1]Blackout Brand Fam Areas (Enc)'!$B$6:$B$998,$A16,'[1]Blackout Brand Fam Areas (Enc)'!$C$6:$C$998,H$4,'[1]Blackout Brand Fam Areas (Enc)'!$D$6:$D$998,"Inactive")&gt;0,"BLOCKED","CAN SELL")))))</f>
        <v>NOT IN TERRITORY</v>
      </c>
      <c r="I16" s="11" t="str">
        <f>IF($A16="","",_xlfn.LET(_xlpm.t,MATCH($B16,'[1]Territory Definitions'!$B$5:$B$14,0),IF(ISNA(_xlpm.t),"NO TERRITORY",IF(INDEX('[1]Territory Definitions'!$D$5:$M$14,_xlpm.t,MATCH(I$4,'[1]Territory Definitions'!$D$4:$M$4,0))&lt;&gt;1,"NOT IN TERRITORY",IF(COUNTIFS('[1]Blackout Brand Fam Areas (Enc)'!$B$6:$B$998,$A16,'[1]Blackout Brand Fam Areas (Enc)'!$C$6:$C$998,I$4,'[1]Blackout Brand Fam Areas (Enc)'!$D$6:$D$998,"Inactive")&gt;0,"BLOCKED","CAN SELL")))))</f>
        <v>CAN SELL</v>
      </c>
      <c r="J16" s="11" t="str">
        <f>IF($A16="","",_xlfn.LET(_xlpm.t,MATCH($B16,'[1]Territory Definitions'!$B$5:$B$14,0),IF(ISNA(_xlpm.t),"NO TERRITORY",IF(INDEX('[1]Territory Definitions'!$D$5:$M$14,_xlpm.t,MATCH(J$4,'[1]Territory Definitions'!$D$4:$M$4,0))&lt;&gt;1,"NOT IN TERRITORY",IF(COUNTIFS('[1]Blackout Brand Fam Areas (Enc)'!$B$6:$B$998,$A16,'[1]Blackout Brand Fam Areas (Enc)'!$C$6:$C$998,J$4,'[1]Blackout Brand Fam Areas (Enc)'!$D$6:$D$998,"Inactive")&gt;0,"BLOCKED","CAN SELL")))))</f>
        <v>CAN SELL</v>
      </c>
      <c r="K16" s="11" t="str">
        <f>IF($A16="","",_xlfn.LET(_xlpm.t,MATCH($B16,'[1]Territory Definitions'!$B$5:$B$14,0),IF(ISNA(_xlpm.t),"NO TERRITORY",IF(INDEX('[1]Territory Definitions'!$D$5:$M$14,_xlpm.t,MATCH(K$4,'[1]Territory Definitions'!$D$4:$M$4,0))&lt;&gt;1,"NOT IN TERRITORY",IF(COUNTIFS('[1]Blackout Brand Fam Areas (Enc)'!$B$6:$B$998,$A16,'[1]Blackout Brand Fam Areas (Enc)'!$C$6:$C$998,K$4,'[1]Blackout Brand Fam Areas (Enc)'!$D$6:$D$998,"Inactive")&gt;0,"BLOCKED","CAN SELL")))))</f>
        <v>NOT IN TERRITORY</v>
      </c>
      <c r="L16" s="11" t="str">
        <f>IF($A16="","",_xlfn.LET(_xlpm.t,MATCH($B16,'[1]Territory Definitions'!$B$5:$B$14,0),IF(ISNA(_xlpm.t),"NO TERRITORY",IF(INDEX('[1]Territory Definitions'!$D$5:$M$14,_xlpm.t,MATCH(L$4,'[1]Territory Definitions'!$D$4:$M$4,0))&lt;&gt;1,"NOT IN TERRITORY",IF(COUNTIFS('[1]Blackout Brand Fam Areas (Enc)'!$B$6:$B$998,$A16,'[1]Blackout Brand Fam Areas (Enc)'!$C$6:$C$998,L$4,'[1]Blackout Brand Fam Areas (Enc)'!$D$6:$D$998,"Inactive")&gt;0,"BLOCKED","CAN SELL")))))</f>
        <v>CAN SELL</v>
      </c>
      <c r="M16" s="12">
        <f>IF($A16="","",COUNTIF($C16:$L16,"CAN SELL"))</f>
        <v>6</v>
      </c>
      <c r="N16" s="13" cm="1">
        <f t="array" ref="N16">IF($A16="","",SUMPRODUCT(($C16:$L16="CAN SELL")*$C$3:$L$3))</f>
        <v>1596</v>
      </c>
      <c r="O16" s="14" t="str">
        <f>IF($A16="","",IF(COUNTIF($A$5:$A$299,$A16)&gt;1,"DUPLICATE - two different territories assigned",IF($B16="** NO TERRITORY SET **","No territory on Brand Family Territory (Enc)","")))</f>
        <v/>
      </c>
      <c r="P16" s="18" t="str">
        <f>IF($A16="","",IFERROR(INDEX([1]Products!$H$4:$H$4801,MATCH($A16,[1]Products!$G$4:$G$4801,0)),"(no products)"))</f>
        <v>Athletic Brewing Company</v>
      </c>
      <c r="Q16" s="19">
        <f>IF($A16="","",COUNTIFS([1]Products!$G$4:$G$4801,$A16,[1]Products!$L$4:$L$4801,"Yes"))</f>
        <v>27</v>
      </c>
      <c r="R16" s="19">
        <f>IF($A16="","",COUNTIFS([1]Products!$G$4:$G$4801,$A16,[1]Products!$L$4:$L$4801,"Yes",[1]Products!$K$4:$K$4801,"Draft"))</f>
        <v>1</v>
      </c>
      <c r="S16" s="19">
        <f>IF($A16="","",COUNTIFS([1]Products!$G$4:$G$4801,$A16,[1]Products!$L$4:$L$4801,"Yes",[1]Products!$K$4:$K$4801,"Package"))</f>
        <v>26</v>
      </c>
      <c r="T16" s="20" t="str" cm="1">
        <f t="array" ref="T16">IF($A16="","",_xlfn.IFS($Q16=0,"NO ACTIVE SKUs",AND($R16&gt;0,$S16&gt;0),"Draft &amp; Package",$R16&gt;0,"Draft only",TRUE,"Package only"))</f>
        <v>Draft &amp; Package</v>
      </c>
    </row>
    <row r="17" spans="1:20" x14ac:dyDescent="0.2">
      <c r="A17" s="9" t="str">
        <v>Augustiner</v>
      </c>
      <c r="B17" s="10" t="str">
        <f>IF($A17="","",_xlfn.XLOOKUP($A17,'[1]Brand Family Territory (Enc)'!$A:$A,'[1]Brand Family Territory (Enc)'!$B:$B,"** NO TERRITORY SET **"))</f>
        <v>All Counties</v>
      </c>
      <c r="C17" s="11" t="str">
        <f>IF($A17="","",_xlfn.LET(_xlpm.t,MATCH($B17,'[1]Territory Definitions'!$B$5:$B$14,0),IF(ISNA(_xlpm.t),"NO TERRITORY",IF(INDEX('[1]Territory Definitions'!$D$5:$M$14,_xlpm.t,MATCH(C$4,'[1]Territory Definitions'!$D$4:$M$4,0))&lt;&gt;1,"NOT IN TERRITORY",IF(COUNTIFS('[1]Blackout Brand Fam Areas (Enc)'!$B$6:$B$998,$A17,'[1]Blackout Brand Fam Areas (Enc)'!$C$6:$C$998,C$4,'[1]Blackout Brand Fam Areas (Enc)'!$D$6:$D$998,"Inactive")&gt;0,"BLOCKED","CAN SELL")))))</f>
        <v>CAN SELL</v>
      </c>
      <c r="D17" s="11" t="str">
        <f>IF($A17="","",_xlfn.LET(_xlpm.t,MATCH($B17,'[1]Territory Definitions'!$B$5:$B$14,0),IF(ISNA(_xlpm.t),"NO TERRITORY",IF(INDEX('[1]Territory Definitions'!$D$5:$M$14,_xlpm.t,MATCH(D$4,'[1]Territory Definitions'!$D$4:$M$4,0))&lt;&gt;1,"NOT IN TERRITORY",IF(COUNTIFS('[1]Blackout Brand Fam Areas (Enc)'!$B$6:$B$998,$A17,'[1]Blackout Brand Fam Areas (Enc)'!$C$6:$C$998,D$4,'[1]Blackout Brand Fam Areas (Enc)'!$D$6:$D$998,"Inactive")&gt;0,"BLOCKED","CAN SELL")))))</f>
        <v>CAN SELL</v>
      </c>
      <c r="E17" s="11" t="str">
        <f>IF($A17="","",_xlfn.LET(_xlpm.t,MATCH($B17,'[1]Territory Definitions'!$B$5:$B$14,0),IF(ISNA(_xlpm.t),"NO TERRITORY",IF(INDEX('[1]Territory Definitions'!$D$5:$M$14,_xlpm.t,MATCH(E$4,'[1]Territory Definitions'!$D$4:$M$4,0))&lt;&gt;1,"NOT IN TERRITORY",IF(COUNTIFS('[1]Blackout Brand Fam Areas (Enc)'!$B$6:$B$998,$A17,'[1]Blackout Brand Fam Areas (Enc)'!$C$6:$C$998,E$4,'[1]Blackout Brand Fam Areas (Enc)'!$D$6:$D$998,"Inactive")&gt;0,"BLOCKED","CAN SELL")))))</f>
        <v>CAN SELL</v>
      </c>
      <c r="F17" s="11" t="str">
        <f>IF($A17="","",_xlfn.LET(_xlpm.t,MATCH($B17,'[1]Territory Definitions'!$B$5:$B$14,0),IF(ISNA(_xlpm.t),"NO TERRITORY",IF(INDEX('[1]Territory Definitions'!$D$5:$M$14,_xlpm.t,MATCH(F$4,'[1]Territory Definitions'!$D$4:$M$4,0))&lt;&gt;1,"NOT IN TERRITORY",IF(COUNTIFS('[1]Blackout Brand Fam Areas (Enc)'!$B$6:$B$998,$A17,'[1]Blackout Brand Fam Areas (Enc)'!$C$6:$C$998,F$4,'[1]Blackout Brand Fam Areas (Enc)'!$D$6:$D$998,"Inactive")&gt;0,"BLOCKED","CAN SELL")))))</f>
        <v>CAN SELL</v>
      </c>
      <c r="G17" s="11" t="str">
        <f>IF($A17="","",_xlfn.LET(_xlpm.t,MATCH($B17,'[1]Territory Definitions'!$B$5:$B$14,0),IF(ISNA(_xlpm.t),"NO TERRITORY",IF(INDEX('[1]Territory Definitions'!$D$5:$M$14,_xlpm.t,MATCH(G$4,'[1]Territory Definitions'!$D$4:$M$4,0))&lt;&gt;1,"NOT IN TERRITORY",IF(COUNTIFS('[1]Blackout Brand Fam Areas (Enc)'!$B$6:$B$998,$A17,'[1]Blackout Brand Fam Areas (Enc)'!$C$6:$C$998,G$4,'[1]Blackout Brand Fam Areas (Enc)'!$D$6:$D$998,"Inactive")&gt;0,"BLOCKED","CAN SELL")))))</f>
        <v>CAN SELL</v>
      </c>
      <c r="H17" s="11" t="str">
        <f>IF($A17="","",_xlfn.LET(_xlpm.t,MATCH($B17,'[1]Territory Definitions'!$B$5:$B$14,0),IF(ISNA(_xlpm.t),"NO TERRITORY",IF(INDEX('[1]Territory Definitions'!$D$5:$M$14,_xlpm.t,MATCH(H$4,'[1]Territory Definitions'!$D$4:$M$4,0))&lt;&gt;1,"NOT IN TERRITORY",IF(COUNTIFS('[1]Blackout Brand Fam Areas (Enc)'!$B$6:$B$998,$A17,'[1]Blackout Brand Fam Areas (Enc)'!$C$6:$C$998,H$4,'[1]Blackout Brand Fam Areas (Enc)'!$D$6:$D$998,"Inactive")&gt;0,"BLOCKED","CAN SELL")))))</f>
        <v>CAN SELL</v>
      </c>
      <c r="I17" s="11" t="str">
        <f>IF($A17="","",_xlfn.LET(_xlpm.t,MATCH($B17,'[1]Territory Definitions'!$B$5:$B$14,0),IF(ISNA(_xlpm.t),"NO TERRITORY",IF(INDEX('[1]Territory Definitions'!$D$5:$M$14,_xlpm.t,MATCH(I$4,'[1]Territory Definitions'!$D$4:$M$4,0))&lt;&gt;1,"NOT IN TERRITORY",IF(COUNTIFS('[1]Blackout Brand Fam Areas (Enc)'!$B$6:$B$998,$A17,'[1]Blackout Brand Fam Areas (Enc)'!$C$6:$C$998,I$4,'[1]Blackout Brand Fam Areas (Enc)'!$D$6:$D$998,"Inactive")&gt;0,"BLOCKED","CAN SELL")))))</f>
        <v>CAN SELL</v>
      </c>
      <c r="J17" s="11" t="str">
        <f>IF($A17="","",_xlfn.LET(_xlpm.t,MATCH($B17,'[1]Territory Definitions'!$B$5:$B$14,0),IF(ISNA(_xlpm.t),"NO TERRITORY",IF(INDEX('[1]Territory Definitions'!$D$5:$M$14,_xlpm.t,MATCH(J$4,'[1]Territory Definitions'!$D$4:$M$4,0))&lt;&gt;1,"NOT IN TERRITORY",IF(COUNTIFS('[1]Blackout Brand Fam Areas (Enc)'!$B$6:$B$998,$A17,'[1]Blackout Brand Fam Areas (Enc)'!$C$6:$C$998,J$4,'[1]Blackout Brand Fam Areas (Enc)'!$D$6:$D$998,"Inactive")&gt;0,"BLOCKED","CAN SELL")))))</f>
        <v>CAN SELL</v>
      </c>
      <c r="K17" s="11" t="str">
        <f>IF($A17="","",_xlfn.LET(_xlpm.t,MATCH($B17,'[1]Territory Definitions'!$B$5:$B$14,0),IF(ISNA(_xlpm.t),"NO TERRITORY",IF(INDEX('[1]Territory Definitions'!$D$5:$M$14,_xlpm.t,MATCH(K$4,'[1]Territory Definitions'!$D$4:$M$4,0))&lt;&gt;1,"NOT IN TERRITORY",IF(COUNTIFS('[1]Blackout Brand Fam Areas (Enc)'!$B$6:$B$998,$A17,'[1]Blackout Brand Fam Areas (Enc)'!$C$6:$C$998,K$4,'[1]Blackout Brand Fam Areas (Enc)'!$D$6:$D$998,"Inactive")&gt;0,"BLOCKED","CAN SELL")))))</f>
        <v>CAN SELL</v>
      </c>
      <c r="L17" s="11" t="str">
        <f>IF($A17="","",_xlfn.LET(_xlpm.t,MATCH($B17,'[1]Territory Definitions'!$B$5:$B$14,0),IF(ISNA(_xlpm.t),"NO TERRITORY",IF(INDEX('[1]Territory Definitions'!$D$5:$M$14,_xlpm.t,MATCH(L$4,'[1]Territory Definitions'!$D$4:$M$4,0))&lt;&gt;1,"NOT IN TERRITORY",IF(COUNTIFS('[1]Blackout Brand Fam Areas (Enc)'!$B$6:$B$998,$A17,'[1]Blackout Brand Fam Areas (Enc)'!$C$6:$C$998,L$4,'[1]Blackout Brand Fam Areas (Enc)'!$D$6:$D$998,"Inactive")&gt;0,"BLOCKED","CAN SELL")))))</f>
        <v>CAN SELL</v>
      </c>
      <c r="M17" s="12">
        <f>IF($A17="","",COUNTIF($C17:$L17,"CAN SELL"))</f>
        <v>10</v>
      </c>
      <c r="N17" s="13" cm="1">
        <f t="array" ref="N17">IF($A17="","",SUMPRODUCT(($C17:$L17="CAN SELL")*$C$3:$L$3))</f>
        <v>2306</v>
      </c>
      <c r="O17" s="14" t="str">
        <f>IF($A17="","",IF(COUNTIF($A$5:$A$299,$A17)&gt;1,"DUPLICATE - two different territories assigned",IF($B17="** NO TERRITORY SET **","No territory on Brand Family Territory (Enc)","")))</f>
        <v/>
      </c>
      <c r="P17" s="18" t="str">
        <f>IF($A17="","",IFERROR(INDEX([1]Products!$H$4:$H$4801,MATCH($A17,[1]Products!$G$4:$G$4801,0)),"(no products)"))</f>
        <v>Global Village Imp.</v>
      </c>
      <c r="Q17" s="19">
        <f>IF($A17="","",COUNTIFS([1]Products!$G$4:$G$4801,$A17,[1]Products!$L$4:$L$4801,"Yes"))</f>
        <v>2</v>
      </c>
      <c r="R17" s="19">
        <f>IF($A17="","",COUNTIFS([1]Products!$G$4:$G$4801,$A17,[1]Products!$L$4:$L$4801,"Yes",[1]Products!$K$4:$K$4801,"Draft"))</f>
        <v>0</v>
      </c>
      <c r="S17" s="19">
        <f>IF($A17="","",COUNTIFS([1]Products!$G$4:$G$4801,$A17,[1]Products!$L$4:$L$4801,"Yes",[1]Products!$K$4:$K$4801,"Package"))</f>
        <v>2</v>
      </c>
      <c r="T17" s="20" t="str" cm="1">
        <f t="array" ref="T17">IF($A17="","",_xlfn.IFS($Q17=0,"NO ACTIVE SKUs",AND($R17&gt;0,$S17&gt;0),"Draft &amp; Package",$R17&gt;0,"Draft only",TRUE,"Package only"))</f>
        <v>Package only</v>
      </c>
    </row>
    <row r="18" spans="1:20" x14ac:dyDescent="0.2">
      <c r="A18" s="9" t="str">
        <v>Banks</v>
      </c>
      <c r="B18" s="10" t="str">
        <f>IF($A18="","",_xlfn.XLOOKUP($A18,'[1]Brand Family Territory (Enc)'!$A:$A,'[1]Brand Family Territory (Enc)'!$B:$B,"** NO TERRITORY SET **"))</f>
        <v>Bergen/Passaic/Hudson/Essex</v>
      </c>
      <c r="C18" s="11" t="str">
        <f>IF($A18="","",_xlfn.LET(_xlpm.t,MATCH($B18,'[1]Territory Definitions'!$B$5:$B$14,0),IF(ISNA(_xlpm.t),"NO TERRITORY",IF(INDEX('[1]Territory Definitions'!$D$5:$M$14,_xlpm.t,MATCH(C$4,'[1]Territory Definitions'!$D$4:$M$4,0))&lt;&gt;1,"NOT IN TERRITORY",IF(COUNTIFS('[1]Blackout Brand Fam Areas (Enc)'!$B$6:$B$998,$A18,'[1]Blackout Brand Fam Areas (Enc)'!$C$6:$C$998,C$4,'[1]Blackout Brand Fam Areas (Enc)'!$D$6:$D$998,"Inactive")&gt;0,"BLOCKED","CAN SELL")))))</f>
        <v>CAN SELL</v>
      </c>
      <c r="D18" s="11" t="str">
        <f>IF($A18="","",_xlfn.LET(_xlpm.t,MATCH($B18,'[1]Territory Definitions'!$B$5:$B$14,0),IF(ISNA(_xlpm.t),"NO TERRITORY",IF(INDEX('[1]Territory Definitions'!$D$5:$M$14,_xlpm.t,MATCH(D$4,'[1]Territory Definitions'!$D$4:$M$4,0))&lt;&gt;1,"NOT IN TERRITORY",IF(COUNTIFS('[1]Blackout Brand Fam Areas (Enc)'!$B$6:$B$998,$A18,'[1]Blackout Brand Fam Areas (Enc)'!$C$6:$C$998,D$4,'[1]Blackout Brand Fam Areas (Enc)'!$D$6:$D$998,"Inactive")&gt;0,"BLOCKED","CAN SELL")))))</f>
        <v>CAN SELL</v>
      </c>
      <c r="E18" s="11" t="str">
        <f>IF($A18="","",_xlfn.LET(_xlpm.t,MATCH($B18,'[1]Territory Definitions'!$B$5:$B$14,0),IF(ISNA(_xlpm.t),"NO TERRITORY",IF(INDEX('[1]Territory Definitions'!$D$5:$M$14,_xlpm.t,MATCH(E$4,'[1]Territory Definitions'!$D$4:$M$4,0))&lt;&gt;1,"NOT IN TERRITORY",IF(COUNTIFS('[1]Blackout Brand Fam Areas (Enc)'!$B$6:$B$998,$A18,'[1]Blackout Brand Fam Areas (Enc)'!$C$6:$C$998,E$4,'[1]Blackout Brand Fam Areas (Enc)'!$D$6:$D$998,"Inactive")&gt;0,"BLOCKED","CAN SELL")))))</f>
        <v>CAN SELL</v>
      </c>
      <c r="F18" s="11" t="str">
        <f>IF($A18="","",_xlfn.LET(_xlpm.t,MATCH($B18,'[1]Territory Definitions'!$B$5:$B$14,0),IF(ISNA(_xlpm.t),"NO TERRITORY",IF(INDEX('[1]Territory Definitions'!$D$5:$M$14,_xlpm.t,MATCH(F$4,'[1]Territory Definitions'!$D$4:$M$4,0))&lt;&gt;1,"NOT IN TERRITORY",IF(COUNTIFS('[1]Blackout Brand Fam Areas (Enc)'!$B$6:$B$998,$A18,'[1]Blackout Brand Fam Areas (Enc)'!$C$6:$C$998,F$4,'[1]Blackout Brand Fam Areas (Enc)'!$D$6:$D$998,"Inactive")&gt;0,"BLOCKED","CAN SELL")))))</f>
        <v>CAN SELL</v>
      </c>
      <c r="G18" s="11" t="str">
        <f>IF($A18="","",_xlfn.LET(_xlpm.t,MATCH($B18,'[1]Territory Definitions'!$B$5:$B$14,0),IF(ISNA(_xlpm.t),"NO TERRITORY",IF(INDEX('[1]Territory Definitions'!$D$5:$M$14,_xlpm.t,MATCH(G$4,'[1]Territory Definitions'!$D$4:$M$4,0))&lt;&gt;1,"NOT IN TERRITORY",IF(COUNTIFS('[1]Blackout Brand Fam Areas (Enc)'!$B$6:$B$998,$A18,'[1]Blackout Brand Fam Areas (Enc)'!$C$6:$C$998,G$4,'[1]Blackout Brand Fam Areas (Enc)'!$D$6:$D$998,"Inactive")&gt;0,"BLOCKED","CAN SELL")))))</f>
        <v>CAN SELL</v>
      </c>
      <c r="H18" s="11" t="str">
        <f>IF($A18="","",_xlfn.LET(_xlpm.t,MATCH($B18,'[1]Territory Definitions'!$B$5:$B$14,0),IF(ISNA(_xlpm.t),"NO TERRITORY",IF(INDEX('[1]Territory Definitions'!$D$5:$M$14,_xlpm.t,MATCH(H$4,'[1]Territory Definitions'!$D$4:$M$4,0))&lt;&gt;1,"NOT IN TERRITORY",IF(COUNTIFS('[1]Blackout Brand Fam Areas (Enc)'!$B$6:$B$998,$A18,'[1]Blackout Brand Fam Areas (Enc)'!$C$6:$C$998,H$4,'[1]Blackout Brand Fam Areas (Enc)'!$D$6:$D$998,"Inactive")&gt;0,"BLOCKED","CAN SELL")))))</f>
        <v>NOT IN TERRITORY</v>
      </c>
      <c r="I18" s="11" t="str">
        <f>IF($A18="","",_xlfn.LET(_xlpm.t,MATCH($B18,'[1]Territory Definitions'!$B$5:$B$14,0),IF(ISNA(_xlpm.t),"NO TERRITORY",IF(INDEX('[1]Territory Definitions'!$D$5:$M$14,_xlpm.t,MATCH(I$4,'[1]Territory Definitions'!$D$4:$M$4,0))&lt;&gt;1,"NOT IN TERRITORY",IF(COUNTIFS('[1]Blackout Brand Fam Areas (Enc)'!$B$6:$B$998,$A18,'[1]Blackout Brand Fam Areas (Enc)'!$C$6:$C$998,I$4,'[1]Blackout Brand Fam Areas (Enc)'!$D$6:$D$998,"Inactive")&gt;0,"BLOCKED","CAN SELL")))))</f>
        <v>NOT IN TERRITORY</v>
      </c>
      <c r="J18" s="11" t="str">
        <f>IF($A18="","",_xlfn.LET(_xlpm.t,MATCH($B18,'[1]Territory Definitions'!$B$5:$B$14,0),IF(ISNA(_xlpm.t),"NO TERRITORY",IF(INDEX('[1]Territory Definitions'!$D$5:$M$14,_xlpm.t,MATCH(J$4,'[1]Territory Definitions'!$D$4:$M$4,0))&lt;&gt;1,"NOT IN TERRITORY",IF(COUNTIFS('[1]Blackout Brand Fam Areas (Enc)'!$B$6:$B$998,$A18,'[1]Blackout Brand Fam Areas (Enc)'!$C$6:$C$998,J$4,'[1]Blackout Brand Fam Areas (Enc)'!$D$6:$D$998,"Inactive")&gt;0,"BLOCKED","CAN SELL")))))</f>
        <v>NOT IN TERRITORY</v>
      </c>
      <c r="K18" s="11" t="str">
        <f>IF($A18="","",_xlfn.LET(_xlpm.t,MATCH($B18,'[1]Territory Definitions'!$B$5:$B$14,0),IF(ISNA(_xlpm.t),"NO TERRITORY",IF(INDEX('[1]Territory Definitions'!$D$5:$M$14,_xlpm.t,MATCH(K$4,'[1]Territory Definitions'!$D$4:$M$4,0))&lt;&gt;1,"NOT IN TERRITORY",IF(COUNTIFS('[1]Blackout Brand Fam Areas (Enc)'!$B$6:$B$998,$A18,'[1]Blackout Brand Fam Areas (Enc)'!$C$6:$C$998,K$4,'[1]Blackout Brand Fam Areas (Enc)'!$D$6:$D$998,"Inactive")&gt;0,"BLOCKED","CAN SELL")))))</f>
        <v>NOT IN TERRITORY</v>
      </c>
      <c r="L18" s="11" t="str">
        <f>IF($A18="","",_xlfn.LET(_xlpm.t,MATCH($B18,'[1]Territory Definitions'!$B$5:$B$14,0),IF(ISNA(_xlpm.t),"NO TERRITORY",IF(INDEX('[1]Territory Definitions'!$D$5:$M$14,_xlpm.t,MATCH(L$4,'[1]Territory Definitions'!$D$4:$M$4,0))&lt;&gt;1,"NOT IN TERRITORY",IF(COUNTIFS('[1]Blackout Brand Fam Areas (Enc)'!$B$6:$B$998,$A18,'[1]Blackout Brand Fam Areas (Enc)'!$C$6:$C$998,L$4,'[1]Blackout Brand Fam Areas (Enc)'!$D$6:$D$998,"Inactive")&gt;0,"BLOCKED","CAN SELL")))))</f>
        <v>NOT IN TERRITORY</v>
      </c>
      <c r="M18" s="12">
        <f>IF($A18="","",COUNTIF($C18:$L18,"CAN SELL"))</f>
        <v>5</v>
      </c>
      <c r="N18" s="13" cm="1">
        <f t="array" ref="N18">IF($A18="","",SUMPRODUCT(($C18:$L18="CAN SELL")*$C$3:$L$3))</f>
        <v>1859</v>
      </c>
      <c r="O18" s="14" t="str">
        <f>IF($A18="","",IF(COUNTIF($A$5:$A$299,$A18)&gt;1,"DUPLICATE - two different territories assigned",IF($B18="** NO TERRITORY SET **","No territory on Brand Family Territory (Enc)","")))</f>
        <v/>
      </c>
      <c r="P18" s="18" t="str">
        <f>IF($A18="","",IFERROR(INDEX([1]Products!$H$4:$H$4801,MATCH($A18,[1]Products!$G$4:$G$4801,0)),"(no products)"))</f>
        <v>Total Beverage Solutions</v>
      </c>
      <c r="Q18" s="19">
        <f>IF($A18="","",COUNTIFS([1]Products!$G$4:$G$4801,$A18,[1]Products!$L$4:$L$4801,"Yes"))</f>
        <v>1</v>
      </c>
      <c r="R18" s="19">
        <f>IF($A18="","",COUNTIFS([1]Products!$G$4:$G$4801,$A18,[1]Products!$L$4:$L$4801,"Yes",[1]Products!$K$4:$K$4801,"Draft"))</f>
        <v>0</v>
      </c>
      <c r="S18" s="19">
        <f>IF($A18="","",COUNTIFS([1]Products!$G$4:$G$4801,$A18,[1]Products!$L$4:$L$4801,"Yes",[1]Products!$K$4:$K$4801,"Package"))</f>
        <v>1</v>
      </c>
      <c r="T18" s="20" t="str" cm="1">
        <f t="array" ref="T18">IF($A18="","",_xlfn.IFS($Q18=0,"NO ACTIVE SKUs",AND($R18&gt;0,$S18&gt;0),"Draft &amp; Package",$R18&gt;0,"Draft only",TRUE,"Package only"))</f>
        <v>Package only</v>
      </c>
    </row>
    <row r="19" spans="1:20" x14ac:dyDescent="0.2">
      <c r="A19" s="9" t="str">
        <v>Baptist Wit</v>
      </c>
      <c r="B19" s="10" t="str">
        <f>IF($A19="","",_xlfn.XLOOKUP($A19,'[1]Brand Family Territory (Enc)'!$A:$A,'[1]Brand Family Territory (Enc)'!$B:$B,"** NO TERRITORY SET **"))</f>
        <v>All Counties</v>
      </c>
      <c r="C19" s="11" t="str">
        <f>IF($A19="","",_xlfn.LET(_xlpm.t,MATCH($B19,'[1]Territory Definitions'!$B$5:$B$14,0),IF(ISNA(_xlpm.t),"NO TERRITORY",IF(INDEX('[1]Territory Definitions'!$D$5:$M$14,_xlpm.t,MATCH(C$4,'[1]Territory Definitions'!$D$4:$M$4,0))&lt;&gt;1,"NOT IN TERRITORY",IF(COUNTIFS('[1]Blackout Brand Fam Areas (Enc)'!$B$6:$B$998,$A19,'[1]Blackout Brand Fam Areas (Enc)'!$C$6:$C$998,C$4,'[1]Blackout Brand Fam Areas (Enc)'!$D$6:$D$998,"Inactive")&gt;0,"BLOCKED","CAN SELL")))))</f>
        <v>CAN SELL</v>
      </c>
      <c r="D19" s="11" t="str">
        <f>IF($A19="","",_xlfn.LET(_xlpm.t,MATCH($B19,'[1]Territory Definitions'!$B$5:$B$14,0),IF(ISNA(_xlpm.t),"NO TERRITORY",IF(INDEX('[1]Territory Definitions'!$D$5:$M$14,_xlpm.t,MATCH(D$4,'[1]Territory Definitions'!$D$4:$M$4,0))&lt;&gt;1,"NOT IN TERRITORY",IF(COUNTIFS('[1]Blackout Brand Fam Areas (Enc)'!$B$6:$B$998,$A19,'[1]Blackout Brand Fam Areas (Enc)'!$C$6:$C$998,D$4,'[1]Blackout Brand Fam Areas (Enc)'!$D$6:$D$998,"Inactive")&gt;0,"BLOCKED","CAN SELL")))))</f>
        <v>CAN SELL</v>
      </c>
      <c r="E19" s="11" t="str">
        <f>IF($A19="","",_xlfn.LET(_xlpm.t,MATCH($B19,'[1]Territory Definitions'!$B$5:$B$14,0),IF(ISNA(_xlpm.t),"NO TERRITORY",IF(INDEX('[1]Territory Definitions'!$D$5:$M$14,_xlpm.t,MATCH(E$4,'[1]Territory Definitions'!$D$4:$M$4,0))&lt;&gt;1,"NOT IN TERRITORY",IF(COUNTIFS('[1]Blackout Brand Fam Areas (Enc)'!$B$6:$B$998,$A19,'[1]Blackout Brand Fam Areas (Enc)'!$C$6:$C$998,E$4,'[1]Blackout Brand Fam Areas (Enc)'!$D$6:$D$998,"Inactive")&gt;0,"BLOCKED","CAN SELL")))))</f>
        <v>CAN SELL</v>
      </c>
      <c r="F19" s="11" t="str">
        <f>IF($A19="","",_xlfn.LET(_xlpm.t,MATCH($B19,'[1]Territory Definitions'!$B$5:$B$14,0),IF(ISNA(_xlpm.t),"NO TERRITORY",IF(INDEX('[1]Territory Definitions'!$D$5:$M$14,_xlpm.t,MATCH(F$4,'[1]Territory Definitions'!$D$4:$M$4,0))&lt;&gt;1,"NOT IN TERRITORY",IF(COUNTIFS('[1]Blackout Brand Fam Areas (Enc)'!$B$6:$B$998,$A19,'[1]Blackout Brand Fam Areas (Enc)'!$C$6:$C$998,F$4,'[1]Blackout Brand Fam Areas (Enc)'!$D$6:$D$998,"Inactive")&gt;0,"BLOCKED","CAN SELL")))))</f>
        <v>CAN SELL</v>
      </c>
      <c r="G19" s="11" t="str">
        <f>IF($A19="","",_xlfn.LET(_xlpm.t,MATCH($B19,'[1]Territory Definitions'!$B$5:$B$14,0),IF(ISNA(_xlpm.t),"NO TERRITORY",IF(INDEX('[1]Territory Definitions'!$D$5:$M$14,_xlpm.t,MATCH(G$4,'[1]Territory Definitions'!$D$4:$M$4,0))&lt;&gt;1,"NOT IN TERRITORY",IF(COUNTIFS('[1]Blackout Brand Fam Areas (Enc)'!$B$6:$B$998,$A19,'[1]Blackout Brand Fam Areas (Enc)'!$C$6:$C$998,G$4,'[1]Blackout Brand Fam Areas (Enc)'!$D$6:$D$998,"Inactive")&gt;0,"BLOCKED","CAN SELL")))))</f>
        <v>CAN SELL</v>
      </c>
      <c r="H19" s="11" t="str">
        <f>IF($A19="","",_xlfn.LET(_xlpm.t,MATCH($B19,'[1]Territory Definitions'!$B$5:$B$14,0),IF(ISNA(_xlpm.t),"NO TERRITORY",IF(INDEX('[1]Territory Definitions'!$D$5:$M$14,_xlpm.t,MATCH(H$4,'[1]Territory Definitions'!$D$4:$M$4,0))&lt;&gt;1,"NOT IN TERRITORY",IF(COUNTIFS('[1]Blackout Brand Fam Areas (Enc)'!$B$6:$B$998,$A19,'[1]Blackout Brand Fam Areas (Enc)'!$C$6:$C$998,H$4,'[1]Blackout Brand Fam Areas (Enc)'!$D$6:$D$998,"Inactive")&gt;0,"BLOCKED","CAN SELL")))))</f>
        <v>CAN SELL</v>
      </c>
      <c r="I19" s="11" t="str">
        <f>IF($A19="","",_xlfn.LET(_xlpm.t,MATCH($B19,'[1]Territory Definitions'!$B$5:$B$14,0),IF(ISNA(_xlpm.t),"NO TERRITORY",IF(INDEX('[1]Territory Definitions'!$D$5:$M$14,_xlpm.t,MATCH(I$4,'[1]Territory Definitions'!$D$4:$M$4,0))&lt;&gt;1,"NOT IN TERRITORY",IF(COUNTIFS('[1]Blackout Brand Fam Areas (Enc)'!$B$6:$B$998,$A19,'[1]Blackout Brand Fam Areas (Enc)'!$C$6:$C$998,I$4,'[1]Blackout Brand Fam Areas (Enc)'!$D$6:$D$998,"Inactive")&gt;0,"BLOCKED","CAN SELL")))))</f>
        <v>CAN SELL</v>
      </c>
      <c r="J19" s="11" t="str">
        <f>IF($A19="","",_xlfn.LET(_xlpm.t,MATCH($B19,'[1]Territory Definitions'!$B$5:$B$14,0),IF(ISNA(_xlpm.t),"NO TERRITORY",IF(INDEX('[1]Territory Definitions'!$D$5:$M$14,_xlpm.t,MATCH(J$4,'[1]Territory Definitions'!$D$4:$M$4,0))&lt;&gt;1,"NOT IN TERRITORY",IF(COUNTIFS('[1]Blackout Brand Fam Areas (Enc)'!$B$6:$B$998,$A19,'[1]Blackout Brand Fam Areas (Enc)'!$C$6:$C$998,J$4,'[1]Blackout Brand Fam Areas (Enc)'!$D$6:$D$998,"Inactive")&gt;0,"BLOCKED","CAN SELL")))))</f>
        <v>CAN SELL</v>
      </c>
      <c r="K19" s="11" t="str">
        <f>IF($A19="","",_xlfn.LET(_xlpm.t,MATCH($B19,'[1]Territory Definitions'!$B$5:$B$14,0),IF(ISNA(_xlpm.t),"NO TERRITORY",IF(INDEX('[1]Territory Definitions'!$D$5:$M$14,_xlpm.t,MATCH(K$4,'[1]Territory Definitions'!$D$4:$M$4,0))&lt;&gt;1,"NOT IN TERRITORY",IF(COUNTIFS('[1]Blackout Brand Fam Areas (Enc)'!$B$6:$B$998,$A19,'[1]Blackout Brand Fam Areas (Enc)'!$C$6:$C$998,K$4,'[1]Blackout Brand Fam Areas (Enc)'!$D$6:$D$998,"Inactive")&gt;0,"BLOCKED","CAN SELL")))))</f>
        <v>CAN SELL</v>
      </c>
      <c r="L19" s="11" t="str">
        <f>IF($A19="","",_xlfn.LET(_xlpm.t,MATCH($B19,'[1]Territory Definitions'!$B$5:$B$14,0),IF(ISNA(_xlpm.t),"NO TERRITORY",IF(INDEX('[1]Territory Definitions'!$D$5:$M$14,_xlpm.t,MATCH(L$4,'[1]Territory Definitions'!$D$4:$M$4,0))&lt;&gt;1,"NOT IN TERRITORY",IF(COUNTIFS('[1]Blackout Brand Fam Areas (Enc)'!$B$6:$B$998,$A19,'[1]Blackout Brand Fam Areas (Enc)'!$C$6:$C$998,L$4,'[1]Blackout Brand Fam Areas (Enc)'!$D$6:$D$998,"Inactive")&gt;0,"BLOCKED","CAN SELL")))))</f>
        <v>CAN SELL</v>
      </c>
      <c r="M19" s="12">
        <f>IF($A19="","",COUNTIF($C19:$L19,"CAN SELL"))</f>
        <v>10</v>
      </c>
      <c r="N19" s="13" cm="1">
        <f t="array" ref="N19">IF($A19="","",SUMPRODUCT(($C19:$L19="CAN SELL")*$C$3:$L$3))</f>
        <v>2306</v>
      </c>
      <c r="O19" s="14" t="str">
        <f>IF($A19="","",IF(COUNTIF($A$5:$A$299,$A19)&gt;1,"DUPLICATE - two different territories assigned",IF($B19="** NO TERRITORY SET **","No territory on Brand Family Territory (Enc)","")))</f>
        <v/>
      </c>
      <c r="P19" s="18" t="str">
        <f>IF($A19="","",IFERROR(INDEX([1]Products!$H$4:$H$4801,MATCH($A19,[1]Products!$G$4:$G$4801,0)),"(no products)"))</f>
        <v>Global Beer</v>
      </c>
      <c r="Q19" s="19">
        <f>IF($A19="","",COUNTIFS([1]Products!$G$4:$G$4801,$A19,[1]Products!$L$4:$L$4801,"Yes"))</f>
        <v>1</v>
      </c>
      <c r="R19" s="19">
        <f>IF($A19="","",COUNTIFS([1]Products!$G$4:$G$4801,$A19,[1]Products!$L$4:$L$4801,"Yes",[1]Products!$K$4:$K$4801,"Draft"))</f>
        <v>1</v>
      </c>
      <c r="S19" s="19">
        <f>IF($A19="","",COUNTIFS([1]Products!$G$4:$G$4801,$A19,[1]Products!$L$4:$L$4801,"Yes",[1]Products!$K$4:$K$4801,"Package"))</f>
        <v>0</v>
      </c>
      <c r="T19" s="20" t="str" cm="1">
        <f t="array" ref="T19">IF($A19="","",_xlfn.IFS($Q19=0,"NO ACTIVE SKUs",AND($R19&gt;0,$S19&gt;0),"Draft &amp; Package",$R19&gt;0,"Draft only",TRUE,"Package only"))</f>
        <v>Draft only</v>
      </c>
    </row>
    <row r="20" spans="1:20" x14ac:dyDescent="0.2">
      <c r="A20" s="9" t="str">
        <v>Bardstown Bourbon</v>
      </c>
      <c r="B20" s="10" t="str">
        <f>IF($A20="","",_xlfn.XLOOKUP($A20,'[1]Brand Family Territory (Enc)'!$A:$A,'[1]Brand Family Territory (Enc)'!$B:$B,"** NO TERRITORY SET **"))</f>
        <v>Core Market</v>
      </c>
      <c r="C20" s="11" t="str">
        <f>IF($A20="","",_xlfn.LET(_xlpm.t,MATCH($B20,'[1]Territory Definitions'!$B$5:$B$14,0),IF(ISNA(_xlpm.t),"NO TERRITORY",IF(INDEX('[1]Territory Definitions'!$D$5:$M$14,_xlpm.t,MATCH(C$4,'[1]Territory Definitions'!$D$4:$M$4,0))&lt;&gt;1,"NOT IN TERRITORY",IF(COUNTIFS('[1]Blackout Brand Fam Areas (Enc)'!$B$6:$B$998,$A20,'[1]Blackout Brand Fam Areas (Enc)'!$C$6:$C$998,C$4,'[1]Blackout Brand Fam Areas (Enc)'!$D$6:$D$998,"Inactive")&gt;0,"BLOCKED","CAN SELL")))))</f>
        <v>CAN SELL</v>
      </c>
      <c r="D20" s="11" t="str">
        <f>IF($A20="","",_xlfn.LET(_xlpm.t,MATCH($B20,'[1]Territory Definitions'!$B$5:$B$14,0),IF(ISNA(_xlpm.t),"NO TERRITORY",IF(INDEX('[1]Territory Definitions'!$D$5:$M$14,_xlpm.t,MATCH(D$4,'[1]Territory Definitions'!$D$4:$M$4,0))&lt;&gt;1,"NOT IN TERRITORY",IF(COUNTIFS('[1]Blackout Brand Fam Areas (Enc)'!$B$6:$B$998,$A20,'[1]Blackout Brand Fam Areas (Enc)'!$C$6:$C$998,D$4,'[1]Blackout Brand Fam Areas (Enc)'!$D$6:$D$998,"Inactive")&gt;0,"BLOCKED","CAN SELL")))))</f>
        <v>CAN SELL</v>
      </c>
      <c r="E20" s="11" t="str">
        <f>IF($A20="","",_xlfn.LET(_xlpm.t,MATCH($B20,'[1]Territory Definitions'!$B$5:$B$14,0),IF(ISNA(_xlpm.t),"NO TERRITORY",IF(INDEX('[1]Territory Definitions'!$D$5:$M$14,_xlpm.t,MATCH(E$4,'[1]Territory Definitions'!$D$4:$M$4,0))&lt;&gt;1,"NOT IN TERRITORY",IF(COUNTIFS('[1]Blackout Brand Fam Areas (Enc)'!$B$6:$B$998,$A20,'[1]Blackout Brand Fam Areas (Enc)'!$C$6:$C$998,E$4,'[1]Blackout Brand Fam Areas (Enc)'!$D$6:$D$998,"Inactive")&gt;0,"BLOCKED","CAN SELL")))))</f>
        <v>CAN SELL</v>
      </c>
      <c r="F20" s="11" t="str">
        <f>IF($A20="","",_xlfn.LET(_xlpm.t,MATCH($B20,'[1]Territory Definitions'!$B$5:$B$14,0),IF(ISNA(_xlpm.t),"NO TERRITORY",IF(INDEX('[1]Territory Definitions'!$D$5:$M$14,_xlpm.t,MATCH(F$4,'[1]Territory Definitions'!$D$4:$M$4,0))&lt;&gt;1,"NOT IN TERRITORY",IF(COUNTIFS('[1]Blackout Brand Fam Areas (Enc)'!$B$6:$B$998,$A20,'[1]Blackout Brand Fam Areas (Enc)'!$C$6:$C$998,F$4,'[1]Blackout Brand Fam Areas (Enc)'!$D$6:$D$998,"Inactive")&gt;0,"BLOCKED","CAN SELL")))))</f>
        <v>NOT IN TERRITORY</v>
      </c>
      <c r="G20" s="11" t="str">
        <f>IF($A20="","",_xlfn.LET(_xlpm.t,MATCH($B20,'[1]Territory Definitions'!$B$5:$B$14,0),IF(ISNA(_xlpm.t),"NO TERRITORY",IF(INDEX('[1]Territory Definitions'!$D$5:$M$14,_xlpm.t,MATCH(G$4,'[1]Territory Definitions'!$D$4:$M$4,0))&lt;&gt;1,"NOT IN TERRITORY",IF(COUNTIFS('[1]Blackout Brand Fam Areas (Enc)'!$B$6:$B$998,$A20,'[1]Blackout Brand Fam Areas (Enc)'!$C$6:$C$998,G$4,'[1]Blackout Brand Fam Areas (Enc)'!$D$6:$D$998,"Inactive")&gt;0,"BLOCKED","CAN SELL")))))</f>
        <v>NOT IN TERRITORY</v>
      </c>
      <c r="H20" s="11" t="str">
        <f>IF($A20="","",_xlfn.LET(_xlpm.t,MATCH($B20,'[1]Territory Definitions'!$B$5:$B$14,0),IF(ISNA(_xlpm.t),"NO TERRITORY",IF(INDEX('[1]Territory Definitions'!$D$5:$M$14,_xlpm.t,MATCH(H$4,'[1]Territory Definitions'!$D$4:$M$4,0))&lt;&gt;1,"NOT IN TERRITORY",IF(COUNTIFS('[1]Blackout Brand Fam Areas (Enc)'!$B$6:$B$998,$A20,'[1]Blackout Brand Fam Areas (Enc)'!$C$6:$C$998,H$4,'[1]Blackout Brand Fam Areas (Enc)'!$D$6:$D$998,"Inactive")&gt;0,"BLOCKED","CAN SELL")))))</f>
        <v>NOT IN TERRITORY</v>
      </c>
      <c r="I20" s="11" t="str">
        <f>IF($A20="","",_xlfn.LET(_xlpm.t,MATCH($B20,'[1]Territory Definitions'!$B$5:$B$14,0),IF(ISNA(_xlpm.t),"NO TERRITORY",IF(INDEX('[1]Territory Definitions'!$D$5:$M$14,_xlpm.t,MATCH(I$4,'[1]Territory Definitions'!$D$4:$M$4,0))&lt;&gt;1,"NOT IN TERRITORY",IF(COUNTIFS('[1]Blackout Brand Fam Areas (Enc)'!$B$6:$B$998,$A20,'[1]Blackout Brand Fam Areas (Enc)'!$C$6:$C$998,I$4,'[1]Blackout Brand Fam Areas (Enc)'!$D$6:$D$998,"Inactive")&gt;0,"BLOCKED","CAN SELL")))))</f>
        <v>CAN SELL</v>
      </c>
      <c r="J20" s="11" t="str">
        <f>IF($A20="","",_xlfn.LET(_xlpm.t,MATCH($B20,'[1]Territory Definitions'!$B$5:$B$14,0),IF(ISNA(_xlpm.t),"NO TERRITORY",IF(INDEX('[1]Territory Definitions'!$D$5:$M$14,_xlpm.t,MATCH(J$4,'[1]Territory Definitions'!$D$4:$M$4,0))&lt;&gt;1,"NOT IN TERRITORY",IF(COUNTIFS('[1]Blackout Brand Fam Areas (Enc)'!$B$6:$B$998,$A20,'[1]Blackout Brand Fam Areas (Enc)'!$C$6:$C$998,J$4,'[1]Blackout Brand Fam Areas (Enc)'!$D$6:$D$998,"Inactive")&gt;0,"BLOCKED","CAN SELL")))))</f>
        <v>CAN SELL</v>
      </c>
      <c r="K20" s="11" t="str">
        <f>IF($A20="","",_xlfn.LET(_xlpm.t,MATCH($B20,'[1]Territory Definitions'!$B$5:$B$14,0),IF(ISNA(_xlpm.t),"NO TERRITORY",IF(INDEX('[1]Territory Definitions'!$D$5:$M$14,_xlpm.t,MATCH(K$4,'[1]Territory Definitions'!$D$4:$M$4,0))&lt;&gt;1,"NOT IN TERRITORY",IF(COUNTIFS('[1]Blackout Brand Fam Areas (Enc)'!$B$6:$B$998,$A20,'[1]Blackout Brand Fam Areas (Enc)'!$C$6:$C$998,K$4,'[1]Blackout Brand Fam Areas (Enc)'!$D$6:$D$998,"Inactive")&gt;0,"BLOCKED","CAN SELL")))))</f>
        <v>NOT IN TERRITORY</v>
      </c>
      <c r="L20" s="11" t="str">
        <f>IF($A20="","",_xlfn.LET(_xlpm.t,MATCH($B20,'[1]Territory Definitions'!$B$5:$B$14,0),IF(ISNA(_xlpm.t),"NO TERRITORY",IF(INDEX('[1]Territory Definitions'!$D$5:$M$14,_xlpm.t,MATCH(L$4,'[1]Territory Definitions'!$D$4:$M$4,0))&lt;&gt;1,"NOT IN TERRITORY",IF(COUNTIFS('[1]Blackout Brand Fam Areas (Enc)'!$B$6:$B$998,$A20,'[1]Blackout Brand Fam Areas (Enc)'!$C$6:$C$998,L$4,'[1]Blackout Brand Fam Areas (Enc)'!$D$6:$D$998,"Inactive")&gt;0,"BLOCKED","CAN SELL")))))</f>
        <v>CAN SELL</v>
      </c>
      <c r="M20" s="12">
        <f>IF($A20="","",COUNTIF($C20:$L20,"CAN SELL"))</f>
        <v>6</v>
      </c>
      <c r="N20" s="13" cm="1">
        <f t="array" ref="N20">IF($A20="","",SUMPRODUCT(($C20:$L20="CAN SELL")*$C$3:$L$3))</f>
        <v>1596</v>
      </c>
      <c r="O20" s="14" t="str">
        <f>IF($A20="","",IF(COUNTIF($A$5:$A$299,$A20)&gt;1,"DUPLICATE - two different territories assigned",IF($B20="** NO TERRITORY SET **","No territory on Brand Family Territory (Enc)","")))</f>
        <v/>
      </c>
      <c r="P20" s="18" t="str">
        <f>IF($A20="","",IFERROR(INDEX([1]Products!$H$4:$H$4801,MATCH($A20,[1]Products!$G$4:$G$4801,0)),"(no products)"))</f>
        <v>Bardstown Bourbon Co</v>
      </c>
      <c r="Q20" s="19">
        <f>IF($A20="","",COUNTIFS([1]Products!$G$4:$G$4801,$A20,[1]Products!$L$4:$L$4801,"Yes"))</f>
        <v>11</v>
      </c>
      <c r="R20" s="19">
        <f>IF($A20="","",COUNTIFS([1]Products!$G$4:$G$4801,$A20,[1]Products!$L$4:$L$4801,"Yes",[1]Products!$K$4:$K$4801,"Draft"))</f>
        <v>0</v>
      </c>
      <c r="S20" s="19">
        <f>IF($A20="","",COUNTIFS([1]Products!$G$4:$G$4801,$A20,[1]Products!$L$4:$L$4801,"Yes",[1]Products!$K$4:$K$4801,"Package"))</f>
        <v>0</v>
      </c>
      <c r="T20" s="20" t="str" cm="1">
        <f t="array" ref="T20">IF($A20="","",_xlfn.IFS($Q20=0,"NO ACTIVE SKUs",AND($R20&gt;0,$S20&gt;0),"Draft &amp; Package",$R20&gt;0,"Draft only",TRUE,"Package only"))</f>
        <v>Package only</v>
      </c>
    </row>
    <row r="21" spans="1:20" x14ac:dyDescent="0.2">
      <c r="A21" s="9" t="str">
        <v>Bardstown Green River</v>
      </c>
      <c r="B21" s="10" t="str">
        <f>IF($A21="","",_xlfn.XLOOKUP($A21,'[1]Brand Family Territory (Enc)'!$A:$A,'[1]Brand Family Territory (Enc)'!$B:$B,"** NO TERRITORY SET **"))</f>
        <v>Core Market</v>
      </c>
      <c r="C21" s="11" t="str">
        <f>IF($A21="","",_xlfn.LET(_xlpm.t,MATCH($B21,'[1]Territory Definitions'!$B$5:$B$14,0),IF(ISNA(_xlpm.t),"NO TERRITORY",IF(INDEX('[1]Territory Definitions'!$D$5:$M$14,_xlpm.t,MATCH(C$4,'[1]Territory Definitions'!$D$4:$M$4,0))&lt;&gt;1,"NOT IN TERRITORY",IF(COUNTIFS('[1]Blackout Brand Fam Areas (Enc)'!$B$6:$B$998,$A21,'[1]Blackout Brand Fam Areas (Enc)'!$C$6:$C$998,C$4,'[1]Blackout Brand Fam Areas (Enc)'!$D$6:$D$998,"Inactive")&gt;0,"BLOCKED","CAN SELL")))))</f>
        <v>CAN SELL</v>
      </c>
      <c r="D21" s="11" t="str">
        <f>IF($A21="","",_xlfn.LET(_xlpm.t,MATCH($B21,'[1]Territory Definitions'!$B$5:$B$14,0),IF(ISNA(_xlpm.t),"NO TERRITORY",IF(INDEX('[1]Territory Definitions'!$D$5:$M$14,_xlpm.t,MATCH(D$4,'[1]Territory Definitions'!$D$4:$M$4,0))&lt;&gt;1,"NOT IN TERRITORY",IF(COUNTIFS('[1]Blackout Brand Fam Areas (Enc)'!$B$6:$B$998,$A21,'[1]Blackout Brand Fam Areas (Enc)'!$C$6:$C$998,D$4,'[1]Blackout Brand Fam Areas (Enc)'!$D$6:$D$998,"Inactive")&gt;0,"BLOCKED","CAN SELL")))))</f>
        <v>CAN SELL</v>
      </c>
      <c r="E21" s="11" t="str">
        <f>IF($A21="","",_xlfn.LET(_xlpm.t,MATCH($B21,'[1]Territory Definitions'!$B$5:$B$14,0),IF(ISNA(_xlpm.t),"NO TERRITORY",IF(INDEX('[1]Territory Definitions'!$D$5:$M$14,_xlpm.t,MATCH(E$4,'[1]Territory Definitions'!$D$4:$M$4,0))&lt;&gt;1,"NOT IN TERRITORY",IF(COUNTIFS('[1]Blackout Brand Fam Areas (Enc)'!$B$6:$B$998,$A21,'[1]Blackout Brand Fam Areas (Enc)'!$C$6:$C$998,E$4,'[1]Blackout Brand Fam Areas (Enc)'!$D$6:$D$998,"Inactive")&gt;0,"BLOCKED","CAN SELL")))))</f>
        <v>CAN SELL</v>
      </c>
      <c r="F21" s="11" t="str">
        <f>IF($A21="","",_xlfn.LET(_xlpm.t,MATCH($B21,'[1]Territory Definitions'!$B$5:$B$14,0),IF(ISNA(_xlpm.t),"NO TERRITORY",IF(INDEX('[1]Territory Definitions'!$D$5:$M$14,_xlpm.t,MATCH(F$4,'[1]Territory Definitions'!$D$4:$M$4,0))&lt;&gt;1,"NOT IN TERRITORY",IF(COUNTIFS('[1]Blackout Brand Fam Areas (Enc)'!$B$6:$B$998,$A21,'[1]Blackout Brand Fam Areas (Enc)'!$C$6:$C$998,F$4,'[1]Blackout Brand Fam Areas (Enc)'!$D$6:$D$998,"Inactive")&gt;0,"BLOCKED","CAN SELL")))))</f>
        <v>NOT IN TERRITORY</v>
      </c>
      <c r="G21" s="11" t="str">
        <f>IF($A21="","",_xlfn.LET(_xlpm.t,MATCH($B21,'[1]Territory Definitions'!$B$5:$B$14,0),IF(ISNA(_xlpm.t),"NO TERRITORY",IF(INDEX('[1]Territory Definitions'!$D$5:$M$14,_xlpm.t,MATCH(G$4,'[1]Territory Definitions'!$D$4:$M$4,0))&lt;&gt;1,"NOT IN TERRITORY",IF(COUNTIFS('[1]Blackout Brand Fam Areas (Enc)'!$B$6:$B$998,$A21,'[1]Blackout Brand Fam Areas (Enc)'!$C$6:$C$998,G$4,'[1]Blackout Brand Fam Areas (Enc)'!$D$6:$D$998,"Inactive")&gt;0,"BLOCKED","CAN SELL")))))</f>
        <v>NOT IN TERRITORY</v>
      </c>
      <c r="H21" s="11" t="str">
        <f>IF($A21="","",_xlfn.LET(_xlpm.t,MATCH($B21,'[1]Territory Definitions'!$B$5:$B$14,0),IF(ISNA(_xlpm.t),"NO TERRITORY",IF(INDEX('[1]Territory Definitions'!$D$5:$M$14,_xlpm.t,MATCH(H$4,'[1]Territory Definitions'!$D$4:$M$4,0))&lt;&gt;1,"NOT IN TERRITORY",IF(COUNTIFS('[1]Blackout Brand Fam Areas (Enc)'!$B$6:$B$998,$A21,'[1]Blackout Brand Fam Areas (Enc)'!$C$6:$C$998,H$4,'[1]Blackout Brand Fam Areas (Enc)'!$D$6:$D$998,"Inactive")&gt;0,"BLOCKED","CAN SELL")))))</f>
        <v>NOT IN TERRITORY</v>
      </c>
      <c r="I21" s="11" t="str">
        <f>IF($A21="","",_xlfn.LET(_xlpm.t,MATCH($B21,'[1]Territory Definitions'!$B$5:$B$14,0),IF(ISNA(_xlpm.t),"NO TERRITORY",IF(INDEX('[1]Territory Definitions'!$D$5:$M$14,_xlpm.t,MATCH(I$4,'[1]Territory Definitions'!$D$4:$M$4,0))&lt;&gt;1,"NOT IN TERRITORY",IF(COUNTIFS('[1]Blackout Brand Fam Areas (Enc)'!$B$6:$B$998,$A21,'[1]Blackout Brand Fam Areas (Enc)'!$C$6:$C$998,I$4,'[1]Blackout Brand Fam Areas (Enc)'!$D$6:$D$998,"Inactive")&gt;0,"BLOCKED","CAN SELL")))))</f>
        <v>CAN SELL</v>
      </c>
      <c r="J21" s="11" t="str">
        <f>IF($A21="","",_xlfn.LET(_xlpm.t,MATCH($B21,'[1]Territory Definitions'!$B$5:$B$14,0),IF(ISNA(_xlpm.t),"NO TERRITORY",IF(INDEX('[1]Territory Definitions'!$D$5:$M$14,_xlpm.t,MATCH(J$4,'[1]Territory Definitions'!$D$4:$M$4,0))&lt;&gt;1,"NOT IN TERRITORY",IF(COUNTIFS('[1]Blackout Brand Fam Areas (Enc)'!$B$6:$B$998,$A21,'[1]Blackout Brand Fam Areas (Enc)'!$C$6:$C$998,J$4,'[1]Blackout Brand Fam Areas (Enc)'!$D$6:$D$998,"Inactive")&gt;0,"BLOCKED","CAN SELL")))))</f>
        <v>CAN SELL</v>
      </c>
      <c r="K21" s="11" t="str">
        <f>IF($A21="","",_xlfn.LET(_xlpm.t,MATCH($B21,'[1]Territory Definitions'!$B$5:$B$14,0),IF(ISNA(_xlpm.t),"NO TERRITORY",IF(INDEX('[1]Territory Definitions'!$D$5:$M$14,_xlpm.t,MATCH(K$4,'[1]Territory Definitions'!$D$4:$M$4,0))&lt;&gt;1,"NOT IN TERRITORY",IF(COUNTIFS('[1]Blackout Brand Fam Areas (Enc)'!$B$6:$B$998,$A21,'[1]Blackout Brand Fam Areas (Enc)'!$C$6:$C$998,K$4,'[1]Blackout Brand Fam Areas (Enc)'!$D$6:$D$998,"Inactive")&gt;0,"BLOCKED","CAN SELL")))))</f>
        <v>NOT IN TERRITORY</v>
      </c>
      <c r="L21" s="11" t="str">
        <f>IF($A21="","",_xlfn.LET(_xlpm.t,MATCH($B21,'[1]Territory Definitions'!$B$5:$B$14,0),IF(ISNA(_xlpm.t),"NO TERRITORY",IF(INDEX('[1]Territory Definitions'!$D$5:$M$14,_xlpm.t,MATCH(L$4,'[1]Territory Definitions'!$D$4:$M$4,0))&lt;&gt;1,"NOT IN TERRITORY",IF(COUNTIFS('[1]Blackout Brand Fam Areas (Enc)'!$B$6:$B$998,$A21,'[1]Blackout Brand Fam Areas (Enc)'!$C$6:$C$998,L$4,'[1]Blackout Brand Fam Areas (Enc)'!$D$6:$D$998,"Inactive")&gt;0,"BLOCKED","CAN SELL")))))</f>
        <v>CAN SELL</v>
      </c>
      <c r="M21" s="12">
        <f>IF($A21="","",COUNTIF($C21:$L21,"CAN SELL"))</f>
        <v>6</v>
      </c>
      <c r="N21" s="13" cm="1">
        <f t="array" ref="N21">IF($A21="","",SUMPRODUCT(($C21:$L21="CAN SELL")*$C$3:$L$3))</f>
        <v>1596</v>
      </c>
      <c r="O21" s="14" t="str">
        <f>IF($A21="","",IF(COUNTIF($A$5:$A$299,$A21)&gt;1,"DUPLICATE - two different territories assigned",IF($B21="** NO TERRITORY SET **","No territory on Brand Family Territory (Enc)","")))</f>
        <v/>
      </c>
      <c r="P21" s="18" t="str">
        <f>IF($A21="","",IFERROR(INDEX([1]Products!$H$4:$H$4801,MATCH($A21,[1]Products!$G$4:$G$4801,0)),"(no products)"))</f>
        <v>Bardstown Bourbon Co</v>
      </c>
      <c r="Q21" s="19">
        <f>IF($A21="","",COUNTIFS([1]Products!$G$4:$G$4801,$A21,[1]Products!$L$4:$L$4801,"Yes"))</f>
        <v>11</v>
      </c>
      <c r="R21" s="19">
        <f>IF($A21="","",COUNTIFS([1]Products!$G$4:$G$4801,$A21,[1]Products!$L$4:$L$4801,"Yes",[1]Products!$K$4:$K$4801,"Draft"))</f>
        <v>0</v>
      </c>
      <c r="S21" s="19">
        <f>IF($A21="","",COUNTIFS([1]Products!$G$4:$G$4801,$A21,[1]Products!$L$4:$L$4801,"Yes",[1]Products!$K$4:$K$4801,"Package"))</f>
        <v>0</v>
      </c>
      <c r="T21" s="20" t="str" cm="1">
        <f t="array" ref="T21">IF($A21="","",_xlfn.IFS($Q21=0,"NO ACTIVE SKUs",AND($R21&gt;0,$S21&gt;0),"Draft &amp; Package",$R21&gt;0,"Draft only",TRUE,"Package only"))</f>
        <v>Package only</v>
      </c>
    </row>
    <row r="22" spans="1:20" x14ac:dyDescent="0.2">
      <c r="A22" s="9" t="str">
        <v>Barn Brew</v>
      </c>
      <c r="B22" s="10" t="str">
        <f>IF($A22="","",_xlfn.XLOOKUP($A22,'[1]Brand Family Territory (Enc)'!$A:$A,'[1]Brand Family Territory (Enc)'!$B:$B,"** NO TERRITORY SET **"))</f>
        <v>All Counties</v>
      </c>
      <c r="C22" s="11" t="str">
        <f>IF($A22="","",_xlfn.LET(_xlpm.t,MATCH($B22,'[1]Territory Definitions'!$B$5:$B$14,0),IF(ISNA(_xlpm.t),"NO TERRITORY",IF(INDEX('[1]Territory Definitions'!$D$5:$M$14,_xlpm.t,MATCH(C$4,'[1]Territory Definitions'!$D$4:$M$4,0))&lt;&gt;1,"NOT IN TERRITORY",IF(COUNTIFS('[1]Blackout Brand Fam Areas (Enc)'!$B$6:$B$998,$A22,'[1]Blackout Brand Fam Areas (Enc)'!$C$6:$C$998,C$4,'[1]Blackout Brand Fam Areas (Enc)'!$D$6:$D$998,"Inactive")&gt;0,"BLOCKED","CAN SELL")))))</f>
        <v>CAN SELL</v>
      </c>
      <c r="D22" s="11" t="str">
        <f>IF($A22="","",_xlfn.LET(_xlpm.t,MATCH($B22,'[1]Territory Definitions'!$B$5:$B$14,0),IF(ISNA(_xlpm.t),"NO TERRITORY",IF(INDEX('[1]Territory Definitions'!$D$5:$M$14,_xlpm.t,MATCH(D$4,'[1]Territory Definitions'!$D$4:$M$4,0))&lt;&gt;1,"NOT IN TERRITORY",IF(COUNTIFS('[1]Blackout Brand Fam Areas (Enc)'!$B$6:$B$998,$A22,'[1]Blackout Brand Fam Areas (Enc)'!$C$6:$C$998,D$4,'[1]Blackout Brand Fam Areas (Enc)'!$D$6:$D$998,"Inactive")&gt;0,"BLOCKED","CAN SELL")))))</f>
        <v>CAN SELL</v>
      </c>
      <c r="E22" s="11" t="str">
        <f>IF($A22="","",_xlfn.LET(_xlpm.t,MATCH($B22,'[1]Territory Definitions'!$B$5:$B$14,0),IF(ISNA(_xlpm.t),"NO TERRITORY",IF(INDEX('[1]Territory Definitions'!$D$5:$M$14,_xlpm.t,MATCH(E$4,'[1]Territory Definitions'!$D$4:$M$4,0))&lt;&gt;1,"NOT IN TERRITORY",IF(COUNTIFS('[1]Blackout Brand Fam Areas (Enc)'!$B$6:$B$998,$A22,'[1]Blackout Brand Fam Areas (Enc)'!$C$6:$C$998,E$4,'[1]Blackout Brand Fam Areas (Enc)'!$D$6:$D$998,"Inactive")&gt;0,"BLOCKED","CAN SELL")))))</f>
        <v>CAN SELL</v>
      </c>
      <c r="F22" s="11" t="str">
        <f>IF($A22="","",_xlfn.LET(_xlpm.t,MATCH($B22,'[1]Territory Definitions'!$B$5:$B$14,0),IF(ISNA(_xlpm.t),"NO TERRITORY",IF(INDEX('[1]Territory Definitions'!$D$5:$M$14,_xlpm.t,MATCH(F$4,'[1]Territory Definitions'!$D$4:$M$4,0))&lt;&gt;1,"NOT IN TERRITORY",IF(COUNTIFS('[1]Blackout Brand Fam Areas (Enc)'!$B$6:$B$998,$A22,'[1]Blackout Brand Fam Areas (Enc)'!$C$6:$C$998,F$4,'[1]Blackout Brand Fam Areas (Enc)'!$D$6:$D$998,"Inactive")&gt;0,"BLOCKED","CAN SELL")))))</f>
        <v>CAN SELL</v>
      </c>
      <c r="G22" s="11" t="str">
        <f>IF($A22="","",_xlfn.LET(_xlpm.t,MATCH($B22,'[1]Territory Definitions'!$B$5:$B$14,0),IF(ISNA(_xlpm.t),"NO TERRITORY",IF(INDEX('[1]Territory Definitions'!$D$5:$M$14,_xlpm.t,MATCH(G$4,'[1]Territory Definitions'!$D$4:$M$4,0))&lt;&gt;1,"NOT IN TERRITORY",IF(COUNTIFS('[1]Blackout Brand Fam Areas (Enc)'!$B$6:$B$998,$A22,'[1]Blackout Brand Fam Areas (Enc)'!$C$6:$C$998,G$4,'[1]Blackout Brand Fam Areas (Enc)'!$D$6:$D$998,"Inactive")&gt;0,"BLOCKED","CAN SELL")))))</f>
        <v>CAN SELL</v>
      </c>
      <c r="H22" s="11" t="str">
        <f>IF($A22="","",_xlfn.LET(_xlpm.t,MATCH($B22,'[1]Territory Definitions'!$B$5:$B$14,0),IF(ISNA(_xlpm.t),"NO TERRITORY",IF(INDEX('[1]Territory Definitions'!$D$5:$M$14,_xlpm.t,MATCH(H$4,'[1]Territory Definitions'!$D$4:$M$4,0))&lt;&gt;1,"NOT IN TERRITORY",IF(COUNTIFS('[1]Blackout Brand Fam Areas (Enc)'!$B$6:$B$998,$A22,'[1]Blackout Brand Fam Areas (Enc)'!$C$6:$C$998,H$4,'[1]Blackout Brand Fam Areas (Enc)'!$D$6:$D$998,"Inactive")&gt;0,"BLOCKED","CAN SELL")))))</f>
        <v>CAN SELL</v>
      </c>
      <c r="I22" s="11" t="str">
        <f>IF($A22="","",_xlfn.LET(_xlpm.t,MATCH($B22,'[1]Territory Definitions'!$B$5:$B$14,0),IF(ISNA(_xlpm.t),"NO TERRITORY",IF(INDEX('[1]Territory Definitions'!$D$5:$M$14,_xlpm.t,MATCH(I$4,'[1]Territory Definitions'!$D$4:$M$4,0))&lt;&gt;1,"NOT IN TERRITORY",IF(COUNTIFS('[1]Blackout Brand Fam Areas (Enc)'!$B$6:$B$998,$A22,'[1]Blackout Brand Fam Areas (Enc)'!$C$6:$C$998,I$4,'[1]Blackout Brand Fam Areas (Enc)'!$D$6:$D$998,"Inactive")&gt;0,"BLOCKED","CAN SELL")))))</f>
        <v>CAN SELL</v>
      </c>
      <c r="J22" s="11" t="str">
        <f>IF($A22="","",_xlfn.LET(_xlpm.t,MATCH($B22,'[1]Territory Definitions'!$B$5:$B$14,0),IF(ISNA(_xlpm.t),"NO TERRITORY",IF(INDEX('[1]Territory Definitions'!$D$5:$M$14,_xlpm.t,MATCH(J$4,'[1]Territory Definitions'!$D$4:$M$4,0))&lt;&gt;1,"NOT IN TERRITORY",IF(COUNTIFS('[1]Blackout Brand Fam Areas (Enc)'!$B$6:$B$998,$A22,'[1]Blackout Brand Fam Areas (Enc)'!$C$6:$C$998,J$4,'[1]Blackout Brand Fam Areas (Enc)'!$D$6:$D$998,"Inactive")&gt;0,"BLOCKED","CAN SELL")))))</f>
        <v>CAN SELL</v>
      </c>
      <c r="K22" s="11" t="str">
        <f>IF($A22="","",_xlfn.LET(_xlpm.t,MATCH($B22,'[1]Territory Definitions'!$B$5:$B$14,0),IF(ISNA(_xlpm.t),"NO TERRITORY",IF(INDEX('[1]Territory Definitions'!$D$5:$M$14,_xlpm.t,MATCH(K$4,'[1]Territory Definitions'!$D$4:$M$4,0))&lt;&gt;1,"NOT IN TERRITORY",IF(COUNTIFS('[1]Blackout Brand Fam Areas (Enc)'!$B$6:$B$998,$A22,'[1]Blackout Brand Fam Areas (Enc)'!$C$6:$C$998,K$4,'[1]Blackout Brand Fam Areas (Enc)'!$D$6:$D$998,"Inactive")&gt;0,"BLOCKED","CAN SELL")))))</f>
        <v>CAN SELL</v>
      </c>
      <c r="L22" s="11" t="str">
        <f>IF($A22="","",_xlfn.LET(_xlpm.t,MATCH($B22,'[1]Territory Definitions'!$B$5:$B$14,0),IF(ISNA(_xlpm.t),"NO TERRITORY",IF(INDEX('[1]Territory Definitions'!$D$5:$M$14,_xlpm.t,MATCH(L$4,'[1]Territory Definitions'!$D$4:$M$4,0))&lt;&gt;1,"NOT IN TERRITORY",IF(COUNTIFS('[1]Blackout Brand Fam Areas (Enc)'!$B$6:$B$998,$A22,'[1]Blackout Brand Fam Areas (Enc)'!$C$6:$C$998,L$4,'[1]Blackout Brand Fam Areas (Enc)'!$D$6:$D$998,"Inactive")&gt;0,"BLOCKED","CAN SELL")))))</f>
        <v>CAN SELL</v>
      </c>
      <c r="M22" s="12">
        <f>IF($A22="","",COUNTIF($C22:$L22,"CAN SELL"))</f>
        <v>10</v>
      </c>
      <c r="N22" s="13" cm="1">
        <f t="array" ref="N22">IF($A22="","",SUMPRODUCT(($C22:$L22="CAN SELL")*$C$3:$L$3))</f>
        <v>2306</v>
      </c>
      <c r="O22" s="14" t="str">
        <f>IF($A22="","",IF(COUNTIF($A$5:$A$299,$A22)&gt;1,"DUPLICATE - two different territories assigned",IF($B22="** NO TERRITORY SET **","No territory on Brand Family Territory (Enc)","")))</f>
        <v/>
      </c>
      <c r="P22" s="18" t="str">
        <f>IF($A22="","",IFERROR(INDEX([1]Products!$H$4:$H$4801,MATCH($A22,[1]Products!$G$4:$G$4801,0)),"(no products)"))</f>
        <v>Barn Brew Co</v>
      </c>
      <c r="Q22" s="19">
        <f>IF($A22="","",COUNTIFS([1]Products!$G$4:$G$4801,$A22,[1]Products!$L$4:$L$4801,"Yes"))</f>
        <v>12</v>
      </c>
      <c r="R22" s="19">
        <f>IF($A22="","",COUNTIFS([1]Products!$G$4:$G$4801,$A22,[1]Products!$L$4:$L$4801,"Yes",[1]Products!$K$4:$K$4801,"Draft"))</f>
        <v>3</v>
      </c>
      <c r="S22" s="19">
        <f>IF($A22="","",COUNTIFS([1]Products!$G$4:$G$4801,$A22,[1]Products!$L$4:$L$4801,"Yes",[1]Products!$K$4:$K$4801,"Package"))</f>
        <v>9</v>
      </c>
      <c r="T22" s="20" t="str" cm="1">
        <f t="array" ref="T22">IF($A22="","",_xlfn.IFS($Q22=0,"NO ACTIVE SKUs",AND($R22&gt;0,$S22&gt;0),"Draft &amp; Package",$R22&gt;0,"Draft only",TRUE,"Package only"))</f>
        <v>Draft &amp; Package</v>
      </c>
    </row>
    <row r="23" spans="1:20" x14ac:dyDescent="0.2">
      <c r="A23" s="9" t="str">
        <v>Bavik</v>
      </c>
      <c r="B23" s="10" t="str">
        <f>IF($A23="","",_xlfn.XLOOKUP($A23,'[1]Brand Family Territory (Enc)'!$A:$A,'[1]Brand Family Territory (Enc)'!$B:$B,"** NO TERRITORY SET **"))</f>
        <v>All Counties</v>
      </c>
      <c r="C23" s="11" t="str">
        <f>IF($A23="","",_xlfn.LET(_xlpm.t,MATCH($B23,'[1]Territory Definitions'!$B$5:$B$14,0),IF(ISNA(_xlpm.t),"NO TERRITORY",IF(INDEX('[1]Territory Definitions'!$D$5:$M$14,_xlpm.t,MATCH(C$4,'[1]Territory Definitions'!$D$4:$M$4,0))&lt;&gt;1,"NOT IN TERRITORY",IF(COUNTIFS('[1]Blackout Brand Fam Areas (Enc)'!$B$6:$B$998,$A23,'[1]Blackout Brand Fam Areas (Enc)'!$C$6:$C$998,C$4,'[1]Blackout Brand Fam Areas (Enc)'!$D$6:$D$998,"Inactive")&gt;0,"BLOCKED","CAN SELL")))))</f>
        <v>CAN SELL</v>
      </c>
      <c r="D23" s="11" t="str">
        <f>IF($A23="","",_xlfn.LET(_xlpm.t,MATCH($B23,'[1]Territory Definitions'!$B$5:$B$14,0),IF(ISNA(_xlpm.t),"NO TERRITORY",IF(INDEX('[1]Territory Definitions'!$D$5:$M$14,_xlpm.t,MATCH(D$4,'[1]Territory Definitions'!$D$4:$M$4,0))&lt;&gt;1,"NOT IN TERRITORY",IF(COUNTIFS('[1]Blackout Brand Fam Areas (Enc)'!$B$6:$B$998,$A23,'[1]Blackout Brand Fam Areas (Enc)'!$C$6:$C$998,D$4,'[1]Blackout Brand Fam Areas (Enc)'!$D$6:$D$998,"Inactive")&gt;0,"BLOCKED","CAN SELL")))))</f>
        <v>CAN SELL</v>
      </c>
      <c r="E23" s="11" t="str">
        <f>IF($A23="","",_xlfn.LET(_xlpm.t,MATCH($B23,'[1]Territory Definitions'!$B$5:$B$14,0),IF(ISNA(_xlpm.t),"NO TERRITORY",IF(INDEX('[1]Territory Definitions'!$D$5:$M$14,_xlpm.t,MATCH(E$4,'[1]Territory Definitions'!$D$4:$M$4,0))&lt;&gt;1,"NOT IN TERRITORY",IF(COUNTIFS('[1]Blackout Brand Fam Areas (Enc)'!$B$6:$B$998,$A23,'[1]Blackout Brand Fam Areas (Enc)'!$C$6:$C$998,E$4,'[1]Blackout Brand Fam Areas (Enc)'!$D$6:$D$998,"Inactive")&gt;0,"BLOCKED","CAN SELL")))))</f>
        <v>CAN SELL</v>
      </c>
      <c r="F23" s="11" t="str">
        <f>IF($A23="","",_xlfn.LET(_xlpm.t,MATCH($B23,'[1]Territory Definitions'!$B$5:$B$14,0),IF(ISNA(_xlpm.t),"NO TERRITORY",IF(INDEX('[1]Territory Definitions'!$D$5:$M$14,_xlpm.t,MATCH(F$4,'[1]Territory Definitions'!$D$4:$M$4,0))&lt;&gt;1,"NOT IN TERRITORY",IF(COUNTIFS('[1]Blackout Brand Fam Areas (Enc)'!$B$6:$B$998,$A23,'[1]Blackout Brand Fam Areas (Enc)'!$C$6:$C$998,F$4,'[1]Blackout Brand Fam Areas (Enc)'!$D$6:$D$998,"Inactive")&gt;0,"BLOCKED","CAN SELL")))))</f>
        <v>CAN SELL</v>
      </c>
      <c r="G23" s="11" t="str">
        <f>IF($A23="","",_xlfn.LET(_xlpm.t,MATCH($B23,'[1]Territory Definitions'!$B$5:$B$14,0),IF(ISNA(_xlpm.t),"NO TERRITORY",IF(INDEX('[1]Territory Definitions'!$D$5:$M$14,_xlpm.t,MATCH(G$4,'[1]Territory Definitions'!$D$4:$M$4,0))&lt;&gt;1,"NOT IN TERRITORY",IF(COUNTIFS('[1]Blackout Brand Fam Areas (Enc)'!$B$6:$B$998,$A23,'[1]Blackout Brand Fam Areas (Enc)'!$C$6:$C$998,G$4,'[1]Blackout Brand Fam Areas (Enc)'!$D$6:$D$998,"Inactive")&gt;0,"BLOCKED","CAN SELL")))))</f>
        <v>CAN SELL</v>
      </c>
      <c r="H23" s="11" t="str">
        <f>IF($A23="","",_xlfn.LET(_xlpm.t,MATCH($B23,'[1]Territory Definitions'!$B$5:$B$14,0),IF(ISNA(_xlpm.t),"NO TERRITORY",IF(INDEX('[1]Territory Definitions'!$D$5:$M$14,_xlpm.t,MATCH(H$4,'[1]Territory Definitions'!$D$4:$M$4,0))&lt;&gt;1,"NOT IN TERRITORY",IF(COUNTIFS('[1]Blackout Brand Fam Areas (Enc)'!$B$6:$B$998,$A23,'[1]Blackout Brand Fam Areas (Enc)'!$C$6:$C$998,H$4,'[1]Blackout Brand Fam Areas (Enc)'!$D$6:$D$998,"Inactive")&gt;0,"BLOCKED","CAN SELL")))))</f>
        <v>CAN SELL</v>
      </c>
      <c r="I23" s="11" t="str">
        <f>IF($A23="","",_xlfn.LET(_xlpm.t,MATCH($B23,'[1]Territory Definitions'!$B$5:$B$14,0),IF(ISNA(_xlpm.t),"NO TERRITORY",IF(INDEX('[1]Territory Definitions'!$D$5:$M$14,_xlpm.t,MATCH(I$4,'[1]Territory Definitions'!$D$4:$M$4,0))&lt;&gt;1,"NOT IN TERRITORY",IF(COUNTIFS('[1]Blackout Brand Fam Areas (Enc)'!$B$6:$B$998,$A23,'[1]Blackout Brand Fam Areas (Enc)'!$C$6:$C$998,I$4,'[1]Blackout Brand Fam Areas (Enc)'!$D$6:$D$998,"Inactive")&gt;0,"BLOCKED","CAN SELL")))))</f>
        <v>CAN SELL</v>
      </c>
      <c r="J23" s="11" t="str">
        <f>IF($A23="","",_xlfn.LET(_xlpm.t,MATCH($B23,'[1]Territory Definitions'!$B$5:$B$14,0),IF(ISNA(_xlpm.t),"NO TERRITORY",IF(INDEX('[1]Territory Definitions'!$D$5:$M$14,_xlpm.t,MATCH(J$4,'[1]Territory Definitions'!$D$4:$M$4,0))&lt;&gt;1,"NOT IN TERRITORY",IF(COUNTIFS('[1]Blackout Brand Fam Areas (Enc)'!$B$6:$B$998,$A23,'[1]Blackout Brand Fam Areas (Enc)'!$C$6:$C$998,J$4,'[1]Blackout Brand Fam Areas (Enc)'!$D$6:$D$998,"Inactive")&gt;0,"BLOCKED","CAN SELL")))))</f>
        <v>CAN SELL</v>
      </c>
      <c r="K23" s="11" t="str">
        <f>IF($A23="","",_xlfn.LET(_xlpm.t,MATCH($B23,'[1]Territory Definitions'!$B$5:$B$14,0),IF(ISNA(_xlpm.t),"NO TERRITORY",IF(INDEX('[1]Territory Definitions'!$D$5:$M$14,_xlpm.t,MATCH(K$4,'[1]Territory Definitions'!$D$4:$M$4,0))&lt;&gt;1,"NOT IN TERRITORY",IF(COUNTIFS('[1]Blackout Brand Fam Areas (Enc)'!$B$6:$B$998,$A23,'[1]Blackout Brand Fam Areas (Enc)'!$C$6:$C$998,K$4,'[1]Blackout Brand Fam Areas (Enc)'!$D$6:$D$998,"Inactive")&gt;0,"BLOCKED","CAN SELL")))))</f>
        <v>CAN SELL</v>
      </c>
      <c r="L23" s="11" t="str">
        <f>IF($A23="","",_xlfn.LET(_xlpm.t,MATCH($B23,'[1]Territory Definitions'!$B$5:$B$14,0),IF(ISNA(_xlpm.t),"NO TERRITORY",IF(INDEX('[1]Territory Definitions'!$D$5:$M$14,_xlpm.t,MATCH(L$4,'[1]Territory Definitions'!$D$4:$M$4,0))&lt;&gt;1,"NOT IN TERRITORY",IF(COUNTIFS('[1]Blackout Brand Fam Areas (Enc)'!$B$6:$B$998,$A23,'[1]Blackout Brand Fam Areas (Enc)'!$C$6:$C$998,L$4,'[1]Blackout Brand Fam Areas (Enc)'!$D$6:$D$998,"Inactive")&gt;0,"BLOCKED","CAN SELL")))))</f>
        <v>CAN SELL</v>
      </c>
      <c r="M23" s="12">
        <f>IF($A23="","",COUNTIF($C23:$L23,"CAN SELL"))</f>
        <v>10</v>
      </c>
      <c r="N23" s="13" cm="1">
        <f t="array" ref="N23">IF($A23="","",SUMPRODUCT(($C23:$L23="CAN SELL")*$C$3:$L$3))</f>
        <v>2306</v>
      </c>
      <c r="O23" s="14" t="str">
        <f>IF($A23="","",IF(COUNTIF($A$5:$A$299,$A23)&gt;1,"DUPLICATE - two different territories assigned",IF($B23="** NO TERRITORY SET **","No territory on Brand Family Territory (Enc)","")))</f>
        <v/>
      </c>
      <c r="P23" s="18" t="str">
        <f>IF($A23="","",IFERROR(INDEX([1]Products!$H$4:$H$4801,MATCH($A23,[1]Products!$G$4:$G$4801,0)),"(no products)"))</f>
        <v>Global Beer</v>
      </c>
      <c r="Q23" s="19">
        <f>IF($A23="","",COUNTIFS([1]Products!$G$4:$G$4801,$A23,[1]Products!$L$4:$L$4801,"Yes"))</f>
        <v>1</v>
      </c>
      <c r="R23" s="19">
        <f>IF($A23="","",COUNTIFS([1]Products!$G$4:$G$4801,$A23,[1]Products!$L$4:$L$4801,"Yes",[1]Products!$K$4:$K$4801,"Draft"))</f>
        <v>1</v>
      </c>
      <c r="S23" s="19">
        <f>IF($A23="","",COUNTIFS([1]Products!$G$4:$G$4801,$A23,[1]Products!$L$4:$L$4801,"Yes",[1]Products!$K$4:$K$4801,"Package"))</f>
        <v>0</v>
      </c>
      <c r="T23" s="20" t="str" cm="1">
        <f t="array" ref="T23">IF($A23="","",_xlfn.IFS($Q23=0,"NO ACTIVE SKUs",AND($R23&gt;0,$S23&gt;0),"Draft &amp; Package",$R23&gt;0,"Draft only",TRUE,"Package only"))</f>
        <v>Draft only</v>
      </c>
    </row>
    <row r="24" spans="1:20" x14ac:dyDescent="0.2">
      <c r="A24" s="9" t="str">
        <v>Beckett's D9</v>
      </c>
      <c r="B24" s="10" t="str">
        <f>IF($A24="","",_xlfn.XLOOKUP($A24,'[1]Brand Family Territory (Enc)'!$A:$A,'[1]Brand Family Territory (Enc)'!$B:$B,"** NO TERRITORY SET **"))</f>
        <v>All Counties</v>
      </c>
      <c r="C24" s="11" t="str">
        <f>IF($A24="","",_xlfn.LET(_xlpm.t,MATCH($B24,'[1]Territory Definitions'!$B$5:$B$14,0),IF(ISNA(_xlpm.t),"NO TERRITORY",IF(INDEX('[1]Territory Definitions'!$D$5:$M$14,_xlpm.t,MATCH(C$4,'[1]Territory Definitions'!$D$4:$M$4,0))&lt;&gt;1,"NOT IN TERRITORY",IF(COUNTIFS('[1]Blackout Brand Fam Areas (Enc)'!$B$6:$B$998,$A24,'[1]Blackout Brand Fam Areas (Enc)'!$C$6:$C$998,C$4,'[1]Blackout Brand Fam Areas (Enc)'!$D$6:$D$998,"Inactive")&gt;0,"BLOCKED","CAN SELL")))))</f>
        <v>CAN SELL</v>
      </c>
      <c r="D24" s="11" t="str">
        <f>IF($A24="","",_xlfn.LET(_xlpm.t,MATCH($B24,'[1]Territory Definitions'!$B$5:$B$14,0),IF(ISNA(_xlpm.t),"NO TERRITORY",IF(INDEX('[1]Territory Definitions'!$D$5:$M$14,_xlpm.t,MATCH(D$4,'[1]Territory Definitions'!$D$4:$M$4,0))&lt;&gt;1,"NOT IN TERRITORY",IF(COUNTIFS('[1]Blackout Brand Fam Areas (Enc)'!$B$6:$B$998,$A24,'[1]Blackout Brand Fam Areas (Enc)'!$C$6:$C$998,D$4,'[1]Blackout Brand Fam Areas (Enc)'!$D$6:$D$998,"Inactive")&gt;0,"BLOCKED","CAN SELL")))))</f>
        <v>CAN SELL</v>
      </c>
      <c r="E24" s="11" t="str">
        <f>IF($A24="","",_xlfn.LET(_xlpm.t,MATCH($B24,'[1]Territory Definitions'!$B$5:$B$14,0),IF(ISNA(_xlpm.t),"NO TERRITORY",IF(INDEX('[1]Territory Definitions'!$D$5:$M$14,_xlpm.t,MATCH(E$4,'[1]Territory Definitions'!$D$4:$M$4,0))&lt;&gt;1,"NOT IN TERRITORY",IF(COUNTIFS('[1]Blackout Brand Fam Areas (Enc)'!$B$6:$B$998,$A24,'[1]Blackout Brand Fam Areas (Enc)'!$C$6:$C$998,E$4,'[1]Blackout Brand Fam Areas (Enc)'!$D$6:$D$998,"Inactive")&gt;0,"BLOCKED","CAN SELL")))))</f>
        <v>CAN SELL</v>
      </c>
      <c r="F24" s="11" t="str">
        <f>IF($A24="","",_xlfn.LET(_xlpm.t,MATCH($B24,'[1]Territory Definitions'!$B$5:$B$14,0),IF(ISNA(_xlpm.t),"NO TERRITORY",IF(INDEX('[1]Territory Definitions'!$D$5:$M$14,_xlpm.t,MATCH(F$4,'[1]Territory Definitions'!$D$4:$M$4,0))&lt;&gt;1,"NOT IN TERRITORY",IF(COUNTIFS('[1]Blackout Brand Fam Areas (Enc)'!$B$6:$B$998,$A24,'[1]Blackout Brand Fam Areas (Enc)'!$C$6:$C$998,F$4,'[1]Blackout Brand Fam Areas (Enc)'!$D$6:$D$998,"Inactive")&gt;0,"BLOCKED","CAN SELL")))))</f>
        <v>CAN SELL</v>
      </c>
      <c r="G24" s="11" t="str">
        <f>IF($A24="","",_xlfn.LET(_xlpm.t,MATCH($B24,'[1]Territory Definitions'!$B$5:$B$14,0),IF(ISNA(_xlpm.t),"NO TERRITORY",IF(INDEX('[1]Territory Definitions'!$D$5:$M$14,_xlpm.t,MATCH(G$4,'[1]Territory Definitions'!$D$4:$M$4,0))&lt;&gt;1,"NOT IN TERRITORY",IF(COUNTIFS('[1]Blackout Brand Fam Areas (Enc)'!$B$6:$B$998,$A24,'[1]Blackout Brand Fam Areas (Enc)'!$C$6:$C$998,G$4,'[1]Blackout Brand Fam Areas (Enc)'!$D$6:$D$998,"Inactive")&gt;0,"BLOCKED","CAN SELL")))))</f>
        <v>CAN SELL</v>
      </c>
      <c r="H24" s="11" t="str">
        <f>IF($A24="","",_xlfn.LET(_xlpm.t,MATCH($B24,'[1]Territory Definitions'!$B$5:$B$14,0),IF(ISNA(_xlpm.t),"NO TERRITORY",IF(INDEX('[1]Territory Definitions'!$D$5:$M$14,_xlpm.t,MATCH(H$4,'[1]Territory Definitions'!$D$4:$M$4,0))&lt;&gt;1,"NOT IN TERRITORY",IF(COUNTIFS('[1]Blackout Brand Fam Areas (Enc)'!$B$6:$B$998,$A24,'[1]Blackout Brand Fam Areas (Enc)'!$C$6:$C$998,H$4,'[1]Blackout Brand Fam Areas (Enc)'!$D$6:$D$998,"Inactive")&gt;0,"BLOCKED","CAN SELL")))))</f>
        <v>CAN SELL</v>
      </c>
      <c r="I24" s="11" t="str">
        <f>IF($A24="","",_xlfn.LET(_xlpm.t,MATCH($B24,'[1]Territory Definitions'!$B$5:$B$14,0),IF(ISNA(_xlpm.t),"NO TERRITORY",IF(INDEX('[1]Territory Definitions'!$D$5:$M$14,_xlpm.t,MATCH(I$4,'[1]Territory Definitions'!$D$4:$M$4,0))&lt;&gt;1,"NOT IN TERRITORY",IF(COUNTIFS('[1]Blackout Brand Fam Areas (Enc)'!$B$6:$B$998,$A24,'[1]Blackout Brand Fam Areas (Enc)'!$C$6:$C$998,I$4,'[1]Blackout Brand Fam Areas (Enc)'!$D$6:$D$998,"Inactive")&gt;0,"BLOCKED","CAN SELL")))))</f>
        <v>CAN SELL</v>
      </c>
      <c r="J24" s="11" t="str">
        <f>IF($A24="","",_xlfn.LET(_xlpm.t,MATCH($B24,'[1]Territory Definitions'!$B$5:$B$14,0),IF(ISNA(_xlpm.t),"NO TERRITORY",IF(INDEX('[1]Territory Definitions'!$D$5:$M$14,_xlpm.t,MATCH(J$4,'[1]Territory Definitions'!$D$4:$M$4,0))&lt;&gt;1,"NOT IN TERRITORY",IF(COUNTIFS('[1]Blackout Brand Fam Areas (Enc)'!$B$6:$B$998,$A24,'[1]Blackout Brand Fam Areas (Enc)'!$C$6:$C$998,J$4,'[1]Blackout Brand Fam Areas (Enc)'!$D$6:$D$998,"Inactive")&gt;0,"BLOCKED","CAN SELL")))))</f>
        <v>CAN SELL</v>
      </c>
      <c r="K24" s="11" t="str">
        <f>IF($A24="","",_xlfn.LET(_xlpm.t,MATCH($B24,'[1]Territory Definitions'!$B$5:$B$14,0),IF(ISNA(_xlpm.t),"NO TERRITORY",IF(INDEX('[1]Territory Definitions'!$D$5:$M$14,_xlpm.t,MATCH(K$4,'[1]Territory Definitions'!$D$4:$M$4,0))&lt;&gt;1,"NOT IN TERRITORY",IF(COUNTIFS('[1]Blackout Brand Fam Areas (Enc)'!$B$6:$B$998,$A24,'[1]Blackout Brand Fam Areas (Enc)'!$C$6:$C$998,K$4,'[1]Blackout Brand Fam Areas (Enc)'!$D$6:$D$998,"Inactive")&gt;0,"BLOCKED","CAN SELL")))))</f>
        <v>CAN SELL</v>
      </c>
      <c r="L24" s="11" t="str">
        <f>IF($A24="","",_xlfn.LET(_xlpm.t,MATCH($B24,'[1]Territory Definitions'!$B$5:$B$14,0),IF(ISNA(_xlpm.t),"NO TERRITORY",IF(INDEX('[1]Territory Definitions'!$D$5:$M$14,_xlpm.t,MATCH(L$4,'[1]Territory Definitions'!$D$4:$M$4,0))&lt;&gt;1,"NOT IN TERRITORY",IF(COUNTIFS('[1]Blackout Brand Fam Areas (Enc)'!$B$6:$B$998,$A24,'[1]Blackout Brand Fam Areas (Enc)'!$C$6:$C$998,L$4,'[1]Blackout Brand Fam Areas (Enc)'!$D$6:$D$998,"Inactive")&gt;0,"BLOCKED","CAN SELL")))))</f>
        <v>CAN SELL</v>
      </c>
      <c r="M24" s="12">
        <f>IF($A24="","",COUNTIF($C24:$L24,"CAN SELL"))</f>
        <v>10</v>
      </c>
      <c r="N24" s="13" cm="1">
        <f t="array" ref="N24">IF($A24="","",SUMPRODUCT(($C24:$L24="CAN SELL")*$C$3:$L$3))</f>
        <v>2306</v>
      </c>
      <c r="O24" s="14" t="str">
        <f>IF($A24="","",IF(COUNTIF($A$5:$A$299,$A24)&gt;1,"DUPLICATE - two different territories assigned",IF($B24="** NO TERRITORY SET **","No territory on Brand Family Territory (Enc)","")))</f>
        <v/>
      </c>
      <c r="P24" s="18" t="str">
        <f>IF($A24="","",IFERROR(INDEX([1]Products!$H$4:$H$4801,MATCH($A24,[1]Products!$G$4:$G$4801,0)),"(no products)"))</f>
        <v>Emergent Beverage Partners</v>
      </c>
      <c r="Q24" s="19">
        <f>IF($A24="","",COUNTIFS([1]Products!$G$4:$G$4801,$A24,[1]Products!$L$4:$L$4801,"Yes"))</f>
        <v>4</v>
      </c>
      <c r="R24" s="19">
        <f>IF($A24="","",COUNTIFS([1]Products!$G$4:$G$4801,$A24,[1]Products!$L$4:$L$4801,"Yes",[1]Products!$K$4:$K$4801,"Draft"))</f>
        <v>0</v>
      </c>
      <c r="S24" s="19">
        <f>IF($A24="","",COUNTIFS([1]Products!$G$4:$G$4801,$A24,[1]Products!$L$4:$L$4801,"Yes",[1]Products!$K$4:$K$4801,"Package"))</f>
        <v>4</v>
      </c>
      <c r="T24" s="20" t="str" cm="1">
        <f t="array" ref="T24">IF($A24="","",_xlfn.IFS($Q24=0,"NO ACTIVE SKUs",AND($R24&gt;0,$S24&gt;0),"Draft &amp; Package",$R24&gt;0,"Draft only",TRUE,"Package only"))</f>
        <v>Package only</v>
      </c>
    </row>
    <row r="25" spans="1:20" x14ac:dyDescent="0.2">
      <c r="A25" s="9" t="str">
        <v>Belize Breeze</v>
      </c>
      <c r="B25" s="10" t="str">
        <f>IF($A25="","",_xlfn.XLOOKUP($A25,'[1]Brand Family Territory (Enc)'!$A:$A,'[1]Brand Family Territory (Enc)'!$B:$B,"** NO TERRITORY SET **"))</f>
        <v>All Counties</v>
      </c>
      <c r="C25" s="11" t="str">
        <f>IF($A25="","",_xlfn.LET(_xlpm.t,MATCH($B25,'[1]Territory Definitions'!$B$5:$B$14,0),IF(ISNA(_xlpm.t),"NO TERRITORY",IF(INDEX('[1]Territory Definitions'!$D$5:$M$14,_xlpm.t,MATCH(C$4,'[1]Territory Definitions'!$D$4:$M$4,0))&lt;&gt;1,"NOT IN TERRITORY",IF(COUNTIFS('[1]Blackout Brand Fam Areas (Enc)'!$B$6:$B$998,$A25,'[1]Blackout Brand Fam Areas (Enc)'!$C$6:$C$998,C$4,'[1]Blackout Brand Fam Areas (Enc)'!$D$6:$D$998,"Inactive")&gt;0,"BLOCKED","CAN SELL")))))</f>
        <v>CAN SELL</v>
      </c>
      <c r="D25" s="11" t="str">
        <f>IF($A25="","",_xlfn.LET(_xlpm.t,MATCH($B25,'[1]Territory Definitions'!$B$5:$B$14,0),IF(ISNA(_xlpm.t),"NO TERRITORY",IF(INDEX('[1]Territory Definitions'!$D$5:$M$14,_xlpm.t,MATCH(D$4,'[1]Territory Definitions'!$D$4:$M$4,0))&lt;&gt;1,"NOT IN TERRITORY",IF(COUNTIFS('[1]Blackout Brand Fam Areas (Enc)'!$B$6:$B$998,$A25,'[1]Blackout Brand Fam Areas (Enc)'!$C$6:$C$998,D$4,'[1]Blackout Brand Fam Areas (Enc)'!$D$6:$D$998,"Inactive")&gt;0,"BLOCKED","CAN SELL")))))</f>
        <v>CAN SELL</v>
      </c>
      <c r="E25" s="11" t="str">
        <f>IF($A25="","",_xlfn.LET(_xlpm.t,MATCH($B25,'[1]Territory Definitions'!$B$5:$B$14,0),IF(ISNA(_xlpm.t),"NO TERRITORY",IF(INDEX('[1]Territory Definitions'!$D$5:$M$14,_xlpm.t,MATCH(E$4,'[1]Territory Definitions'!$D$4:$M$4,0))&lt;&gt;1,"NOT IN TERRITORY",IF(COUNTIFS('[1]Blackout Brand Fam Areas (Enc)'!$B$6:$B$998,$A25,'[1]Blackout Brand Fam Areas (Enc)'!$C$6:$C$998,E$4,'[1]Blackout Brand Fam Areas (Enc)'!$D$6:$D$998,"Inactive")&gt;0,"BLOCKED","CAN SELL")))))</f>
        <v>CAN SELL</v>
      </c>
      <c r="F25" s="11" t="str">
        <f>IF($A25="","",_xlfn.LET(_xlpm.t,MATCH($B25,'[1]Territory Definitions'!$B$5:$B$14,0),IF(ISNA(_xlpm.t),"NO TERRITORY",IF(INDEX('[1]Territory Definitions'!$D$5:$M$14,_xlpm.t,MATCH(F$4,'[1]Territory Definitions'!$D$4:$M$4,0))&lt;&gt;1,"NOT IN TERRITORY",IF(COUNTIFS('[1]Blackout Brand Fam Areas (Enc)'!$B$6:$B$998,$A25,'[1]Blackout Brand Fam Areas (Enc)'!$C$6:$C$998,F$4,'[1]Blackout Brand Fam Areas (Enc)'!$D$6:$D$998,"Inactive")&gt;0,"BLOCKED","CAN SELL")))))</f>
        <v>CAN SELL</v>
      </c>
      <c r="G25" s="11" t="str">
        <f>IF($A25="","",_xlfn.LET(_xlpm.t,MATCH($B25,'[1]Territory Definitions'!$B$5:$B$14,0),IF(ISNA(_xlpm.t),"NO TERRITORY",IF(INDEX('[1]Territory Definitions'!$D$5:$M$14,_xlpm.t,MATCH(G$4,'[1]Territory Definitions'!$D$4:$M$4,0))&lt;&gt;1,"NOT IN TERRITORY",IF(COUNTIFS('[1]Blackout Brand Fam Areas (Enc)'!$B$6:$B$998,$A25,'[1]Blackout Brand Fam Areas (Enc)'!$C$6:$C$998,G$4,'[1]Blackout Brand Fam Areas (Enc)'!$D$6:$D$998,"Inactive")&gt;0,"BLOCKED","CAN SELL")))))</f>
        <v>CAN SELL</v>
      </c>
      <c r="H25" s="11" t="str">
        <f>IF($A25="","",_xlfn.LET(_xlpm.t,MATCH($B25,'[1]Territory Definitions'!$B$5:$B$14,0),IF(ISNA(_xlpm.t),"NO TERRITORY",IF(INDEX('[1]Territory Definitions'!$D$5:$M$14,_xlpm.t,MATCH(H$4,'[1]Territory Definitions'!$D$4:$M$4,0))&lt;&gt;1,"NOT IN TERRITORY",IF(COUNTIFS('[1]Blackout Brand Fam Areas (Enc)'!$B$6:$B$998,$A25,'[1]Blackout Brand Fam Areas (Enc)'!$C$6:$C$998,H$4,'[1]Blackout Brand Fam Areas (Enc)'!$D$6:$D$998,"Inactive")&gt;0,"BLOCKED","CAN SELL")))))</f>
        <v>CAN SELL</v>
      </c>
      <c r="I25" s="11" t="str">
        <f>IF($A25="","",_xlfn.LET(_xlpm.t,MATCH($B25,'[1]Territory Definitions'!$B$5:$B$14,0),IF(ISNA(_xlpm.t),"NO TERRITORY",IF(INDEX('[1]Territory Definitions'!$D$5:$M$14,_xlpm.t,MATCH(I$4,'[1]Territory Definitions'!$D$4:$M$4,0))&lt;&gt;1,"NOT IN TERRITORY",IF(COUNTIFS('[1]Blackout Brand Fam Areas (Enc)'!$B$6:$B$998,$A25,'[1]Blackout Brand Fam Areas (Enc)'!$C$6:$C$998,I$4,'[1]Blackout Brand Fam Areas (Enc)'!$D$6:$D$998,"Inactive")&gt;0,"BLOCKED","CAN SELL")))))</f>
        <v>CAN SELL</v>
      </c>
      <c r="J25" s="11" t="str">
        <f>IF($A25="","",_xlfn.LET(_xlpm.t,MATCH($B25,'[1]Territory Definitions'!$B$5:$B$14,0),IF(ISNA(_xlpm.t),"NO TERRITORY",IF(INDEX('[1]Territory Definitions'!$D$5:$M$14,_xlpm.t,MATCH(J$4,'[1]Territory Definitions'!$D$4:$M$4,0))&lt;&gt;1,"NOT IN TERRITORY",IF(COUNTIFS('[1]Blackout Brand Fam Areas (Enc)'!$B$6:$B$998,$A25,'[1]Blackout Brand Fam Areas (Enc)'!$C$6:$C$998,J$4,'[1]Blackout Brand Fam Areas (Enc)'!$D$6:$D$998,"Inactive")&gt;0,"BLOCKED","CAN SELL")))))</f>
        <v>CAN SELL</v>
      </c>
      <c r="K25" s="11" t="str">
        <f>IF($A25="","",_xlfn.LET(_xlpm.t,MATCH($B25,'[1]Territory Definitions'!$B$5:$B$14,0),IF(ISNA(_xlpm.t),"NO TERRITORY",IF(INDEX('[1]Territory Definitions'!$D$5:$M$14,_xlpm.t,MATCH(K$4,'[1]Territory Definitions'!$D$4:$M$4,0))&lt;&gt;1,"NOT IN TERRITORY",IF(COUNTIFS('[1]Blackout Brand Fam Areas (Enc)'!$B$6:$B$998,$A25,'[1]Blackout Brand Fam Areas (Enc)'!$C$6:$C$998,K$4,'[1]Blackout Brand Fam Areas (Enc)'!$D$6:$D$998,"Inactive")&gt;0,"BLOCKED","CAN SELL")))))</f>
        <v>CAN SELL</v>
      </c>
      <c r="L25" s="11" t="str">
        <f>IF($A25="","",_xlfn.LET(_xlpm.t,MATCH($B25,'[1]Territory Definitions'!$B$5:$B$14,0),IF(ISNA(_xlpm.t),"NO TERRITORY",IF(INDEX('[1]Territory Definitions'!$D$5:$M$14,_xlpm.t,MATCH(L$4,'[1]Territory Definitions'!$D$4:$M$4,0))&lt;&gt;1,"NOT IN TERRITORY",IF(COUNTIFS('[1]Blackout Brand Fam Areas (Enc)'!$B$6:$B$998,$A25,'[1]Blackout Brand Fam Areas (Enc)'!$C$6:$C$998,L$4,'[1]Blackout Brand Fam Areas (Enc)'!$D$6:$D$998,"Inactive")&gt;0,"BLOCKED","CAN SELL")))))</f>
        <v>CAN SELL</v>
      </c>
      <c r="M25" s="12">
        <f>IF($A25="","",COUNTIF($C25:$L25,"CAN SELL"))</f>
        <v>10</v>
      </c>
      <c r="N25" s="13" cm="1">
        <f t="array" ref="N25">IF($A25="","",SUMPRODUCT(($C25:$L25="CAN SELL")*$C$3:$L$3))</f>
        <v>2306</v>
      </c>
      <c r="O25" s="14" t="str">
        <f>IF($A25="","",IF(COUNTIF($A$5:$A$299,$A25)&gt;1,"DUPLICATE - two different territories assigned",IF($B25="** NO TERRITORY SET **","No territory on Brand Family Territory (Enc)","")))</f>
        <v/>
      </c>
      <c r="P25" s="18" t="str">
        <f>IF($A25="","",IFERROR(INDEX([1]Products!$H$4:$H$4801,MATCH($A25,[1]Products!$G$4:$G$4801,0)),"(no products)"))</f>
        <v>Power Distribution LLC</v>
      </c>
      <c r="Q25" s="19">
        <f>IF($A25="","",COUNTIFS([1]Products!$G$4:$G$4801,$A25,[1]Products!$L$4:$L$4801,"Yes"))</f>
        <v>1</v>
      </c>
      <c r="R25" s="19">
        <f>IF($A25="","",COUNTIFS([1]Products!$G$4:$G$4801,$A25,[1]Products!$L$4:$L$4801,"Yes",[1]Products!$K$4:$K$4801,"Draft"))</f>
        <v>0</v>
      </c>
      <c r="S25" s="19">
        <f>IF($A25="","",COUNTIFS([1]Products!$G$4:$G$4801,$A25,[1]Products!$L$4:$L$4801,"Yes",[1]Products!$K$4:$K$4801,"Package"))</f>
        <v>1</v>
      </c>
      <c r="T25" s="20" t="str" cm="1">
        <f t="array" ref="T25">IF($A25="","",_xlfn.IFS($Q25=0,"NO ACTIVE SKUs",AND($R25&gt;0,$S25&gt;0),"Draft &amp; Package",$R25&gt;0,"Draft only",TRUE,"Package only"))</f>
        <v>Package only</v>
      </c>
    </row>
    <row r="26" spans="1:20" x14ac:dyDescent="0.2">
      <c r="A26" s="9" t="str">
        <v>Bella Ray</v>
      </c>
      <c r="B26" s="10" t="str">
        <f>IF($A26="","",_xlfn.XLOOKUP($A26,'[1]Brand Family Territory (Enc)'!$A:$A,'[1]Brand Family Territory (Enc)'!$B:$B,"** NO TERRITORY SET **"))</f>
        <v>All Counties</v>
      </c>
      <c r="C26" s="11" t="str">
        <f>IF($A26="","",_xlfn.LET(_xlpm.t,MATCH($B26,'[1]Territory Definitions'!$B$5:$B$14,0),IF(ISNA(_xlpm.t),"NO TERRITORY",IF(INDEX('[1]Territory Definitions'!$D$5:$M$14,_xlpm.t,MATCH(C$4,'[1]Territory Definitions'!$D$4:$M$4,0))&lt;&gt;1,"NOT IN TERRITORY",IF(COUNTIFS('[1]Blackout Brand Fam Areas (Enc)'!$B$6:$B$998,$A26,'[1]Blackout Brand Fam Areas (Enc)'!$C$6:$C$998,C$4,'[1]Blackout Brand Fam Areas (Enc)'!$D$6:$D$998,"Inactive")&gt;0,"BLOCKED","CAN SELL")))))</f>
        <v>CAN SELL</v>
      </c>
      <c r="D26" s="11" t="str">
        <f>IF($A26="","",_xlfn.LET(_xlpm.t,MATCH($B26,'[1]Territory Definitions'!$B$5:$B$14,0),IF(ISNA(_xlpm.t),"NO TERRITORY",IF(INDEX('[1]Territory Definitions'!$D$5:$M$14,_xlpm.t,MATCH(D$4,'[1]Territory Definitions'!$D$4:$M$4,0))&lt;&gt;1,"NOT IN TERRITORY",IF(COUNTIFS('[1]Blackout Brand Fam Areas (Enc)'!$B$6:$B$998,$A26,'[1]Blackout Brand Fam Areas (Enc)'!$C$6:$C$998,D$4,'[1]Blackout Brand Fam Areas (Enc)'!$D$6:$D$998,"Inactive")&gt;0,"BLOCKED","CAN SELL")))))</f>
        <v>CAN SELL</v>
      </c>
      <c r="E26" s="11" t="str">
        <f>IF($A26="","",_xlfn.LET(_xlpm.t,MATCH($B26,'[1]Territory Definitions'!$B$5:$B$14,0),IF(ISNA(_xlpm.t),"NO TERRITORY",IF(INDEX('[1]Territory Definitions'!$D$5:$M$14,_xlpm.t,MATCH(E$4,'[1]Territory Definitions'!$D$4:$M$4,0))&lt;&gt;1,"NOT IN TERRITORY",IF(COUNTIFS('[1]Blackout Brand Fam Areas (Enc)'!$B$6:$B$998,$A26,'[1]Blackout Brand Fam Areas (Enc)'!$C$6:$C$998,E$4,'[1]Blackout Brand Fam Areas (Enc)'!$D$6:$D$998,"Inactive")&gt;0,"BLOCKED","CAN SELL")))))</f>
        <v>CAN SELL</v>
      </c>
      <c r="F26" s="11" t="str">
        <f>IF($A26="","",_xlfn.LET(_xlpm.t,MATCH($B26,'[1]Territory Definitions'!$B$5:$B$14,0),IF(ISNA(_xlpm.t),"NO TERRITORY",IF(INDEX('[1]Territory Definitions'!$D$5:$M$14,_xlpm.t,MATCH(F$4,'[1]Territory Definitions'!$D$4:$M$4,0))&lt;&gt;1,"NOT IN TERRITORY",IF(COUNTIFS('[1]Blackout Brand Fam Areas (Enc)'!$B$6:$B$998,$A26,'[1]Blackout Brand Fam Areas (Enc)'!$C$6:$C$998,F$4,'[1]Blackout Brand Fam Areas (Enc)'!$D$6:$D$998,"Inactive")&gt;0,"BLOCKED","CAN SELL")))))</f>
        <v>CAN SELL</v>
      </c>
      <c r="G26" s="11" t="str">
        <f>IF($A26="","",_xlfn.LET(_xlpm.t,MATCH($B26,'[1]Territory Definitions'!$B$5:$B$14,0),IF(ISNA(_xlpm.t),"NO TERRITORY",IF(INDEX('[1]Territory Definitions'!$D$5:$M$14,_xlpm.t,MATCH(G$4,'[1]Territory Definitions'!$D$4:$M$4,0))&lt;&gt;1,"NOT IN TERRITORY",IF(COUNTIFS('[1]Blackout Brand Fam Areas (Enc)'!$B$6:$B$998,$A26,'[1]Blackout Brand Fam Areas (Enc)'!$C$6:$C$998,G$4,'[1]Blackout Brand Fam Areas (Enc)'!$D$6:$D$998,"Inactive")&gt;0,"BLOCKED","CAN SELL")))))</f>
        <v>CAN SELL</v>
      </c>
      <c r="H26" s="11" t="str">
        <f>IF($A26="","",_xlfn.LET(_xlpm.t,MATCH($B26,'[1]Territory Definitions'!$B$5:$B$14,0),IF(ISNA(_xlpm.t),"NO TERRITORY",IF(INDEX('[1]Territory Definitions'!$D$5:$M$14,_xlpm.t,MATCH(H$4,'[1]Territory Definitions'!$D$4:$M$4,0))&lt;&gt;1,"NOT IN TERRITORY",IF(COUNTIFS('[1]Blackout Brand Fam Areas (Enc)'!$B$6:$B$998,$A26,'[1]Blackout Brand Fam Areas (Enc)'!$C$6:$C$998,H$4,'[1]Blackout Brand Fam Areas (Enc)'!$D$6:$D$998,"Inactive")&gt;0,"BLOCKED","CAN SELL")))))</f>
        <v>CAN SELL</v>
      </c>
      <c r="I26" s="11" t="str">
        <f>IF($A26="","",_xlfn.LET(_xlpm.t,MATCH($B26,'[1]Territory Definitions'!$B$5:$B$14,0),IF(ISNA(_xlpm.t),"NO TERRITORY",IF(INDEX('[1]Territory Definitions'!$D$5:$M$14,_xlpm.t,MATCH(I$4,'[1]Territory Definitions'!$D$4:$M$4,0))&lt;&gt;1,"NOT IN TERRITORY",IF(COUNTIFS('[1]Blackout Brand Fam Areas (Enc)'!$B$6:$B$998,$A26,'[1]Blackout Brand Fam Areas (Enc)'!$C$6:$C$998,I$4,'[1]Blackout Brand Fam Areas (Enc)'!$D$6:$D$998,"Inactive")&gt;0,"BLOCKED","CAN SELL")))))</f>
        <v>CAN SELL</v>
      </c>
      <c r="J26" s="11" t="str">
        <f>IF($A26="","",_xlfn.LET(_xlpm.t,MATCH($B26,'[1]Territory Definitions'!$B$5:$B$14,0),IF(ISNA(_xlpm.t),"NO TERRITORY",IF(INDEX('[1]Territory Definitions'!$D$5:$M$14,_xlpm.t,MATCH(J$4,'[1]Territory Definitions'!$D$4:$M$4,0))&lt;&gt;1,"NOT IN TERRITORY",IF(COUNTIFS('[1]Blackout Brand Fam Areas (Enc)'!$B$6:$B$998,$A26,'[1]Blackout Brand Fam Areas (Enc)'!$C$6:$C$998,J$4,'[1]Blackout Brand Fam Areas (Enc)'!$D$6:$D$998,"Inactive")&gt;0,"BLOCKED","CAN SELL")))))</f>
        <v>CAN SELL</v>
      </c>
      <c r="K26" s="11" t="str">
        <f>IF($A26="","",_xlfn.LET(_xlpm.t,MATCH($B26,'[1]Territory Definitions'!$B$5:$B$14,0),IF(ISNA(_xlpm.t),"NO TERRITORY",IF(INDEX('[1]Territory Definitions'!$D$5:$M$14,_xlpm.t,MATCH(K$4,'[1]Territory Definitions'!$D$4:$M$4,0))&lt;&gt;1,"NOT IN TERRITORY",IF(COUNTIFS('[1]Blackout Brand Fam Areas (Enc)'!$B$6:$B$998,$A26,'[1]Blackout Brand Fam Areas (Enc)'!$C$6:$C$998,K$4,'[1]Blackout Brand Fam Areas (Enc)'!$D$6:$D$998,"Inactive")&gt;0,"BLOCKED","CAN SELL")))))</f>
        <v>CAN SELL</v>
      </c>
      <c r="L26" s="11" t="str">
        <f>IF($A26="","",_xlfn.LET(_xlpm.t,MATCH($B26,'[1]Territory Definitions'!$B$5:$B$14,0),IF(ISNA(_xlpm.t),"NO TERRITORY",IF(INDEX('[1]Territory Definitions'!$D$5:$M$14,_xlpm.t,MATCH(L$4,'[1]Territory Definitions'!$D$4:$M$4,0))&lt;&gt;1,"NOT IN TERRITORY",IF(COUNTIFS('[1]Blackout Brand Fam Areas (Enc)'!$B$6:$B$998,$A26,'[1]Blackout Brand Fam Areas (Enc)'!$C$6:$C$998,L$4,'[1]Blackout Brand Fam Areas (Enc)'!$D$6:$D$998,"Inactive")&gt;0,"BLOCKED","CAN SELL")))))</f>
        <v>CAN SELL</v>
      </c>
      <c r="M26" s="12">
        <f>IF($A26="","",COUNTIF($C26:$L26,"CAN SELL"))</f>
        <v>10</v>
      </c>
      <c r="N26" s="13" cm="1">
        <f t="array" ref="N26">IF($A26="","",SUMPRODUCT(($C26:$L26="CAN SELL")*$C$3:$L$3))</f>
        <v>2306</v>
      </c>
      <c r="O26" s="14" t="str">
        <f>IF($A26="","",IF(COUNTIF($A$5:$A$299,$A26)&gt;1,"DUPLICATE - two different territories assigned",IF($B26="** NO TERRITORY SET **","No territory on Brand Family Territory (Enc)","")))</f>
        <v/>
      </c>
      <c r="P26" s="18" t="str">
        <f>IF($A26="","",IFERROR(INDEX([1]Products!$H$4:$H$4801,MATCH($A26,[1]Products!$G$4:$G$4801,0)),"(no products)"))</f>
        <v>Bella Ray Beverage</v>
      </c>
      <c r="Q26" s="19">
        <f>IF($A26="","",COUNTIFS([1]Products!$G$4:$G$4801,$A26,[1]Products!$L$4:$L$4801,"Yes"))</f>
        <v>5</v>
      </c>
      <c r="R26" s="19">
        <f>IF($A26="","",COUNTIFS([1]Products!$G$4:$G$4801,$A26,[1]Products!$L$4:$L$4801,"Yes",[1]Products!$K$4:$K$4801,"Draft"))</f>
        <v>0</v>
      </c>
      <c r="S26" s="19">
        <f>IF($A26="","",COUNTIFS([1]Products!$G$4:$G$4801,$A26,[1]Products!$L$4:$L$4801,"Yes",[1]Products!$K$4:$K$4801,"Package"))</f>
        <v>5</v>
      </c>
      <c r="T26" s="20" t="str" cm="1">
        <f t="array" ref="T26">IF($A26="","",_xlfn.IFS($Q26=0,"NO ACTIVE SKUs",AND($R26&gt;0,$S26&gt;0),"Draft &amp; Package",$R26&gt;0,"Draft only",TRUE,"Package only"))</f>
        <v>Package only</v>
      </c>
    </row>
    <row r="27" spans="1:20" x14ac:dyDescent="0.2">
      <c r="A27" s="9" t="str">
        <v>Bell's</v>
      </c>
      <c r="B27" s="10" t="str">
        <f>IF($A27="","",_xlfn.XLOOKUP($A27,'[1]Brand Family Territory (Enc)'!$A:$A,'[1]Brand Family Territory (Enc)'!$B:$B,"** NO TERRITORY SET **"))</f>
        <v>Core Market</v>
      </c>
      <c r="C27" s="11" t="str">
        <f>IF($A27="","",_xlfn.LET(_xlpm.t,MATCH($B27,'[1]Territory Definitions'!$B$5:$B$14,0),IF(ISNA(_xlpm.t),"NO TERRITORY",IF(INDEX('[1]Territory Definitions'!$D$5:$M$14,_xlpm.t,MATCH(C$4,'[1]Territory Definitions'!$D$4:$M$4,0))&lt;&gt;1,"NOT IN TERRITORY",IF(COUNTIFS('[1]Blackout Brand Fam Areas (Enc)'!$B$6:$B$998,$A27,'[1]Blackout Brand Fam Areas (Enc)'!$C$6:$C$998,C$4,'[1]Blackout Brand Fam Areas (Enc)'!$D$6:$D$998,"Inactive")&gt;0,"BLOCKED","CAN SELL")))))</f>
        <v>CAN SELL</v>
      </c>
      <c r="D27" s="11" t="str">
        <f>IF($A27="","",_xlfn.LET(_xlpm.t,MATCH($B27,'[1]Territory Definitions'!$B$5:$B$14,0),IF(ISNA(_xlpm.t),"NO TERRITORY",IF(INDEX('[1]Territory Definitions'!$D$5:$M$14,_xlpm.t,MATCH(D$4,'[1]Territory Definitions'!$D$4:$M$4,0))&lt;&gt;1,"NOT IN TERRITORY",IF(COUNTIFS('[1]Blackout Brand Fam Areas (Enc)'!$B$6:$B$998,$A27,'[1]Blackout Brand Fam Areas (Enc)'!$C$6:$C$998,D$4,'[1]Blackout Brand Fam Areas (Enc)'!$D$6:$D$998,"Inactive")&gt;0,"BLOCKED","CAN SELL")))))</f>
        <v>CAN SELL</v>
      </c>
      <c r="E27" s="11" t="str">
        <f>IF($A27="","",_xlfn.LET(_xlpm.t,MATCH($B27,'[1]Territory Definitions'!$B$5:$B$14,0),IF(ISNA(_xlpm.t),"NO TERRITORY",IF(INDEX('[1]Territory Definitions'!$D$5:$M$14,_xlpm.t,MATCH(E$4,'[1]Territory Definitions'!$D$4:$M$4,0))&lt;&gt;1,"NOT IN TERRITORY",IF(COUNTIFS('[1]Blackout Brand Fam Areas (Enc)'!$B$6:$B$998,$A27,'[1]Blackout Brand Fam Areas (Enc)'!$C$6:$C$998,E$4,'[1]Blackout Brand Fam Areas (Enc)'!$D$6:$D$998,"Inactive")&gt;0,"BLOCKED","CAN SELL")))))</f>
        <v>CAN SELL</v>
      </c>
      <c r="F27" s="11" t="str">
        <f>IF($A27="","",_xlfn.LET(_xlpm.t,MATCH($B27,'[1]Territory Definitions'!$B$5:$B$14,0),IF(ISNA(_xlpm.t),"NO TERRITORY",IF(INDEX('[1]Territory Definitions'!$D$5:$M$14,_xlpm.t,MATCH(F$4,'[1]Territory Definitions'!$D$4:$M$4,0))&lt;&gt;1,"NOT IN TERRITORY",IF(COUNTIFS('[1]Blackout Brand Fam Areas (Enc)'!$B$6:$B$998,$A27,'[1]Blackout Brand Fam Areas (Enc)'!$C$6:$C$998,F$4,'[1]Blackout Brand Fam Areas (Enc)'!$D$6:$D$998,"Inactive")&gt;0,"BLOCKED","CAN SELL")))))</f>
        <v>NOT IN TERRITORY</v>
      </c>
      <c r="G27" s="11" t="str">
        <f>IF($A27="","",_xlfn.LET(_xlpm.t,MATCH($B27,'[1]Territory Definitions'!$B$5:$B$14,0),IF(ISNA(_xlpm.t),"NO TERRITORY",IF(INDEX('[1]Territory Definitions'!$D$5:$M$14,_xlpm.t,MATCH(G$4,'[1]Territory Definitions'!$D$4:$M$4,0))&lt;&gt;1,"NOT IN TERRITORY",IF(COUNTIFS('[1]Blackout Brand Fam Areas (Enc)'!$B$6:$B$998,$A27,'[1]Blackout Brand Fam Areas (Enc)'!$C$6:$C$998,G$4,'[1]Blackout Brand Fam Areas (Enc)'!$D$6:$D$998,"Inactive")&gt;0,"BLOCKED","CAN SELL")))))</f>
        <v>NOT IN TERRITORY</v>
      </c>
      <c r="H27" s="11" t="str">
        <f>IF($A27="","",_xlfn.LET(_xlpm.t,MATCH($B27,'[1]Territory Definitions'!$B$5:$B$14,0),IF(ISNA(_xlpm.t),"NO TERRITORY",IF(INDEX('[1]Territory Definitions'!$D$5:$M$14,_xlpm.t,MATCH(H$4,'[1]Territory Definitions'!$D$4:$M$4,0))&lt;&gt;1,"NOT IN TERRITORY",IF(COUNTIFS('[1]Blackout Brand Fam Areas (Enc)'!$B$6:$B$998,$A27,'[1]Blackout Brand Fam Areas (Enc)'!$C$6:$C$998,H$4,'[1]Blackout Brand Fam Areas (Enc)'!$D$6:$D$998,"Inactive")&gt;0,"BLOCKED","CAN SELL")))))</f>
        <v>NOT IN TERRITORY</v>
      </c>
      <c r="I27" s="11" t="str">
        <f>IF($A27="","",_xlfn.LET(_xlpm.t,MATCH($B27,'[1]Territory Definitions'!$B$5:$B$14,0),IF(ISNA(_xlpm.t),"NO TERRITORY",IF(INDEX('[1]Territory Definitions'!$D$5:$M$14,_xlpm.t,MATCH(I$4,'[1]Territory Definitions'!$D$4:$M$4,0))&lt;&gt;1,"NOT IN TERRITORY",IF(COUNTIFS('[1]Blackout Brand Fam Areas (Enc)'!$B$6:$B$998,$A27,'[1]Blackout Brand Fam Areas (Enc)'!$C$6:$C$998,I$4,'[1]Blackout Brand Fam Areas (Enc)'!$D$6:$D$998,"Inactive")&gt;0,"BLOCKED","CAN SELL")))))</f>
        <v>CAN SELL</v>
      </c>
      <c r="J27" s="11" t="str">
        <f>IF($A27="","",_xlfn.LET(_xlpm.t,MATCH($B27,'[1]Territory Definitions'!$B$5:$B$14,0),IF(ISNA(_xlpm.t),"NO TERRITORY",IF(INDEX('[1]Territory Definitions'!$D$5:$M$14,_xlpm.t,MATCH(J$4,'[1]Territory Definitions'!$D$4:$M$4,0))&lt;&gt;1,"NOT IN TERRITORY",IF(COUNTIFS('[1]Blackout Brand Fam Areas (Enc)'!$B$6:$B$998,$A27,'[1]Blackout Brand Fam Areas (Enc)'!$C$6:$C$998,J$4,'[1]Blackout Brand Fam Areas (Enc)'!$D$6:$D$998,"Inactive")&gt;0,"BLOCKED","CAN SELL")))))</f>
        <v>CAN SELL</v>
      </c>
      <c r="K27" s="11" t="str">
        <f>IF($A27="","",_xlfn.LET(_xlpm.t,MATCH($B27,'[1]Territory Definitions'!$B$5:$B$14,0),IF(ISNA(_xlpm.t),"NO TERRITORY",IF(INDEX('[1]Territory Definitions'!$D$5:$M$14,_xlpm.t,MATCH(K$4,'[1]Territory Definitions'!$D$4:$M$4,0))&lt;&gt;1,"NOT IN TERRITORY",IF(COUNTIFS('[1]Blackout Brand Fam Areas (Enc)'!$B$6:$B$998,$A27,'[1]Blackout Brand Fam Areas (Enc)'!$C$6:$C$998,K$4,'[1]Blackout Brand Fam Areas (Enc)'!$D$6:$D$998,"Inactive")&gt;0,"BLOCKED","CAN SELL")))))</f>
        <v>NOT IN TERRITORY</v>
      </c>
      <c r="L27" s="11" t="str">
        <f>IF($A27="","",_xlfn.LET(_xlpm.t,MATCH($B27,'[1]Territory Definitions'!$B$5:$B$14,0),IF(ISNA(_xlpm.t),"NO TERRITORY",IF(INDEX('[1]Territory Definitions'!$D$5:$M$14,_xlpm.t,MATCH(L$4,'[1]Territory Definitions'!$D$4:$M$4,0))&lt;&gt;1,"NOT IN TERRITORY",IF(COUNTIFS('[1]Blackout Brand Fam Areas (Enc)'!$B$6:$B$998,$A27,'[1]Blackout Brand Fam Areas (Enc)'!$C$6:$C$998,L$4,'[1]Blackout Brand Fam Areas (Enc)'!$D$6:$D$998,"Inactive")&gt;0,"BLOCKED","CAN SELL")))))</f>
        <v>CAN SELL</v>
      </c>
      <c r="M27" s="12">
        <f>IF($A27="","",COUNTIF($C27:$L27,"CAN SELL"))</f>
        <v>6</v>
      </c>
      <c r="N27" s="13" cm="1">
        <f t="array" ref="N27">IF($A27="","",SUMPRODUCT(($C27:$L27="CAN SELL")*$C$3:$L$3))</f>
        <v>1596</v>
      </c>
      <c r="O27" s="14" t="str">
        <f>IF($A27="","",IF(COUNTIF($A$5:$A$299,$A27)&gt;1,"DUPLICATE - two different territories assigned",IF($B27="** NO TERRITORY SET **","No territory on Brand Family Territory (Enc)","")))</f>
        <v/>
      </c>
      <c r="P27" s="18" t="str">
        <f>IF($A27="","",IFERROR(INDEX([1]Products!$H$4:$H$4801,MATCH($A27,[1]Products!$G$4:$G$4801,0)),"(no products)"))</f>
        <v>Bell's</v>
      </c>
      <c r="Q27" s="19">
        <f>IF($A27="","",COUNTIFS([1]Products!$G$4:$G$4801,$A27,[1]Products!$L$4:$L$4801,"Yes"))</f>
        <v>37</v>
      </c>
      <c r="R27" s="19">
        <f>IF($A27="","",COUNTIFS([1]Products!$G$4:$G$4801,$A27,[1]Products!$L$4:$L$4801,"Yes",[1]Products!$K$4:$K$4801,"Draft"))</f>
        <v>17</v>
      </c>
      <c r="S27" s="19">
        <f>IF($A27="","",COUNTIFS([1]Products!$G$4:$G$4801,$A27,[1]Products!$L$4:$L$4801,"Yes",[1]Products!$K$4:$K$4801,"Package"))</f>
        <v>20</v>
      </c>
      <c r="T27" s="20" t="str" cm="1">
        <f t="array" ref="T27">IF($A27="","",_xlfn.IFS($Q27=0,"NO ACTIVE SKUs",AND($R27&gt;0,$S27&gt;0),"Draft &amp; Package",$R27&gt;0,"Draft only",TRUE,"Package only"))</f>
        <v>Draft &amp; Package</v>
      </c>
    </row>
    <row r="28" spans="1:20" x14ac:dyDescent="0.2">
      <c r="A28" s="9" t="str">
        <v>Bell's Hearted Family</v>
      </c>
      <c r="B28" s="10" t="str">
        <f>IF($A28="","",_xlfn.XLOOKUP($A28,'[1]Brand Family Territory (Enc)'!$A:$A,'[1]Brand Family Territory (Enc)'!$B:$B,"** NO TERRITORY SET **"))</f>
        <v>Core Market</v>
      </c>
      <c r="C28" s="11" t="str">
        <f>IF($A28="","",_xlfn.LET(_xlpm.t,MATCH($B28,'[1]Territory Definitions'!$B$5:$B$14,0),IF(ISNA(_xlpm.t),"NO TERRITORY",IF(INDEX('[1]Territory Definitions'!$D$5:$M$14,_xlpm.t,MATCH(C$4,'[1]Territory Definitions'!$D$4:$M$4,0))&lt;&gt;1,"NOT IN TERRITORY",IF(COUNTIFS('[1]Blackout Brand Fam Areas (Enc)'!$B$6:$B$998,$A28,'[1]Blackout Brand Fam Areas (Enc)'!$C$6:$C$998,C$4,'[1]Blackout Brand Fam Areas (Enc)'!$D$6:$D$998,"Inactive")&gt;0,"BLOCKED","CAN SELL")))))</f>
        <v>CAN SELL</v>
      </c>
      <c r="D28" s="11" t="str">
        <f>IF($A28="","",_xlfn.LET(_xlpm.t,MATCH($B28,'[1]Territory Definitions'!$B$5:$B$14,0),IF(ISNA(_xlpm.t),"NO TERRITORY",IF(INDEX('[1]Territory Definitions'!$D$5:$M$14,_xlpm.t,MATCH(D$4,'[1]Territory Definitions'!$D$4:$M$4,0))&lt;&gt;1,"NOT IN TERRITORY",IF(COUNTIFS('[1]Blackout Brand Fam Areas (Enc)'!$B$6:$B$998,$A28,'[1]Blackout Brand Fam Areas (Enc)'!$C$6:$C$998,D$4,'[1]Blackout Brand Fam Areas (Enc)'!$D$6:$D$998,"Inactive")&gt;0,"BLOCKED","CAN SELL")))))</f>
        <v>CAN SELL</v>
      </c>
      <c r="E28" s="11" t="str">
        <f>IF($A28="","",_xlfn.LET(_xlpm.t,MATCH($B28,'[1]Territory Definitions'!$B$5:$B$14,0),IF(ISNA(_xlpm.t),"NO TERRITORY",IF(INDEX('[1]Territory Definitions'!$D$5:$M$14,_xlpm.t,MATCH(E$4,'[1]Territory Definitions'!$D$4:$M$4,0))&lt;&gt;1,"NOT IN TERRITORY",IF(COUNTIFS('[1]Blackout Brand Fam Areas (Enc)'!$B$6:$B$998,$A28,'[1]Blackout Brand Fam Areas (Enc)'!$C$6:$C$998,E$4,'[1]Blackout Brand Fam Areas (Enc)'!$D$6:$D$998,"Inactive")&gt;0,"BLOCKED","CAN SELL")))))</f>
        <v>CAN SELL</v>
      </c>
      <c r="F28" s="11" t="str">
        <f>IF($A28="","",_xlfn.LET(_xlpm.t,MATCH($B28,'[1]Territory Definitions'!$B$5:$B$14,0),IF(ISNA(_xlpm.t),"NO TERRITORY",IF(INDEX('[1]Territory Definitions'!$D$5:$M$14,_xlpm.t,MATCH(F$4,'[1]Territory Definitions'!$D$4:$M$4,0))&lt;&gt;1,"NOT IN TERRITORY",IF(COUNTIFS('[1]Blackout Brand Fam Areas (Enc)'!$B$6:$B$998,$A28,'[1]Blackout Brand Fam Areas (Enc)'!$C$6:$C$998,F$4,'[1]Blackout Brand Fam Areas (Enc)'!$D$6:$D$998,"Inactive")&gt;0,"BLOCKED","CAN SELL")))))</f>
        <v>NOT IN TERRITORY</v>
      </c>
      <c r="G28" s="11" t="str">
        <f>IF($A28="","",_xlfn.LET(_xlpm.t,MATCH($B28,'[1]Territory Definitions'!$B$5:$B$14,0),IF(ISNA(_xlpm.t),"NO TERRITORY",IF(INDEX('[1]Territory Definitions'!$D$5:$M$14,_xlpm.t,MATCH(G$4,'[1]Territory Definitions'!$D$4:$M$4,0))&lt;&gt;1,"NOT IN TERRITORY",IF(COUNTIFS('[1]Blackout Brand Fam Areas (Enc)'!$B$6:$B$998,$A28,'[1]Blackout Brand Fam Areas (Enc)'!$C$6:$C$998,G$4,'[1]Blackout Brand Fam Areas (Enc)'!$D$6:$D$998,"Inactive")&gt;0,"BLOCKED","CAN SELL")))))</f>
        <v>NOT IN TERRITORY</v>
      </c>
      <c r="H28" s="11" t="str">
        <f>IF($A28="","",_xlfn.LET(_xlpm.t,MATCH($B28,'[1]Territory Definitions'!$B$5:$B$14,0),IF(ISNA(_xlpm.t),"NO TERRITORY",IF(INDEX('[1]Territory Definitions'!$D$5:$M$14,_xlpm.t,MATCH(H$4,'[1]Territory Definitions'!$D$4:$M$4,0))&lt;&gt;1,"NOT IN TERRITORY",IF(COUNTIFS('[1]Blackout Brand Fam Areas (Enc)'!$B$6:$B$998,$A28,'[1]Blackout Brand Fam Areas (Enc)'!$C$6:$C$998,H$4,'[1]Blackout Brand Fam Areas (Enc)'!$D$6:$D$998,"Inactive")&gt;0,"BLOCKED","CAN SELL")))))</f>
        <v>NOT IN TERRITORY</v>
      </c>
      <c r="I28" s="11" t="str">
        <f>IF($A28="","",_xlfn.LET(_xlpm.t,MATCH($B28,'[1]Territory Definitions'!$B$5:$B$14,0),IF(ISNA(_xlpm.t),"NO TERRITORY",IF(INDEX('[1]Territory Definitions'!$D$5:$M$14,_xlpm.t,MATCH(I$4,'[1]Territory Definitions'!$D$4:$M$4,0))&lt;&gt;1,"NOT IN TERRITORY",IF(COUNTIFS('[1]Blackout Brand Fam Areas (Enc)'!$B$6:$B$998,$A28,'[1]Blackout Brand Fam Areas (Enc)'!$C$6:$C$998,I$4,'[1]Blackout Brand Fam Areas (Enc)'!$D$6:$D$998,"Inactive")&gt;0,"BLOCKED","CAN SELL")))))</f>
        <v>CAN SELL</v>
      </c>
      <c r="J28" s="11" t="str">
        <f>IF($A28="","",_xlfn.LET(_xlpm.t,MATCH($B28,'[1]Territory Definitions'!$B$5:$B$14,0),IF(ISNA(_xlpm.t),"NO TERRITORY",IF(INDEX('[1]Territory Definitions'!$D$5:$M$14,_xlpm.t,MATCH(J$4,'[1]Territory Definitions'!$D$4:$M$4,0))&lt;&gt;1,"NOT IN TERRITORY",IF(COUNTIFS('[1]Blackout Brand Fam Areas (Enc)'!$B$6:$B$998,$A28,'[1]Blackout Brand Fam Areas (Enc)'!$C$6:$C$998,J$4,'[1]Blackout Brand Fam Areas (Enc)'!$D$6:$D$998,"Inactive")&gt;0,"BLOCKED","CAN SELL")))))</f>
        <v>CAN SELL</v>
      </c>
      <c r="K28" s="11" t="str">
        <f>IF($A28="","",_xlfn.LET(_xlpm.t,MATCH($B28,'[1]Territory Definitions'!$B$5:$B$14,0),IF(ISNA(_xlpm.t),"NO TERRITORY",IF(INDEX('[1]Territory Definitions'!$D$5:$M$14,_xlpm.t,MATCH(K$4,'[1]Territory Definitions'!$D$4:$M$4,0))&lt;&gt;1,"NOT IN TERRITORY",IF(COUNTIFS('[1]Blackout Brand Fam Areas (Enc)'!$B$6:$B$998,$A28,'[1]Blackout Brand Fam Areas (Enc)'!$C$6:$C$998,K$4,'[1]Blackout Brand Fam Areas (Enc)'!$D$6:$D$998,"Inactive")&gt;0,"BLOCKED","CAN SELL")))))</f>
        <v>NOT IN TERRITORY</v>
      </c>
      <c r="L28" s="11" t="str">
        <f>IF($A28="","",_xlfn.LET(_xlpm.t,MATCH($B28,'[1]Territory Definitions'!$B$5:$B$14,0),IF(ISNA(_xlpm.t),"NO TERRITORY",IF(INDEX('[1]Territory Definitions'!$D$5:$M$14,_xlpm.t,MATCH(L$4,'[1]Territory Definitions'!$D$4:$M$4,0))&lt;&gt;1,"NOT IN TERRITORY",IF(COUNTIFS('[1]Blackout Brand Fam Areas (Enc)'!$B$6:$B$998,$A28,'[1]Blackout Brand Fam Areas (Enc)'!$C$6:$C$998,L$4,'[1]Blackout Brand Fam Areas (Enc)'!$D$6:$D$998,"Inactive")&gt;0,"BLOCKED","CAN SELL")))))</f>
        <v>CAN SELL</v>
      </c>
      <c r="M28" s="12">
        <f>IF($A28="","",COUNTIF($C28:$L28,"CAN SELL"))</f>
        <v>6</v>
      </c>
      <c r="N28" s="13" cm="1">
        <f t="array" ref="N28">IF($A28="","",SUMPRODUCT(($C28:$L28="CAN SELL")*$C$3:$L$3))</f>
        <v>1596</v>
      </c>
      <c r="O28" s="14" t="str">
        <f>IF($A28="","",IF(COUNTIF($A$5:$A$299,$A28)&gt;1,"DUPLICATE - two different territories assigned",IF($B28="** NO TERRITORY SET **","No territory on Brand Family Territory (Enc)","")))</f>
        <v/>
      </c>
      <c r="P28" s="18" t="str">
        <f>IF($A28="","",IFERROR(INDEX([1]Products!$H$4:$H$4801,MATCH($A28,[1]Products!$G$4:$G$4801,0)),"(no products)"))</f>
        <v>Bell's</v>
      </c>
      <c r="Q28" s="19">
        <f>IF($A28="","",COUNTIFS([1]Products!$G$4:$G$4801,$A28,[1]Products!$L$4:$L$4801,"Yes"))</f>
        <v>15</v>
      </c>
      <c r="R28" s="19">
        <f>IF($A28="","",COUNTIFS([1]Products!$G$4:$G$4801,$A28,[1]Products!$L$4:$L$4801,"Yes",[1]Products!$K$4:$K$4801,"Draft"))</f>
        <v>5</v>
      </c>
      <c r="S28" s="19">
        <f>IF($A28="","",COUNTIFS([1]Products!$G$4:$G$4801,$A28,[1]Products!$L$4:$L$4801,"Yes",[1]Products!$K$4:$K$4801,"Package"))</f>
        <v>10</v>
      </c>
      <c r="T28" s="20" t="str" cm="1">
        <f t="array" ref="T28">IF($A28="","",_xlfn.IFS($Q28=0,"NO ACTIVE SKUs",AND($R28&gt;0,$S28&gt;0),"Draft &amp; Package",$R28&gt;0,"Draft only",TRUE,"Package only"))</f>
        <v>Draft &amp; Package</v>
      </c>
    </row>
    <row r="29" spans="1:20" x14ac:dyDescent="0.2">
      <c r="A29" s="9" t="str">
        <v>Beviamo</v>
      </c>
      <c r="B29" s="10" t="str">
        <f>IF($A29="","",_xlfn.XLOOKUP($A29,'[1]Brand Family Territory (Enc)'!$A:$A,'[1]Brand Family Territory (Enc)'!$B:$B,"** NO TERRITORY SET **"))</f>
        <v>Core Market</v>
      </c>
      <c r="C29" s="11" t="str">
        <f>IF($A29="","",_xlfn.LET(_xlpm.t,MATCH($B29,'[1]Territory Definitions'!$B$5:$B$14,0),IF(ISNA(_xlpm.t),"NO TERRITORY",IF(INDEX('[1]Territory Definitions'!$D$5:$M$14,_xlpm.t,MATCH(C$4,'[1]Territory Definitions'!$D$4:$M$4,0))&lt;&gt;1,"NOT IN TERRITORY",IF(COUNTIFS('[1]Blackout Brand Fam Areas (Enc)'!$B$6:$B$998,$A29,'[1]Blackout Brand Fam Areas (Enc)'!$C$6:$C$998,C$4,'[1]Blackout Brand Fam Areas (Enc)'!$D$6:$D$998,"Inactive")&gt;0,"BLOCKED","CAN SELL")))))</f>
        <v>CAN SELL</v>
      </c>
      <c r="D29" s="11" t="str">
        <f>IF($A29="","",_xlfn.LET(_xlpm.t,MATCH($B29,'[1]Territory Definitions'!$B$5:$B$14,0),IF(ISNA(_xlpm.t),"NO TERRITORY",IF(INDEX('[1]Territory Definitions'!$D$5:$M$14,_xlpm.t,MATCH(D$4,'[1]Territory Definitions'!$D$4:$M$4,0))&lt;&gt;1,"NOT IN TERRITORY",IF(COUNTIFS('[1]Blackout Brand Fam Areas (Enc)'!$B$6:$B$998,$A29,'[1]Blackout Brand Fam Areas (Enc)'!$C$6:$C$998,D$4,'[1]Blackout Brand Fam Areas (Enc)'!$D$6:$D$998,"Inactive")&gt;0,"BLOCKED","CAN SELL")))))</f>
        <v>CAN SELL</v>
      </c>
      <c r="E29" s="11" t="str">
        <f>IF($A29="","",_xlfn.LET(_xlpm.t,MATCH($B29,'[1]Territory Definitions'!$B$5:$B$14,0),IF(ISNA(_xlpm.t),"NO TERRITORY",IF(INDEX('[1]Territory Definitions'!$D$5:$M$14,_xlpm.t,MATCH(E$4,'[1]Territory Definitions'!$D$4:$M$4,0))&lt;&gt;1,"NOT IN TERRITORY",IF(COUNTIFS('[1]Blackout Brand Fam Areas (Enc)'!$B$6:$B$998,$A29,'[1]Blackout Brand Fam Areas (Enc)'!$C$6:$C$998,E$4,'[1]Blackout Brand Fam Areas (Enc)'!$D$6:$D$998,"Inactive")&gt;0,"BLOCKED","CAN SELL")))))</f>
        <v>CAN SELL</v>
      </c>
      <c r="F29" s="11" t="str">
        <f>IF($A29="","",_xlfn.LET(_xlpm.t,MATCH($B29,'[1]Territory Definitions'!$B$5:$B$14,0),IF(ISNA(_xlpm.t),"NO TERRITORY",IF(INDEX('[1]Territory Definitions'!$D$5:$M$14,_xlpm.t,MATCH(F$4,'[1]Territory Definitions'!$D$4:$M$4,0))&lt;&gt;1,"NOT IN TERRITORY",IF(COUNTIFS('[1]Blackout Brand Fam Areas (Enc)'!$B$6:$B$998,$A29,'[1]Blackout Brand Fam Areas (Enc)'!$C$6:$C$998,F$4,'[1]Blackout Brand Fam Areas (Enc)'!$D$6:$D$998,"Inactive")&gt;0,"BLOCKED","CAN SELL")))))</f>
        <v>NOT IN TERRITORY</v>
      </c>
      <c r="G29" s="11" t="str">
        <f>IF($A29="","",_xlfn.LET(_xlpm.t,MATCH($B29,'[1]Territory Definitions'!$B$5:$B$14,0),IF(ISNA(_xlpm.t),"NO TERRITORY",IF(INDEX('[1]Territory Definitions'!$D$5:$M$14,_xlpm.t,MATCH(G$4,'[1]Territory Definitions'!$D$4:$M$4,0))&lt;&gt;1,"NOT IN TERRITORY",IF(COUNTIFS('[1]Blackout Brand Fam Areas (Enc)'!$B$6:$B$998,$A29,'[1]Blackout Brand Fam Areas (Enc)'!$C$6:$C$998,G$4,'[1]Blackout Brand Fam Areas (Enc)'!$D$6:$D$998,"Inactive")&gt;0,"BLOCKED","CAN SELL")))))</f>
        <v>NOT IN TERRITORY</v>
      </c>
      <c r="H29" s="11" t="str">
        <f>IF($A29="","",_xlfn.LET(_xlpm.t,MATCH($B29,'[1]Territory Definitions'!$B$5:$B$14,0),IF(ISNA(_xlpm.t),"NO TERRITORY",IF(INDEX('[1]Territory Definitions'!$D$5:$M$14,_xlpm.t,MATCH(H$4,'[1]Territory Definitions'!$D$4:$M$4,0))&lt;&gt;1,"NOT IN TERRITORY",IF(COUNTIFS('[1]Blackout Brand Fam Areas (Enc)'!$B$6:$B$998,$A29,'[1]Blackout Brand Fam Areas (Enc)'!$C$6:$C$998,H$4,'[1]Blackout Brand Fam Areas (Enc)'!$D$6:$D$998,"Inactive")&gt;0,"BLOCKED","CAN SELL")))))</f>
        <v>NOT IN TERRITORY</v>
      </c>
      <c r="I29" s="11" t="str">
        <f>IF($A29="","",_xlfn.LET(_xlpm.t,MATCH($B29,'[1]Territory Definitions'!$B$5:$B$14,0),IF(ISNA(_xlpm.t),"NO TERRITORY",IF(INDEX('[1]Territory Definitions'!$D$5:$M$14,_xlpm.t,MATCH(I$4,'[1]Territory Definitions'!$D$4:$M$4,0))&lt;&gt;1,"NOT IN TERRITORY",IF(COUNTIFS('[1]Blackout Brand Fam Areas (Enc)'!$B$6:$B$998,$A29,'[1]Blackout Brand Fam Areas (Enc)'!$C$6:$C$998,I$4,'[1]Blackout Brand Fam Areas (Enc)'!$D$6:$D$998,"Inactive")&gt;0,"BLOCKED","CAN SELL")))))</f>
        <v>CAN SELL</v>
      </c>
      <c r="J29" s="11" t="str">
        <f>IF($A29="","",_xlfn.LET(_xlpm.t,MATCH($B29,'[1]Territory Definitions'!$B$5:$B$14,0),IF(ISNA(_xlpm.t),"NO TERRITORY",IF(INDEX('[1]Territory Definitions'!$D$5:$M$14,_xlpm.t,MATCH(J$4,'[1]Territory Definitions'!$D$4:$M$4,0))&lt;&gt;1,"NOT IN TERRITORY",IF(COUNTIFS('[1]Blackout Brand Fam Areas (Enc)'!$B$6:$B$998,$A29,'[1]Blackout Brand Fam Areas (Enc)'!$C$6:$C$998,J$4,'[1]Blackout Brand Fam Areas (Enc)'!$D$6:$D$998,"Inactive")&gt;0,"BLOCKED","CAN SELL")))))</f>
        <v>CAN SELL</v>
      </c>
      <c r="K29" s="11" t="str">
        <f>IF($A29="","",_xlfn.LET(_xlpm.t,MATCH($B29,'[1]Territory Definitions'!$B$5:$B$14,0),IF(ISNA(_xlpm.t),"NO TERRITORY",IF(INDEX('[1]Territory Definitions'!$D$5:$M$14,_xlpm.t,MATCH(K$4,'[1]Territory Definitions'!$D$4:$M$4,0))&lt;&gt;1,"NOT IN TERRITORY",IF(COUNTIFS('[1]Blackout Brand Fam Areas (Enc)'!$B$6:$B$998,$A29,'[1]Blackout Brand Fam Areas (Enc)'!$C$6:$C$998,K$4,'[1]Blackout Brand Fam Areas (Enc)'!$D$6:$D$998,"Inactive")&gt;0,"BLOCKED","CAN SELL")))))</f>
        <v>NOT IN TERRITORY</v>
      </c>
      <c r="L29" s="11" t="str">
        <f>IF($A29="","",_xlfn.LET(_xlpm.t,MATCH($B29,'[1]Territory Definitions'!$B$5:$B$14,0),IF(ISNA(_xlpm.t),"NO TERRITORY",IF(INDEX('[1]Territory Definitions'!$D$5:$M$14,_xlpm.t,MATCH(L$4,'[1]Territory Definitions'!$D$4:$M$4,0))&lt;&gt;1,"NOT IN TERRITORY",IF(COUNTIFS('[1]Blackout Brand Fam Areas (Enc)'!$B$6:$B$998,$A29,'[1]Blackout Brand Fam Areas (Enc)'!$C$6:$C$998,L$4,'[1]Blackout Brand Fam Areas (Enc)'!$D$6:$D$998,"Inactive")&gt;0,"BLOCKED","CAN SELL")))))</f>
        <v>CAN SELL</v>
      </c>
      <c r="M29" s="12">
        <f>IF($A29="","",COUNTIF($C29:$L29,"CAN SELL"))</f>
        <v>6</v>
      </c>
      <c r="N29" s="13" cm="1">
        <f t="array" ref="N29">IF($A29="","",SUMPRODUCT(($C29:$L29="CAN SELL")*$C$3:$L$3))</f>
        <v>1596</v>
      </c>
      <c r="O29" s="14" t="str">
        <f>IF($A29="","",IF(COUNTIF($A$5:$A$299,$A29)&gt;1,"DUPLICATE - two different territories assigned",IF($B29="** NO TERRITORY SET **","No territory on Brand Family Territory (Enc)","")))</f>
        <v/>
      </c>
      <c r="P29" s="18" t="str">
        <f>IF($A29="","",IFERROR(INDEX([1]Products!$H$4:$H$4801,MATCH($A29,[1]Products!$G$4:$G$4801,0)),"(no products)"))</f>
        <v>Prestige Beverage Group</v>
      </c>
      <c r="Q29" s="19">
        <f>IF($A29="","",COUNTIFS([1]Products!$G$4:$G$4801,$A29,[1]Products!$L$4:$L$4801,"Yes"))</f>
        <v>1</v>
      </c>
      <c r="R29" s="19">
        <f>IF($A29="","",COUNTIFS([1]Products!$G$4:$G$4801,$A29,[1]Products!$L$4:$L$4801,"Yes",[1]Products!$K$4:$K$4801,"Draft"))</f>
        <v>0</v>
      </c>
      <c r="S29" s="19">
        <f>IF($A29="","",COUNTIFS([1]Products!$G$4:$G$4801,$A29,[1]Products!$L$4:$L$4801,"Yes",[1]Products!$K$4:$K$4801,"Package"))</f>
        <v>0</v>
      </c>
      <c r="T29" s="20" t="str" cm="1">
        <f t="array" ref="T29">IF($A29="","",_xlfn.IFS($Q29=0,"NO ACTIVE SKUs",AND($R29&gt;0,$S29&gt;0),"Draft &amp; Package",$R29&gt;0,"Draft only",TRUE,"Package only"))</f>
        <v>Package only</v>
      </c>
    </row>
    <row r="30" spans="1:20" x14ac:dyDescent="0.2">
      <c r="A30" s="9" t="str">
        <v>Big Mans Brew</v>
      </c>
      <c r="B30" s="10" t="str">
        <f>IF($A30="","",_xlfn.XLOOKUP($A30,'[1]Brand Family Territory (Enc)'!$A:$A,'[1]Brand Family Territory (Enc)'!$B:$B,"** NO TERRITORY SET **"))</f>
        <v>All Counties</v>
      </c>
      <c r="C30" s="11" t="str">
        <f>IF($A30="","",_xlfn.LET(_xlpm.t,MATCH($B30,'[1]Territory Definitions'!$B$5:$B$14,0),IF(ISNA(_xlpm.t),"NO TERRITORY",IF(INDEX('[1]Territory Definitions'!$D$5:$M$14,_xlpm.t,MATCH(C$4,'[1]Territory Definitions'!$D$4:$M$4,0))&lt;&gt;1,"NOT IN TERRITORY",IF(COUNTIFS('[1]Blackout Brand Fam Areas (Enc)'!$B$6:$B$998,$A30,'[1]Blackout Brand Fam Areas (Enc)'!$C$6:$C$998,C$4,'[1]Blackout Brand Fam Areas (Enc)'!$D$6:$D$998,"Inactive")&gt;0,"BLOCKED","CAN SELL")))))</f>
        <v>CAN SELL</v>
      </c>
      <c r="D30" s="11" t="str">
        <f>IF($A30="","",_xlfn.LET(_xlpm.t,MATCH($B30,'[1]Territory Definitions'!$B$5:$B$14,0),IF(ISNA(_xlpm.t),"NO TERRITORY",IF(INDEX('[1]Territory Definitions'!$D$5:$M$14,_xlpm.t,MATCH(D$4,'[1]Territory Definitions'!$D$4:$M$4,0))&lt;&gt;1,"NOT IN TERRITORY",IF(COUNTIFS('[1]Blackout Brand Fam Areas (Enc)'!$B$6:$B$998,$A30,'[1]Blackout Brand Fam Areas (Enc)'!$C$6:$C$998,D$4,'[1]Blackout Brand Fam Areas (Enc)'!$D$6:$D$998,"Inactive")&gt;0,"BLOCKED","CAN SELL")))))</f>
        <v>CAN SELL</v>
      </c>
      <c r="E30" s="11" t="str">
        <f>IF($A30="","",_xlfn.LET(_xlpm.t,MATCH($B30,'[1]Territory Definitions'!$B$5:$B$14,0),IF(ISNA(_xlpm.t),"NO TERRITORY",IF(INDEX('[1]Territory Definitions'!$D$5:$M$14,_xlpm.t,MATCH(E$4,'[1]Territory Definitions'!$D$4:$M$4,0))&lt;&gt;1,"NOT IN TERRITORY",IF(COUNTIFS('[1]Blackout Brand Fam Areas (Enc)'!$B$6:$B$998,$A30,'[1]Blackout Brand Fam Areas (Enc)'!$C$6:$C$998,E$4,'[1]Blackout Brand Fam Areas (Enc)'!$D$6:$D$998,"Inactive")&gt;0,"BLOCKED","CAN SELL")))))</f>
        <v>CAN SELL</v>
      </c>
      <c r="F30" s="11" t="str">
        <f>IF($A30="","",_xlfn.LET(_xlpm.t,MATCH($B30,'[1]Territory Definitions'!$B$5:$B$14,0),IF(ISNA(_xlpm.t),"NO TERRITORY",IF(INDEX('[1]Territory Definitions'!$D$5:$M$14,_xlpm.t,MATCH(F$4,'[1]Territory Definitions'!$D$4:$M$4,0))&lt;&gt;1,"NOT IN TERRITORY",IF(COUNTIFS('[1]Blackout Brand Fam Areas (Enc)'!$B$6:$B$998,$A30,'[1]Blackout Brand Fam Areas (Enc)'!$C$6:$C$998,F$4,'[1]Blackout Brand Fam Areas (Enc)'!$D$6:$D$998,"Inactive")&gt;0,"BLOCKED","CAN SELL")))))</f>
        <v>CAN SELL</v>
      </c>
      <c r="G30" s="11" t="str">
        <f>IF($A30="","",_xlfn.LET(_xlpm.t,MATCH($B30,'[1]Territory Definitions'!$B$5:$B$14,0),IF(ISNA(_xlpm.t),"NO TERRITORY",IF(INDEX('[1]Territory Definitions'!$D$5:$M$14,_xlpm.t,MATCH(G$4,'[1]Territory Definitions'!$D$4:$M$4,0))&lt;&gt;1,"NOT IN TERRITORY",IF(COUNTIFS('[1]Blackout Brand Fam Areas (Enc)'!$B$6:$B$998,$A30,'[1]Blackout Brand Fam Areas (Enc)'!$C$6:$C$998,G$4,'[1]Blackout Brand Fam Areas (Enc)'!$D$6:$D$998,"Inactive")&gt;0,"BLOCKED","CAN SELL")))))</f>
        <v>CAN SELL</v>
      </c>
      <c r="H30" s="11" t="str">
        <f>IF($A30="","",_xlfn.LET(_xlpm.t,MATCH($B30,'[1]Territory Definitions'!$B$5:$B$14,0),IF(ISNA(_xlpm.t),"NO TERRITORY",IF(INDEX('[1]Territory Definitions'!$D$5:$M$14,_xlpm.t,MATCH(H$4,'[1]Territory Definitions'!$D$4:$M$4,0))&lt;&gt;1,"NOT IN TERRITORY",IF(COUNTIFS('[1]Blackout Brand Fam Areas (Enc)'!$B$6:$B$998,$A30,'[1]Blackout Brand Fam Areas (Enc)'!$C$6:$C$998,H$4,'[1]Blackout Brand Fam Areas (Enc)'!$D$6:$D$998,"Inactive")&gt;0,"BLOCKED","CAN SELL")))))</f>
        <v>CAN SELL</v>
      </c>
      <c r="I30" s="11" t="str">
        <f>IF($A30="","",_xlfn.LET(_xlpm.t,MATCH($B30,'[1]Territory Definitions'!$B$5:$B$14,0),IF(ISNA(_xlpm.t),"NO TERRITORY",IF(INDEX('[1]Territory Definitions'!$D$5:$M$14,_xlpm.t,MATCH(I$4,'[1]Territory Definitions'!$D$4:$M$4,0))&lt;&gt;1,"NOT IN TERRITORY",IF(COUNTIFS('[1]Blackout Brand Fam Areas (Enc)'!$B$6:$B$998,$A30,'[1]Blackout Brand Fam Areas (Enc)'!$C$6:$C$998,I$4,'[1]Blackout Brand Fam Areas (Enc)'!$D$6:$D$998,"Inactive")&gt;0,"BLOCKED","CAN SELL")))))</f>
        <v>CAN SELL</v>
      </c>
      <c r="J30" s="11" t="str">
        <f>IF($A30="","",_xlfn.LET(_xlpm.t,MATCH($B30,'[1]Territory Definitions'!$B$5:$B$14,0),IF(ISNA(_xlpm.t),"NO TERRITORY",IF(INDEX('[1]Territory Definitions'!$D$5:$M$14,_xlpm.t,MATCH(J$4,'[1]Territory Definitions'!$D$4:$M$4,0))&lt;&gt;1,"NOT IN TERRITORY",IF(COUNTIFS('[1]Blackout Brand Fam Areas (Enc)'!$B$6:$B$998,$A30,'[1]Blackout Brand Fam Areas (Enc)'!$C$6:$C$998,J$4,'[1]Blackout Brand Fam Areas (Enc)'!$D$6:$D$998,"Inactive")&gt;0,"BLOCKED","CAN SELL")))))</f>
        <v>CAN SELL</v>
      </c>
      <c r="K30" s="11" t="str">
        <f>IF($A30="","",_xlfn.LET(_xlpm.t,MATCH($B30,'[1]Territory Definitions'!$B$5:$B$14,0),IF(ISNA(_xlpm.t),"NO TERRITORY",IF(INDEX('[1]Territory Definitions'!$D$5:$M$14,_xlpm.t,MATCH(K$4,'[1]Territory Definitions'!$D$4:$M$4,0))&lt;&gt;1,"NOT IN TERRITORY",IF(COUNTIFS('[1]Blackout Brand Fam Areas (Enc)'!$B$6:$B$998,$A30,'[1]Blackout Brand Fam Areas (Enc)'!$C$6:$C$998,K$4,'[1]Blackout Brand Fam Areas (Enc)'!$D$6:$D$998,"Inactive")&gt;0,"BLOCKED","CAN SELL")))))</f>
        <v>CAN SELL</v>
      </c>
      <c r="L30" s="11" t="str">
        <f>IF($A30="","",_xlfn.LET(_xlpm.t,MATCH($B30,'[1]Territory Definitions'!$B$5:$B$14,0),IF(ISNA(_xlpm.t),"NO TERRITORY",IF(INDEX('[1]Territory Definitions'!$D$5:$M$14,_xlpm.t,MATCH(L$4,'[1]Territory Definitions'!$D$4:$M$4,0))&lt;&gt;1,"NOT IN TERRITORY",IF(COUNTIFS('[1]Blackout Brand Fam Areas (Enc)'!$B$6:$B$998,$A30,'[1]Blackout Brand Fam Areas (Enc)'!$C$6:$C$998,L$4,'[1]Blackout Brand Fam Areas (Enc)'!$D$6:$D$998,"Inactive")&gt;0,"BLOCKED","CAN SELL")))))</f>
        <v>CAN SELL</v>
      </c>
      <c r="M30" s="12">
        <f>IF($A30="","",COUNTIF($C30:$L30,"CAN SELL"))</f>
        <v>10</v>
      </c>
      <c r="N30" s="13" cm="1">
        <f t="array" ref="N30">IF($A30="","",SUMPRODUCT(($C30:$L30="CAN SELL")*$C$3:$L$3))</f>
        <v>2306</v>
      </c>
      <c r="O30" s="14" t="str">
        <f>IF($A30="","",IF(COUNTIF($A$5:$A$299,$A30)&gt;1,"DUPLICATE - two different territories assigned",IF($B30="** NO TERRITORY SET **","No territory on Brand Family Territory (Enc)","")))</f>
        <v/>
      </c>
      <c r="P30" s="18" t="str">
        <f>IF($A30="","",IFERROR(INDEX([1]Products!$H$4:$H$4801,MATCH($A30,[1]Products!$G$4:$G$4801,0)),"(no products)"))</f>
        <v>Flying Fish</v>
      </c>
      <c r="Q30" s="19">
        <f>IF($A30="","",COUNTIFS([1]Products!$G$4:$G$4801,$A30,[1]Products!$L$4:$L$4801,"Yes"))</f>
        <v>2</v>
      </c>
      <c r="R30" s="19">
        <f>IF($A30="","",COUNTIFS([1]Products!$G$4:$G$4801,$A30,[1]Products!$L$4:$L$4801,"Yes",[1]Products!$K$4:$K$4801,"Draft"))</f>
        <v>2</v>
      </c>
      <c r="S30" s="19">
        <f>IF($A30="","",COUNTIFS([1]Products!$G$4:$G$4801,$A30,[1]Products!$L$4:$L$4801,"Yes",[1]Products!$K$4:$K$4801,"Package"))</f>
        <v>0</v>
      </c>
      <c r="T30" s="20" t="str" cm="1">
        <f t="array" ref="T30">IF($A30="","",_xlfn.IFS($Q30=0,"NO ACTIVE SKUs",AND($R30&gt;0,$S30&gt;0),"Draft &amp; Package",$R30&gt;0,"Draft only",TRUE,"Package only"))</f>
        <v>Draft only</v>
      </c>
    </row>
    <row r="31" spans="1:20" x14ac:dyDescent="0.2">
      <c r="A31" s="9" t="str">
        <v>Birra Moretti</v>
      </c>
      <c r="B31" s="10" t="str">
        <f>IF($A31="","",_xlfn.XLOOKUP($A31,'[1]Brand Family Territory (Enc)'!$A:$A,'[1]Brand Family Territory (Enc)'!$B:$B,"** NO TERRITORY SET **"))</f>
        <v>Core + Morris Communities</v>
      </c>
      <c r="C31" s="11" t="str">
        <f>IF($A31="","",_xlfn.LET(_xlpm.t,MATCH($B31,'[1]Territory Definitions'!$B$5:$B$14,0),IF(ISNA(_xlpm.t),"NO TERRITORY",IF(INDEX('[1]Territory Definitions'!$D$5:$M$14,_xlpm.t,MATCH(C$4,'[1]Territory Definitions'!$D$4:$M$4,0))&lt;&gt;1,"NOT IN TERRITORY",IF(COUNTIFS('[1]Blackout Brand Fam Areas (Enc)'!$B$6:$B$998,$A31,'[1]Blackout Brand Fam Areas (Enc)'!$C$6:$C$998,C$4,'[1]Blackout Brand Fam Areas (Enc)'!$D$6:$D$998,"Inactive")&gt;0,"BLOCKED","CAN SELL")))))</f>
        <v>CAN SELL</v>
      </c>
      <c r="D31" s="11" t="str">
        <f>IF($A31="","",_xlfn.LET(_xlpm.t,MATCH($B31,'[1]Territory Definitions'!$B$5:$B$14,0),IF(ISNA(_xlpm.t),"NO TERRITORY",IF(INDEX('[1]Territory Definitions'!$D$5:$M$14,_xlpm.t,MATCH(D$4,'[1]Territory Definitions'!$D$4:$M$4,0))&lt;&gt;1,"NOT IN TERRITORY",IF(COUNTIFS('[1]Blackout Brand Fam Areas (Enc)'!$B$6:$B$998,$A31,'[1]Blackout Brand Fam Areas (Enc)'!$C$6:$C$998,D$4,'[1]Blackout Brand Fam Areas (Enc)'!$D$6:$D$998,"Inactive")&gt;0,"BLOCKED","CAN SELL")))))</f>
        <v>CAN SELL</v>
      </c>
      <c r="E31" s="11" t="str">
        <f>IF($A31="","",_xlfn.LET(_xlpm.t,MATCH($B31,'[1]Territory Definitions'!$B$5:$B$14,0),IF(ISNA(_xlpm.t),"NO TERRITORY",IF(INDEX('[1]Territory Definitions'!$D$5:$M$14,_xlpm.t,MATCH(E$4,'[1]Territory Definitions'!$D$4:$M$4,0))&lt;&gt;1,"NOT IN TERRITORY",IF(COUNTIFS('[1]Blackout Brand Fam Areas (Enc)'!$B$6:$B$998,$A31,'[1]Blackout Brand Fam Areas (Enc)'!$C$6:$C$998,E$4,'[1]Blackout Brand Fam Areas (Enc)'!$D$6:$D$998,"Inactive")&gt;0,"BLOCKED","CAN SELL")))))</f>
        <v>CAN SELL</v>
      </c>
      <c r="F31" s="11" t="str">
        <f>IF($A31="","",_xlfn.LET(_xlpm.t,MATCH($B31,'[1]Territory Definitions'!$B$5:$B$14,0),IF(ISNA(_xlpm.t),"NO TERRITORY",IF(INDEX('[1]Territory Definitions'!$D$5:$M$14,_xlpm.t,MATCH(F$4,'[1]Territory Definitions'!$D$4:$M$4,0))&lt;&gt;1,"NOT IN TERRITORY",IF(COUNTIFS('[1]Blackout Brand Fam Areas (Enc)'!$B$6:$B$998,$A31,'[1]Blackout Brand Fam Areas (Enc)'!$C$6:$C$998,F$4,'[1]Blackout Brand Fam Areas (Enc)'!$D$6:$D$998,"Inactive")&gt;0,"BLOCKED","CAN SELL")))))</f>
        <v>NOT IN TERRITORY</v>
      </c>
      <c r="G31" s="11" t="str">
        <f>IF($A31="","",_xlfn.LET(_xlpm.t,MATCH($B31,'[1]Territory Definitions'!$B$5:$B$14,0),IF(ISNA(_xlpm.t),"NO TERRITORY",IF(INDEX('[1]Territory Definitions'!$D$5:$M$14,_xlpm.t,MATCH(G$4,'[1]Territory Definitions'!$D$4:$M$4,0))&lt;&gt;1,"NOT IN TERRITORY",IF(COUNTIFS('[1]Blackout Brand Fam Areas (Enc)'!$B$6:$B$998,$A31,'[1]Blackout Brand Fam Areas (Enc)'!$C$6:$C$998,G$4,'[1]Blackout Brand Fam Areas (Enc)'!$D$6:$D$998,"Inactive")&gt;0,"BLOCKED","CAN SELL")))))</f>
        <v>NOT IN TERRITORY</v>
      </c>
      <c r="H31" s="11" t="str">
        <f>IF($A31="","",_xlfn.LET(_xlpm.t,MATCH($B31,'[1]Territory Definitions'!$B$5:$B$14,0),IF(ISNA(_xlpm.t),"NO TERRITORY",IF(INDEX('[1]Territory Definitions'!$D$5:$M$14,_xlpm.t,MATCH(H$4,'[1]Territory Definitions'!$D$4:$M$4,0))&lt;&gt;1,"NOT IN TERRITORY",IF(COUNTIFS('[1]Blackout Brand Fam Areas (Enc)'!$B$6:$B$998,$A31,'[1]Blackout Brand Fam Areas (Enc)'!$C$6:$C$998,H$4,'[1]Blackout Brand Fam Areas (Enc)'!$D$6:$D$998,"Inactive")&gt;0,"BLOCKED","CAN SELL")))))</f>
        <v>NOT IN TERRITORY</v>
      </c>
      <c r="I31" s="11" t="str">
        <f>IF($A31="","",_xlfn.LET(_xlpm.t,MATCH($B31,'[1]Territory Definitions'!$B$5:$B$14,0),IF(ISNA(_xlpm.t),"NO TERRITORY",IF(INDEX('[1]Territory Definitions'!$D$5:$M$14,_xlpm.t,MATCH(I$4,'[1]Territory Definitions'!$D$4:$M$4,0))&lt;&gt;1,"NOT IN TERRITORY",IF(COUNTIFS('[1]Blackout Brand Fam Areas (Enc)'!$B$6:$B$998,$A31,'[1]Blackout Brand Fam Areas (Enc)'!$C$6:$C$998,I$4,'[1]Blackout Brand Fam Areas (Enc)'!$D$6:$D$998,"Inactive")&gt;0,"BLOCKED","CAN SELL")))))</f>
        <v>NOT IN TERRITORY</v>
      </c>
      <c r="J31" s="11" t="str">
        <f>IF($A31="","",_xlfn.LET(_xlpm.t,MATCH($B31,'[1]Territory Definitions'!$B$5:$B$14,0),IF(ISNA(_xlpm.t),"NO TERRITORY",IF(INDEX('[1]Territory Definitions'!$D$5:$M$14,_xlpm.t,MATCH(J$4,'[1]Territory Definitions'!$D$4:$M$4,0))&lt;&gt;1,"NOT IN TERRITORY",IF(COUNTIFS('[1]Blackout Brand Fam Areas (Enc)'!$B$6:$B$998,$A31,'[1]Blackout Brand Fam Areas (Enc)'!$C$6:$C$998,J$4,'[1]Blackout Brand Fam Areas (Enc)'!$D$6:$D$998,"Inactive")&gt;0,"BLOCKED","CAN SELL")))))</f>
        <v>BLOCKED</v>
      </c>
      <c r="K31" s="11" t="str">
        <f>IF($A31="","",_xlfn.LET(_xlpm.t,MATCH($B31,'[1]Territory Definitions'!$B$5:$B$14,0),IF(ISNA(_xlpm.t),"NO TERRITORY",IF(INDEX('[1]Territory Definitions'!$D$5:$M$14,_xlpm.t,MATCH(K$4,'[1]Territory Definitions'!$D$4:$M$4,0))&lt;&gt;1,"NOT IN TERRITORY",IF(COUNTIFS('[1]Blackout Brand Fam Areas (Enc)'!$B$6:$B$998,$A31,'[1]Blackout Brand Fam Areas (Enc)'!$C$6:$C$998,K$4,'[1]Blackout Brand Fam Areas (Enc)'!$D$6:$D$998,"Inactive")&gt;0,"BLOCKED","CAN SELL")))))</f>
        <v>NOT IN TERRITORY</v>
      </c>
      <c r="L31" s="11" t="str">
        <f>IF($A31="","",_xlfn.LET(_xlpm.t,MATCH($B31,'[1]Territory Definitions'!$B$5:$B$14,0),IF(ISNA(_xlpm.t),"NO TERRITORY",IF(INDEX('[1]Territory Definitions'!$D$5:$M$14,_xlpm.t,MATCH(L$4,'[1]Territory Definitions'!$D$4:$M$4,0))&lt;&gt;1,"NOT IN TERRITORY",IF(COUNTIFS('[1]Blackout Brand Fam Areas (Enc)'!$B$6:$B$998,$A31,'[1]Blackout Brand Fam Areas (Enc)'!$C$6:$C$998,L$4,'[1]Blackout Brand Fam Areas (Enc)'!$D$6:$D$998,"Inactive")&gt;0,"BLOCKED","CAN SELL")))))</f>
        <v>CAN SELL</v>
      </c>
      <c r="M31" s="12">
        <f>IF($A31="","",COUNTIF($C31:$L31,"CAN SELL"))</f>
        <v>4</v>
      </c>
      <c r="N31" s="13" cm="1">
        <f t="array" ref="N31">IF($A31="","",SUMPRODUCT(($C31:$L31="CAN SELL")*$C$3:$L$3))</f>
        <v>1318</v>
      </c>
      <c r="O31" s="14" t="str">
        <f>IF($A31="","",IF(COUNTIF($A$5:$A$299,$A31)&gt;1,"DUPLICATE - two different territories assigned",IF($B31="** NO TERRITORY SET **","No territory on Brand Family Territory (Enc)","")))</f>
        <v/>
      </c>
      <c r="P31" s="18" t="str">
        <f>IF($A31="","",IFERROR(INDEX([1]Products!$H$4:$H$4801,MATCH($A31,[1]Products!$G$4:$G$4801,0)),"(no products)"))</f>
        <v>US Beverage</v>
      </c>
      <c r="Q31" s="19">
        <f>IF($A31="","",COUNTIFS([1]Products!$G$4:$G$4801,$A31,[1]Products!$L$4:$L$4801,"Yes"))</f>
        <v>1</v>
      </c>
      <c r="R31" s="19">
        <f>IF($A31="","",COUNTIFS([1]Products!$G$4:$G$4801,$A31,[1]Products!$L$4:$L$4801,"Yes",[1]Products!$K$4:$K$4801,"Draft"))</f>
        <v>0</v>
      </c>
      <c r="S31" s="19">
        <f>IF($A31="","",COUNTIFS([1]Products!$G$4:$G$4801,$A31,[1]Products!$L$4:$L$4801,"Yes",[1]Products!$K$4:$K$4801,"Package"))</f>
        <v>1</v>
      </c>
      <c r="T31" s="20" t="str" cm="1">
        <f t="array" ref="T31">IF($A31="","",_xlfn.IFS($Q31=0,"NO ACTIVE SKUs",AND($R31&gt;0,$S31&gt;0),"Draft &amp; Package",$R31&gt;0,"Draft only",TRUE,"Package only"))</f>
        <v>Package only</v>
      </c>
    </row>
    <row r="32" spans="1:20" x14ac:dyDescent="0.2">
      <c r="A32" s="9" t="str">
        <v>BJ'S Private Label Brewa</v>
      </c>
      <c r="B32" s="10" t="str">
        <f>IF($A32="","",_xlfn.XLOOKUP($A32,'[1]Brand Family Territory (Enc)'!$A:$A,'[1]Brand Family Territory (Enc)'!$B:$B,"** NO TERRITORY SET **"))</f>
        <v>All Counties</v>
      </c>
      <c r="C32" s="11" t="str">
        <f>IF($A32="","",_xlfn.LET(_xlpm.t,MATCH($B32,'[1]Territory Definitions'!$B$5:$B$14,0),IF(ISNA(_xlpm.t),"NO TERRITORY",IF(INDEX('[1]Territory Definitions'!$D$5:$M$14,_xlpm.t,MATCH(C$4,'[1]Territory Definitions'!$D$4:$M$4,0))&lt;&gt;1,"NOT IN TERRITORY",IF(COUNTIFS('[1]Blackout Brand Fam Areas (Enc)'!$B$6:$B$998,$A32,'[1]Blackout Brand Fam Areas (Enc)'!$C$6:$C$998,C$4,'[1]Blackout Brand Fam Areas (Enc)'!$D$6:$D$998,"Inactive")&gt;0,"BLOCKED","CAN SELL")))))</f>
        <v>CAN SELL</v>
      </c>
      <c r="D32" s="11" t="str">
        <f>IF($A32="","",_xlfn.LET(_xlpm.t,MATCH($B32,'[1]Territory Definitions'!$B$5:$B$14,0),IF(ISNA(_xlpm.t),"NO TERRITORY",IF(INDEX('[1]Territory Definitions'!$D$5:$M$14,_xlpm.t,MATCH(D$4,'[1]Territory Definitions'!$D$4:$M$4,0))&lt;&gt;1,"NOT IN TERRITORY",IF(COUNTIFS('[1]Blackout Brand Fam Areas (Enc)'!$B$6:$B$998,$A32,'[1]Blackout Brand Fam Areas (Enc)'!$C$6:$C$998,D$4,'[1]Blackout Brand Fam Areas (Enc)'!$D$6:$D$998,"Inactive")&gt;0,"BLOCKED","CAN SELL")))))</f>
        <v>CAN SELL</v>
      </c>
      <c r="E32" s="11" t="str">
        <f>IF($A32="","",_xlfn.LET(_xlpm.t,MATCH($B32,'[1]Territory Definitions'!$B$5:$B$14,0),IF(ISNA(_xlpm.t),"NO TERRITORY",IF(INDEX('[1]Territory Definitions'!$D$5:$M$14,_xlpm.t,MATCH(E$4,'[1]Territory Definitions'!$D$4:$M$4,0))&lt;&gt;1,"NOT IN TERRITORY",IF(COUNTIFS('[1]Blackout Brand Fam Areas (Enc)'!$B$6:$B$998,$A32,'[1]Blackout Brand Fam Areas (Enc)'!$C$6:$C$998,E$4,'[1]Blackout Brand Fam Areas (Enc)'!$D$6:$D$998,"Inactive")&gt;0,"BLOCKED","CAN SELL")))))</f>
        <v>CAN SELL</v>
      </c>
      <c r="F32" s="11" t="str">
        <f>IF($A32="","",_xlfn.LET(_xlpm.t,MATCH($B32,'[1]Territory Definitions'!$B$5:$B$14,0),IF(ISNA(_xlpm.t),"NO TERRITORY",IF(INDEX('[1]Territory Definitions'!$D$5:$M$14,_xlpm.t,MATCH(F$4,'[1]Territory Definitions'!$D$4:$M$4,0))&lt;&gt;1,"NOT IN TERRITORY",IF(COUNTIFS('[1]Blackout Brand Fam Areas (Enc)'!$B$6:$B$998,$A32,'[1]Blackout Brand Fam Areas (Enc)'!$C$6:$C$998,F$4,'[1]Blackout Brand Fam Areas (Enc)'!$D$6:$D$998,"Inactive")&gt;0,"BLOCKED","CAN SELL")))))</f>
        <v>BLOCKED</v>
      </c>
      <c r="G32" s="11" t="str">
        <f>IF($A32="","",_xlfn.LET(_xlpm.t,MATCH($B32,'[1]Territory Definitions'!$B$5:$B$14,0),IF(ISNA(_xlpm.t),"NO TERRITORY",IF(INDEX('[1]Territory Definitions'!$D$5:$M$14,_xlpm.t,MATCH(G$4,'[1]Territory Definitions'!$D$4:$M$4,0))&lt;&gt;1,"NOT IN TERRITORY",IF(COUNTIFS('[1]Blackout Brand Fam Areas (Enc)'!$B$6:$B$998,$A32,'[1]Blackout Brand Fam Areas (Enc)'!$C$6:$C$998,G$4,'[1]Blackout Brand Fam Areas (Enc)'!$D$6:$D$998,"Inactive")&gt;0,"BLOCKED","CAN SELL")))))</f>
        <v>BLOCKED</v>
      </c>
      <c r="H32" s="11" t="str">
        <f>IF($A32="","",_xlfn.LET(_xlpm.t,MATCH($B32,'[1]Territory Definitions'!$B$5:$B$14,0),IF(ISNA(_xlpm.t),"NO TERRITORY",IF(INDEX('[1]Territory Definitions'!$D$5:$M$14,_xlpm.t,MATCH(H$4,'[1]Territory Definitions'!$D$4:$M$4,0))&lt;&gt;1,"NOT IN TERRITORY",IF(COUNTIFS('[1]Blackout Brand Fam Areas (Enc)'!$B$6:$B$998,$A32,'[1]Blackout Brand Fam Areas (Enc)'!$C$6:$C$998,H$4,'[1]Blackout Brand Fam Areas (Enc)'!$D$6:$D$998,"Inactive")&gt;0,"BLOCKED","CAN SELL")))))</f>
        <v>BLOCKED</v>
      </c>
      <c r="I32" s="11" t="str">
        <f>IF($A32="","",_xlfn.LET(_xlpm.t,MATCH($B32,'[1]Territory Definitions'!$B$5:$B$14,0),IF(ISNA(_xlpm.t),"NO TERRITORY",IF(INDEX('[1]Territory Definitions'!$D$5:$M$14,_xlpm.t,MATCH(I$4,'[1]Territory Definitions'!$D$4:$M$4,0))&lt;&gt;1,"NOT IN TERRITORY",IF(COUNTIFS('[1]Blackout Brand Fam Areas (Enc)'!$B$6:$B$998,$A32,'[1]Blackout Brand Fam Areas (Enc)'!$C$6:$C$998,I$4,'[1]Blackout Brand Fam Areas (Enc)'!$D$6:$D$998,"Inactive")&gt;0,"BLOCKED","CAN SELL")))))</f>
        <v>CAN SELL</v>
      </c>
      <c r="J32" s="11" t="str">
        <f>IF($A32="","",_xlfn.LET(_xlpm.t,MATCH($B32,'[1]Territory Definitions'!$B$5:$B$14,0),IF(ISNA(_xlpm.t),"NO TERRITORY",IF(INDEX('[1]Territory Definitions'!$D$5:$M$14,_xlpm.t,MATCH(J$4,'[1]Territory Definitions'!$D$4:$M$4,0))&lt;&gt;1,"NOT IN TERRITORY",IF(COUNTIFS('[1]Blackout Brand Fam Areas (Enc)'!$B$6:$B$998,$A32,'[1]Blackout Brand Fam Areas (Enc)'!$C$6:$C$998,J$4,'[1]Blackout Brand Fam Areas (Enc)'!$D$6:$D$998,"Inactive")&gt;0,"BLOCKED","CAN SELL")))))</f>
        <v>CAN SELL</v>
      </c>
      <c r="K32" s="11" t="str">
        <f>IF($A32="","",_xlfn.LET(_xlpm.t,MATCH($B32,'[1]Territory Definitions'!$B$5:$B$14,0),IF(ISNA(_xlpm.t),"NO TERRITORY",IF(INDEX('[1]Territory Definitions'!$D$5:$M$14,_xlpm.t,MATCH(K$4,'[1]Territory Definitions'!$D$4:$M$4,0))&lt;&gt;1,"NOT IN TERRITORY",IF(COUNTIFS('[1]Blackout Brand Fam Areas (Enc)'!$B$6:$B$998,$A32,'[1]Blackout Brand Fam Areas (Enc)'!$C$6:$C$998,K$4,'[1]Blackout Brand Fam Areas (Enc)'!$D$6:$D$998,"Inactive")&gt;0,"BLOCKED","CAN SELL")))))</f>
        <v>BLOCKED</v>
      </c>
      <c r="L32" s="11" t="str">
        <f>IF($A32="","",_xlfn.LET(_xlpm.t,MATCH($B32,'[1]Territory Definitions'!$B$5:$B$14,0),IF(ISNA(_xlpm.t),"NO TERRITORY",IF(INDEX('[1]Territory Definitions'!$D$5:$M$14,_xlpm.t,MATCH(L$4,'[1]Territory Definitions'!$D$4:$M$4,0))&lt;&gt;1,"NOT IN TERRITORY",IF(COUNTIFS('[1]Blackout Brand Fam Areas (Enc)'!$B$6:$B$998,$A32,'[1]Blackout Brand Fam Areas (Enc)'!$C$6:$C$998,L$4,'[1]Blackout Brand Fam Areas (Enc)'!$D$6:$D$998,"Inactive")&gt;0,"BLOCKED","CAN SELL")))))</f>
        <v>CAN SELL</v>
      </c>
      <c r="M32" s="12">
        <f>IF($A32="","",COUNTIF($C32:$L32,"CAN SELL"))</f>
        <v>6</v>
      </c>
      <c r="N32" s="13" cm="1">
        <f t="array" ref="N32">IF($A32="","",SUMPRODUCT(($C32:$L32="CAN SELL")*$C$3:$L$3))</f>
        <v>1596</v>
      </c>
      <c r="O32" s="14" t="str">
        <f>IF($A32="","",IF(COUNTIF($A$5:$A$299,$A32)&gt;1,"DUPLICATE - two different territories assigned",IF($B32="** NO TERRITORY SET **","No territory on Brand Family Territory (Enc)","")))</f>
        <v/>
      </c>
      <c r="P32" s="18" t="str">
        <f>IF($A32="","",IFERROR(INDEX([1]Products!$H$4:$H$4801,MATCH($A32,[1]Products!$G$4:$G$4801,0)),"(no products)"))</f>
        <v>BJ'S Private Label Brew</v>
      </c>
      <c r="Q32" s="19">
        <f>IF($A32="","",COUNTIFS([1]Products!$G$4:$G$4801,$A32,[1]Products!$L$4:$L$4801,"Yes"))</f>
        <v>36</v>
      </c>
      <c r="R32" s="19">
        <f>IF($A32="","",COUNTIFS([1]Products!$G$4:$G$4801,$A32,[1]Products!$L$4:$L$4801,"Yes",[1]Products!$K$4:$K$4801,"Draft"))</f>
        <v>25</v>
      </c>
      <c r="S32" s="19">
        <f>IF($A32="","",COUNTIFS([1]Products!$G$4:$G$4801,$A32,[1]Products!$L$4:$L$4801,"Yes",[1]Products!$K$4:$K$4801,"Package"))</f>
        <v>11</v>
      </c>
      <c r="T32" s="20" t="str" cm="1">
        <f t="array" ref="T32">IF($A32="","",_xlfn.IFS($Q32=0,"NO ACTIVE SKUs",AND($R32&gt;0,$S32&gt;0),"Draft &amp; Package",$R32&gt;0,"Draft only",TRUE,"Package only"))</f>
        <v>Draft &amp; Package</v>
      </c>
    </row>
    <row r="33" spans="1:20" x14ac:dyDescent="0.2">
      <c r="A33" s="9" t="str">
        <v>Bloom Bubbles</v>
      </c>
      <c r="B33" s="10" t="str">
        <f>IF($A33="","",_xlfn.XLOOKUP($A33,'[1]Brand Family Territory (Enc)'!$A:$A,'[1]Brand Family Territory (Enc)'!$B:$B,"** NO TERRITORY SET **"))</f>
        <v>All Counties</v>
      </c>
      <c r="C33" s="11" t="str">
        <f>IF($A33="","",_xlfn.LET(_xlpm.t,MATCH($B33,'[1]Territory Definitions'!$B$5:$B$14,0),IF(ISNA(_xlpm.t),"NO TERRITORY",IF(INDEX('[1]Territory Definitions'!$D$5:$M$14,_xlpm.t,MATCH(C$4,'[1]Territory Definitions'!$D$4:$M$4,0))&lt;&gt;1,"NOT IN TERRITORY",IF(COUNTIFS('[1]Blackout Brand Fam Areas (Enc)'!$B$6:$B$998,$A33,'[1]Blackout Brand Fam Areas (Enc)'!$C$6:$C$998,C$4,'[1]Blackout Brand Fam Areas (Enc)'!$D$6:$D$998,"Inactive")&gt;0,"BLOCKED","CAN SELL")))))</f>
        <v>CAN SELL</v>
      </c>
      <c r="D33" s="11" t="str">
        <f>IF($A33="","",_xlfn.LET(_xlpm.t,MATCH($B33,'[1]Territory Definitions'!$B$5:$B$14,0),IF(ISNA(_xlpm.t),"NO TERRITORY",IF(INDEX('[1]Territory Definitions'!$D$5:$M$14,_xlpm.t,MATCH(D$4,'[1]Territory Definitions'!$D$4:$M$4,0))&lt;&gt;1,"NOT IN TERRITORY",IF(COUNTIFS('[1]Blackout Brand Fam Areas (Enc)'!$B$6:$B$998,$A33,'[1]Blackout Brand Fam Areas (Enc)'!$C$6:$C$998,D$4,'[1]Blackout Brand Fam Areas (Enc)'!$D$6:$D$998,"Inactive")&gt;0,"BLOCKED","CAN SELL")))))</f>
        <v>CAN SELL</v>
      </c>
      <c r="E33" s="11" t="str">
        <f>IF($A33="","",_xlfn.LET(_xlpm.t,MATCH($B33,'[1]Territory Definitions'!$B$5:$B$14,0),IF(ISNA(_xlpm.t),"NO TERRITORY",IF(INDEX('[1]Territory Definitions'!$D$5:$M$14,_xlpm.t,MATCH(E$4,'[1]Territory Definitions'!$D$4:$M$4,0))&lt;&gt;1,"NOT IN TERRITORY",IF(COUNTIFS('[1]Blackout Brand Fam Areas (Enc)'!$B$6:$B$998,$A33,'[1]Blackout Brand Fam Areas (Enc)'!$C$6:$C$998,E$4,'[1]Blackout Brand Fam Areas (Enc)'!$D$6:$D$998,"Inactive")&gt;0,"BLOCKED","CAN SELL")))))</f>
        <v>CAN SELL</v>
      </c>
      <c r="F33" s="11" t="str">
        <f>IF($A33="","",_xlfn.LET(_xlpm.t,MATCH($B33,'[1]Territory Definitions'!$B$5:$B$14,0),IF(ISNA(_xlpm.t),"NO TERRITORY",IF(INDEX('[1]Territory Definitions'!$D$5:$M$14,_xlpm.t,MATCH(F$4,'[1]Territory Definitions'!$D$4:$M$4,0))&lt;&gt;1,"NOT IN TERRITORY",IF(COUNTIFS('[1]Blackout Brand Fam Areas (Enc)'!$B$6:$B$998,$A33,'[1]Blackout Brand Fam Areas (Enc)'!$C$6:$C$998,F$4,'[1]Blackout Brand Fam Areas (Enc)'!$D$6:$D$998,"Inactive")&gt;0,"BLOCKED","CAN SELL")))))</f>
        <v>CAN SELL</v>
      </c>
      <c r="G33" s="11" t="str">
        <f>IF($A33="","",_xlfn.LET(_xlpm.t,MATCH($B33,'[1]Territory Definitions'!$B$5:$B$14,0),IF(ISNA(_xlpm.t),"NO TERRITORY",IF(INDEX('[1]Territory Definitions'!$D$5:$M$14,_xlpm.t,MATCH(G$4,'[1]Territory Definitions'!$D$4:$M$4,0))&lt;&gt;1,"NOT IN TERRITORY",IF(COUNTIFS('[1]Blackout Brand Fam Areas (Enc)'!$B$6:$B$998,$A33,'[1]Blackout Brand Fam Areas (Enc)'!$C$6:$C$998,G$4,'[1]Blackout Brand Fam Areas (Enc)'!$D$6:$D$998,"Inactive")&gt;0,"BLOCKED","CAN SELL")))))</f>
        <v>CAN SELL</v>
      </c>
      <c r="H33" s="11" t="str">
        <f>IF($A33="","",_xlfn.LET(_xlpm.t,MATCH($B33,'[1]Territory Definitions'!$B$5:$B$14,0),IF(ISNA(_xlpm.t),"NO TERRITORY",IF(INDEX('[1]Territory Definitions'!$D$5:$M$14,_xlpm.t,MATCH(H$4,'[1]Territory Definitions'!$D$4:$M$4,0))&lt;&gt;1,"NOT IN TERRITORY",IF(COUNTIFS('[1]Blackout Brand Fam Areas (Enc)'!$B$6:$B$998,$A33,'[1]Blackout Brand Fam Areas (Enc)'!$C$6:$C$998,H$4,'[1]Blackout Brand Fam Areas (Enc)'!$D$6:$D$998,"Inactive")&gt;0,"BLOCKED","CAN SELL")))))</f>
        <v>CAN SELL</v>
      </c>
      <c r="I33" s="11" t="str">
        <f>IF($A33="","",_xlfn.LET(_xlpm.t,MATCH($B33,'[1]Territory Definitions'!$B$5:$B$14,0),IF(ISNA(_xlpm.t),"NO TERRITORY",IF(INDEX('[1]Territory Definitions'!$D$5:$M$14,_xlpm.t,MATCH(I$4,'[1]Territory Definitions'!$D$4:$M$4,0))&lt;&gt;1,"NOT IN TERRITORY",IF(COUNTIFS('[1]Blackout Brand Fam Areas (Enc)'!$B$6:$B$998,$A33,'[1]Blackout Brand Fam Areas (Enc)'!$C$6:$C$998,I$4,'[1]Blackout Brand Fam Areas (Enc)'!$D$6:$D$998,"Inactive")&gt;0,"BLOCKED","CAN SELL")))))</f>
        <v>CAN SELL</v>
      </c>
      <c r="J33" s="11" t="str">
        <f>IF($A33="","",_xlfn.LET(_xlpm.t,MATCH($B33,'[1]Territory Definitions'!$B$5:$B$14,0),IF(ISNA(_xlpm.t),"NO TERRITORY",IF(INDEX('[1]Territory Definitions'!$D$5:$M$14,_xlpm.t,MATCH(J$4,'[1]Territory Definitions'!$D$4:$M$4,0))&lt;&gt;1,"NOT IN TERRITORY",IF(COUNTIFS('[1]Blackout Brand Fam Areas (Enc)'!$B$6:$B$998,$A33,'[1]Blackout Brand Fam Areas (Enc)'!$C$6:$C$998,J$4,'[1]Blackout Brand Fam Areas (Enc)'!$D$6:$D$998,"Inactive")&gt;0,"BLOCKED","CAN SELL")))))</f>
        <v>CAN SELL</v>
      </c>
      <c r="K33" s="11" t="str">
        <f>IF($A33="","",_xlfn.LET(_xlpm.t,MATCH($B33,'[1]Territory Definitions'!$B$5:$B$14,0),IF(ISNA(_xlpm.t),"NO TERRITORY",IF(INDEX('[1]Territory Definitions'!$D$5:$M$14,_xlpm.t,MATCH(K$4,'[1]Territory Definitions'!$D$4:$M$4,0))&lt;&gt;1,"NOT IN TERRITORY",IF(COUNTIFS('[1]Blackout Brand Fam Areas (Enc)'!$B$6:$B$998,$A33,'[1]Blackout Brand Fam Areas (Enc)'!$C$6:$C$998,K$4,'[1]Blackout Brand Fam Areas (Enc)'!$D$6:$D$998,"Inactive")&gt;0,"BLOCKED","CAN SELL")))))</f>
        <v>CAN SELL</v>
      </c>
      <c r="L33" s="11" t="str">
        <f>IF($A33="","",_xlfn.LET(_xlpm.t,MATCH($B33,'[1]Territory Definitions'!$B$5:$B$14,0),IF(ISNA(_xlpm.t),"NO TERRITORY",IF(INDEX('[1]Territory Definitions'!$D$5:$M$14,_xlpm.t,MATCH(L$4,'[1]Territory Definitions'!$D$4:$M$4,0))&lt;&gt;1,"NOT IN TERRITORY",IF(COUNTIFS('[1]Blackout Brand Fam Areas (Enc)'!$B$6:$B$998,$A33,'[1]Blackout Brand Fam Areas (Enc)'!$C$6:$C$998,L$4,'[1]Blackout Brand Fam Areas (Enc)'!$D$6:$D$998,"Inactive")&gt;0,"BLOCKED","CAN SELL")))))</f>
        <v>CAN SELL</v>
      </c>
      <c r="M33" s="12">
        <f>IF($A33="","",COUNTIF($C33:$L33,"CAN SELL"))</f>
        <v>10</v>
      </c>
      <c r="N33" s="13" cm="1">
        <f t="array" ref="N33">IF($A33="","",SUMPRODUCT(($C33:$L33="CAN SELL")*$C$3:$L$3))</f>
        <v>2306</v>
      </c>
      <c r="O33" s="14" t="str">
        <f>IF($A33="","",IF(COUNTIF($A$5:$A$299,$A33)&gt;1,"DUPLICATE - two different territories assigned",IF($B33="** NO TERRITORY SET **","No territory on Brand Family Territory (Enc)","")))</f>
        <v/>
      </c>
      <c r="P33" s="18" t="str">
        <f>IF($A33="","",IFERROR(INDEX([1]Products!$H$4:$H$4801,MATCH($A33,[1]Products!$G$4:$G$4801,0)),"(no products)"))</f>
        <v>Pio Imports</v>
      </c>
      <c r="Q33" s="19">
        <f>IF($A33="","",COUNTIFS([1]Products!$G$4:$G$4801,$A33,[1]Products!$L$4:$L$4801,"Yes"))</f>
        <v>1</v>
      </c>
      <c r="R33" s="19">
        <f>IF($A33="","",COUNTIFS([1]Products!$G$4:$G$4801,$A33,[1]Products!$L$4:$L$4801,"Yes",[1]Products!$K$4:$K$4801,"Draft"))</f>
        <v>0</v>
      </c>
      <c r="S33" s="19">
        <f>IF($A33="","",COUNTIFS([1]Products!$G$4:$G$4801,$A33,[1]Products!$L$4:$L$4801,"Yes",[1]Products!$K$4:$K$4801,"Package"))</f>
        <v>0</v>
      </c>
      <c r="T33" s="20" t="str" cm="1">
        <f t="array" ref="T33">IF($A33="","",_xlfn.IFS($Q33=0,"NO ACTIVE SKUs",AND($R33&gt;0,$S33&gt;0),"Draft &amp; Package",$R33&gt;0,"Draft only",TRUE,"Package only"))</f>
        <v>Package only</v>
      </c>
    </row>
    <row r="34" spans="1:20" x14ac:dyDescent="0.2">
      <c r="A34" s="9" t="str">
        <v>Blue Moon</v>
      </c>
      <c r="B34" s="10" t="str">
        <f>IF($A34="","",_xlfn.XLOOKUP($A34,'[1]Brand Family Territory (Enc)'!$A:$A,'[1]Brand Family Territory (Enc)'!$B:$B,"** NO TERRITORY SET **"))</f>
        <v>Core Market</v>
      </c>
      <c r="C34" s="11" t="str">
        <f>IF($A34="","",_xlfn.LET(_xlpm.t,MATCH($B34,'[1]Territory Definitions'!$B$5:$B$14,0),IF(ISNA(_xlpm.t),"NO TERRITORY",IF(INDEX('[1]Territory Definitions'!$D$5:$M$14,_xlpm.t,MATCH(C$4,'[1]Territory Definitions'!$D$4:$M$4,0))&lt;&gt;1,"NOT IN TERRITORY",IF(COUNTIFS('[1]Blackout Brand Fam Areas (Enc)'!$B$6:$B$998,$A34,'[1]Blackout Brand Fam Areas (Enc)'!$C$6:$C$998,C$4,'[1]Blackout Brand Fam Areas (Enc)'!$D$6:$D$998,"Inactive")&gt;0,"BLOCKED","CAN SELL")))))</f>
        <v>CAN SELL</v>
      </c>
      <c r="D34" s="11" t="str">
        <f>IF($A34="","",_xlfn.LET(_xlpm.t,MATCH($B34,'[1]Territory Definitions'!$B$5:$B$14,0),IF(ISNA(_xlpm.t),"NO TERRITORY",IF(INDEX('[1]Territory Definitions'!$D$5:$M$14,_xlpm.t,MATCH(D$4,'[1]Territory Definitions'!$D$4:$M$4,0))&lt;&gt;1,"NOT IN TERRITORY",IF(COUNTIFS('[1]Blackout Brand Fam Areas (Enc)'!$B$6:$B$998,$A34,'[1]Blackout Brand Fam Areas (Enc)'!$C$6:$C$998,D$4,'[1]Blackout Brand Fam Areas (Enc)'!$D$6:$D$998,"Inactive")&gt;0,"BLOCKED","CAN SELL")))))</f>
        <v>CAN SELL</v>
      </c>
      <c r="E34" s="11" t="str">
        <f>IF($A34="","",_xlfn.LET(_xlpm.t,MATCH($B34,'[1]Territory Definitions'!$B$5:$B$14,0),IF(ISNA(_xlpm.t),"NO TERRITORY",IF(INDEX('[1]Territory Definitions'!$D$5:$M$14,_xlpm.t,MATCH(E$4,'[1]Territory Definitions'!$D$4:$M$4,0))&lt;&gt;1,"NOT IN TERRITORY",IF(COUNTIFS('[1]Blackout Brand Fam Areas (Enc)'!$B$6:$B$998,$A34,'[1]Blackout Brand Fam Areas (Enc)'!$C$6:$C$998,E$4,'[1]Blackout Brand Fam Areas (Enc)'!$D$6:$D$998,"Inactive")&gt;0,"BLOCKED","CAN SELL")))))</f>
        <v>CAN SELL</v>
      </c>
      <c r="F34" s="11" t="str">
        <f>IF($A34="","",_xlfn.LET(_xlpm.t,MATCH($B34,'[1]Territory Definitions'!$B$5:$B$14,0),IF(ISNA(_xlpm.t),"NO TERRITORY",IF(INDEX('[1]Territory Definitions'!$D$5:$M$14,_xlpm.t,MATCH(F$4,'[1]Territory Definitions'!$D$4:$M$4,0))&lt;&gt;1,"NOT IN TERRITORY",IF(COUNTIFS('[1]Blackout Brand Fam Areas (Enc)'!$B$6:$B$998,$A34,'[1]Blackout Brand Fam Areas (Enc)'!$C$6:$C$998,F$4,'[1]Blackout Brand Fam Areas (Enc)'!$D$6:$D$998,"Inactive")&gt;0,"BLOCKED","CAN SELL")))))</f>
        <v>NOT IN TERRITORY</v>
      </c>
      <c r="G34" s="11" t="str">
        <f>IF($A34="","",_xlfn.LET(_xlpm.t,MATCH($B34,'[1]Territory Definitions'!$B$5:$B$14,0),IF(ISNA(_xlpm.t),"NO TERRITORY",IF(INDEX('[1]Territory Definitions'!$D$5:$M$14,_xlpm.t,MATCH(G$4,'[1]Territory Definitions'!$D$4:$M$4,0))&lt;&gt;1,"NOT IN TERRITORY",IF(COUNTIFS('[1]Blackout Brand Fam Areas (Enc)'!$B$6:$B$998,$A34,'[1]Blackout Brand Fam Areas (Enc)'!$C$6:$C$998,G$4,'[1]Blackout Brand Fam Areas (Enc)'!$D$6:$D$998,"Inactive")&gt;0,"BLOCKED","CAN SELL")))))</f>
        <v>NOT IN TERRITORY</v>
      </c>
      <c r="H34" s="11" t="str">
        <f>IF($A34="","",_xlfn.LET(_xlpm.t,MATCH($B34,'[1]Territory Definitions'!$B$5:$B$14,0),IF(ISNA(_xlpm.t),"NO TERRITORY",IF(INDEX('[1]Territory Definitions'!$D$5:$M$14,_xlpm.t,MATCH(H$4,'[1]Territory Definitions'!$D$4:$M$4,0))&lt;&gt;1,"NOT IN TERRITORY",IF(COUNTIFS('[1]Blackout Brand Fam Areas (Enc)'!$B$6:$B$998,$A34,'[1]Blackout Brand Fam Areas (Enc)'!$C$6:$C$998,H$4,'[1]Blackout Brand Fam Areas (Enc)'!$D$6:$D$998,"Inactive")&gt;0,"BLOCKED","CAN SELL")))))</f>
        <v>NOT IN TERRITORY</v>
      </c>
      <c r="I34" s="11" t="str">
        <f>IF($A34="","",_xlfn.LET(_xlpm.t,MATCH($B34,'[1]Territory Definitions'!$B$5:$B$14,0),IF(ISNA(_xlpm.t),"NO TERRITORY",IF(INDEX('[1]Territory Definitions'!$D$5:$M$14,_xlpm.t,MATCH(I$4,'[1]Territory Definitions'!$D$4:$M$4,0))&lt;&gt;1,"NOT IN TERRITORY",IF(COUNTIFS('[1]Blackout Brand Fam Areas (Enc)'!$B$6:$B$998,$A34,'[1]Blackout Brand Fam Areas (Enc)'!$C$6:$C$998,I$4,'[1]Blackout Brand Fam Areas (Enc)'!$D$6:$D$998,"Inactive")&gt;0,"BLOCKED","CAN SELL")))))</f>
        <v>CAN SELL</v>
      </c>
      <c r="J34" s="11" t="str">
        <f>IF($A34="","",_xlfn.LET(_xlpm.t,MATCH($B34,'[1]Territory Definitions'!$B$5:$B$14,0),IF(ISNA(_xlpm.t),"NO TERRITORY",IF(INDEX('[1]Territory Definitions'!$D$5:$M$14,_xlpm.t,MATCH(J$4,'[1]Territory Definitions'!$D$4:$M$4,0))&lt;&gt;1,"NOT IN TERRITORY",IF(COUNTIFS('[1]Blackout Brand Fam Areas (Enc)'!$B$6:$B$998,$A34,'[1]Blackout Brand Fam Areas (Enc)'!$C$6:$C$998,J$4,'[1]Blackout Brand Fam Areas (Enc)'!$D$6:$D$998,"Inactive")&gt;0,"BLOCKED","CAN SELL")))))</f>
        <v>CAN SELL</v>
      </c>
      <c r="K34" s="11" t="str">
        <f>IF($A34="","",_xlfn.LET(_xlpm.t,MATCH($B34,'[1]Territory Definitions'!$B$5:$B$14,0),IF(ISNA(_xlpm.t),"NO TERRITORY",IF(INDEX('[1]Territory Definitions'!$D$5:$M$14,_xlpm.t,MATCH(K$4,'[1]Territory Definitions'!$D$4:$M$4,0))&lt;&gt;1,"NOT IN TERRITORY",IF(COUNTIFS('[1]Blackout Brand Fam Areas (Enc)'!$B$6:$B$998,$A34,'[1]Blackout Brand Fam Areas (Enc)'!$C$6:$C$998,K$4,'[1]Blackout Brand Fam Areas (Enc)'!$D$6:$D$998,"Inactive")&gt;0,"BLOCKED","CAN SELL")))))</f>
        <v>NOT IN TERRITORY</v>
      </c>
      <c r="L34" s="11" t="str">
        <f>IF($A34="","",_xlfn.LET(_xlpm.t,MATCH($B34,'[1]Territory Definitions'!$B$5:$B$14,0),IF(ISNA(_xlpm.t),"NO TERRITORY",IF(INDEX('[1]Territory Definitions'!$D$5:$M$14,_xlpm.t,MATCH(L$4,'[1]Territory Definitions'!$D$4:$M$4,0))&lt;&gt;1,"NOT IN TERRITORY",IF(COUNTIFS('[1]Blackout Brand Fam Areas (Enc)'!$B$6:$B$998,$A34,'[1]Blackout Brand Fam Areas (Enc)'!$C$6:$C$998,L$4,'[1]Blackout Brand Fam Areas (Enc)'!$D$6:$D$998,"Inactive")&gt;0,"BLOCKED","CAN SELL")))))</f>
        <v>CAN SELL</v>
      </c>
      <c r="M34" s="12">
        <f>IF($A34="","",COUNTIF($C34:$L34,"CAN SELL"))</f>
        <v>6</v>
      </c>
      <c r="N34" s="13" cm="1">
        <f t="array" ref="N34">IF($A34="","",SUMPRODUCT(($C34:$L34="CAN SELL")*$C$3:$L$3))</f>
        <v>1596</v>
      </c>
      <c r="O34" s="14" t="str">
        <f>IF($A34="","",IF(COUNTIF($A$5:$A$299,$A34)&gt;1,"DUPLICATE - two different territories assigned",IF($B34="** NO TERRITORY SET **","No territory on Brand Family Territory (Enc)","")))</f>
        <v/>
      </c>
      <c r="P34" s="18" t="str">
        <f>IF($A34="","",IFERROR(INDEX([1]Products!$H$4:$H$4801,MATCH($A34,[1]Products!$G$4:$G$4801,0)),"(no products)"))</f>
        <v>MolsonCoors Beverage Company</v>
      </c>
      <c r="Q34" s="19">
        <f>IF($A34="","",COUNTIFS([1]Products!$G$4:$G$4801,$A34,[1]Products!$L$4:$L$4801,"Yes"))</f>
        <v>19</v>
      </c>
      <c r="R34" s="19">
        <f>IF($A34="","",COUNTIFS([1]Products!$G$4:$G$4801,$A34,[1]Products!$L$4:$L$4801,"Yes",[1]Products!$K$4:$K$4801,"Draft"))</f>
        <v>3</v>
      </c>
      <c r="S34" s="19">
        <f>IF($A34="","",COUNTIFS([1]Products!$G$4:$G$4801,$A34,[1]Products!$L$4:$L$4801,"Yes",[1]Products!$K$4:$K$4801,"Package"))</f>
        <v>16</v>
      </c>
      <c r="T34" s="20" t="str" cm="1">
        <f t="array" ref="T34">IF($A34="","",_xlfn.IFS($Q34=0,"NO ACTIVE SKUs",AND($R34&gt;0,$S34&gt;0),"Draft &amp; Package",$R34&gt;0,"Draft only",TRUE,"Package only"))</f>
        <v>Draft &amp; Package</v>
      </c>
    </row>
    <row r="35" spans="1:20" x14ac:dyDescent="0.2">
      <c r="A35" s="9" t="str">
        <v>Bodega Chiller</v>
      </c>
      <c r="B35" s="10" t="str">
        <f>IF($A35="","",_xlfn.XLOOKUP($A35,'[1]Brand Family Territory (Enc)'!$A:$A,'[1]Brand Family Territory (Enc)'!$B:$B,"** NO TERRITORY SET **"))</f>
        <v>All Counties</v>
      </c>
      <c r="C35" s="11" t="str">
        <f>IF($A35="","",_xlfn.LET(_xlpm.t,MATCH($B35,'[1]Territory Definitions'!$B$5:$B$14,0),IF(ISNA(_xlpm.t),"NO TERRITORY",IF(INDEX('[1]Territory Definitions'!$D$5:$M$14,_xlpm.t,MATCH(C$4,'[1]Territory Definitions'!$D$4:$M$4,0))&lt;&gt;1,"NOT IN TERRITORY",IF(COUNTIFS('[1]Blackout Brand Fam Areas (Enc)'!$B$6:$B$998,$A35,'[1]Blackout Brand Fam Areas (Enc)'!$C$6:$C$998,C$4,'[1]Blackout Brand Fam Areas (Enc)'!$D$6:$D$998,"Inactive")&gt;0,"BLOCKED","CAN SELL")))))</f>
        <v>CAN SELL</v>
      </c>
      <c r="D35" s="11" t="str">
        <f>IF($A35="","",_xlfn.LET(_xlpm.t,MATCH($B35,'[1]Territory Definitions'!$B$5:$B$14,0),IF(ISNA(_xlpm.t),"NO TERRITORY",IF(INDEX('[1]Territory Definitions'!$D$5:$M$14,_xlpm.t,MATCH(D$4,'[1]Territory Definitions'!$D$4:$M$4,0))&lt;&gt;1,"NOT IN TERRITORY",IF(COUNTIFS('[1]Blackout Brand Fam Areas (Enc)'!$B$6:$B$998,$A35,'[1]Blackout Brand Fam Areas (Enc)'!$C$6:$C$998,D$4,'[1]Blackout Brand Fam Areas (Enc)'!$D$6:$D$998,"Inactive")&gt;0,"BLOCKED","CAN SELL")))))</f>
        <v>CAN SELL</v>
      </c>
      <c r="E35" s="11" t="str">
        <f>IF($A35="","",_xlfn.LET(_xlpm.t,MATCH($B35,'[1]Territory Definitions'!$B$5:$B$14,0),IF(ISNA(_xlpm.t),"NO TERRITORY",IF(INDEX('[1]Territory Definitions'!$D$5:$M$14,_xlpm.t,MATCH(E$4,'[1]Territory Definitions'!$D$4:$M$4,0))&lt;&gt;1,"NOT IN TERRITORY",IF(COUNTIFS('[1]Blackout Brand Fam Areas (Enc)'!$B$6:$B$998,$A35,'[1]Blackout Brand Fam Areas (Enc)'!$C$6:$C$998,E$4,'[1]Blackout Brand Fam Areas (Enc)'!$D$6:$D$998,"Inactive")&gt;0,"BLOCKED","CAN SELL")))))</f>
        <v>CAN SELL</v>
      </c>
      <c r="F35" s="11" t="str">
        <f>IF($A35="","",_xlfn.LET(_xlpm.t,MATCH($B35,'[1]Territory Definitions'!$B$5:$B$14,0),IF(ISNA(_xlpm.t),"NO TERRITORY",IF(INDEX('[1]Territory Definitions'!$D$5:$M$14,_xlpm.t,MATCH(F$4,'[1]Territory Definitions'!$D$4:$M$4,0))&lt;&gt;1,"NOT IN TERRITORY",IF(COUNTIFS('[1]Blackout Brand Fam Areas (Enc)'!$B$6:$B$998,$A35,'[1]Blackout Brand Fam Areas (Enc)'!$C$6:$C$998,F$4,'[1]Blackout Brand Fam Areas (Enc)'!$D$6:$D$998,"Inactive")&gt;0,"BLOCKED","CAN SELL")))))</f>
        <v>CAN SELL</v>
      </c>
      <c r="G35" s="11" t="str">
        <f>IF($A35="","",_xlfn.LET(_xlpm.t,MATCH($B35,'[1]Territory Definitions'!$B$5:$B$14,0),IF(ISNA(_xlpm.t),"NO TERRITORY",IF(INDEX('[1]Territory Definitions'!$D$5:$M$14,_xlpm.t,MATCH(G$4,'[1]Territory Definitions'!$D$4:$M$4,0))&lt;&gt;1,"NOT IN TERRITORY",IF(COUNTIFS('[1]Blackout Brand Fam Areas (Enc)'!$B$6:$B$998,$A35,'[1]Blackout Brand Fam Areas (Enc)'!$C$6:$C$998,G$4,'[1]Blackout Brand Fam Areas (Enc)'!$D$6:$D$998,"Inactive")&gt;0,"BLOCKED","CAN SELL")))))</f>
        <v>CAN SELL</v>
      </c>
      <c r="H35" s="11" t="str">
        <f>IF($A35="","",_xlfn.LET(_xlpm.t,MATCH($B35,'[1]Territory Definitions'!$B$5:$B$14,0),IF(ISNA(_xlpm.t),"NO TERRITORY",IF(INDEX('[1]Territory Definitions'!$D$5:$M$14,_xlpm.t,MATCH(H$4,'[1]Territory Definitions'!$D$4:$M$4,0))&lt;&gt;1,"NOT IN TERRITORY",IF(COUNTIFS('[1]Blackout Brand Fam Areas (Enc)'!$B$6:$B$998,$A35,'[1]Blackout Brand Fam Areas (Enc)'!$C$6:$C$998,H$4,'[1]Blackout Brand Fam Areas (Enc)'!$D$6:$D$998,"Inactive")&gt;0,"BLOCKED","CAN SELL")))))</f>
        <v>CAN SELL</v>
      </c>
      <c r="I35" s="11" t="str">
        <f>IF($A35="","",_xlfn.LET(_xlpm.t,MATCH($B35,'[1]Territory Definitions'!$B$5:$B$14,0),IF(ISNA(_xlpm.t),"NO TERRITORY",IF(INDEX('[1]Territory Definitions'!$D$5:$M$14,_xlpm.t,MATCH(I$4,'[1]Territory Definitions'!$D$4:$M$4,0))&lt;&gt;1,"NOT IN TERRITORY",IF(COUNTIFS('[1]Blackout Brand Fam Areas (Enc)'!$B$6:$B$998,$A35,'[1]Blackout Brand Fam Areas (Enc)'!$C$6:$C$998,I$4,'[1]Blackout Brand Fam Areas (Enc)'!$D$6:$D$998,"Inactive")&gt;0,"BLOCKED","CAN SELL")))))</f>
        <v>CAN SELL</v>
      </c>
      <c r="J35" s="11" t="str">
        <f>IF($A35="","",_xlfn.LET(_xlpm.t,MATCH($B35,'[1]Territory Definitions'!$B$5:$B$14,0),IF(ISNA(_xlpm.t),"NO TERRITORY",IF(INDEX('[1]Territory Definitions'!$D$5:$M$14,_xlpm.t,MATCH(J$4,'[1]Territory Definitions'!$D$4:$M$4,0))&lt;&gt;1,"NOT IN TERRITORY",IF(COUNTIFS('[1]Blackout Brand Fam Areas (Enc)'!$B$6:$B$998,$A35,'[1]Blackout Brand Fam Areas (Enc)'!$C$6:$C$998,J$4,'[1]Blackout Brand Fam Areas (Enc)'!$D$6:$D$998,"Inactive")&gt;0,"BLOCKED","CAN SELL")))))</f>
        <v>CAN SELL</v>
      </c>
      <c r="K35" s="11" t="str">
        <f>IF($A35="","",_xlfn.LET(_xlpm.t,MATCH($B35,'[1]Territory Definitions'!$B$5:$B$14,0),IF(ISNA(_xlpm.t),"NO TERRITORY",IF(INDEX('[1]Territory Definitions'!$D$5:$M$14,_xlpm.t,MATCH(K$4,'[1]Territory Definitions'!$D$4:$M$4,0))&lt;&gt;1,"NOT IN TERRITORY",IF(COUNTIFS('[1]Blackout Brand Fam Areas (Enc)'!$B$6:$B$998,$A35,'[1]Blackout Brand Fam Areas (Enc)'!$C$6:$C$998,K$4,'[1]Blackout Brand Fam Areas (Enc)'!$D$6:$D$998,"Inactive")&gt;0,"BLOCKED","CAN SELL")))))</f>
        <v>CAN SELL</v>
      </c>
      <c r="L35" s="11" t="str">
        <f>IF($A35="","",_xlfn.LET(_xlpm.t,MATCH($B35,'[1]Territory Definitions'!$B$5:$B$14,0),IF(ISNA(_xlpm.t),"NO TERRITORY",IF(INDEX('[1]Territory Definitions'!$D$5:$M$14,_xlpm.t,MATCH(L$4,'[1]Territory Definitions'!$D$4:$M$4,0))&lt;&gt;1,"NOT IN TERRITORY",IF(COUNTIFS('[1]Blackout Brand Fam Areas (Enc)'!$B$6:$B$998,$A35,'[1]Blackout Brand Fam Areas (Enc)'!$C$6:$C$998,L$4,'[1]Blackout Brand Fam Areas (Enc)'!$D$6:$D$998,"Inactive")&gt;0,"BLOCKED","CAN SELL")))))</f>
        <v>CAN SELL</v>
      </c>
      <c r="M35" s="12">
        <f>IF($A35="","",COUNTIF($C35:$L35,"CAN SELL"))</f>
        <v>10</v>
      </c>
      <c r="N35" s="13" cm="1">
        <f t="array" ref="N35">IF($A35="","",SUMPRODUCT(($C35:$L35="CAN SELL")*$C$3:$L$3))</f>
        <v>2306</v>
      </c>
      <c r="O35" s="14" t="str">
        <f>IF($A35="","",IF(COUNTIF($A$5:$A$299,$A35)&gt;1,"DUPLICATE - two different territories assigned",IF($B35="** NO TERRITORY SET **","No territory on Brand Family Territory (Enc)","")))</f>
        <v/>
      </c>
      <c r="P35" s="18" t="str">
        <f>IF($A35="","",IFERROR(INDEX([1]Products!$H$4:$H$4801,MATCH($A35,[1]Products!$G$4:$G$4801,0)),"(no products)"))</f>
        <v>Blaze Life LLC</v>
      </c>
      <c r="Q35" s="19">
        <f>IF($A35="","",COUNTIFS([1]Products!$G$4:$G$4801,$A35,[1]Products!$L$4:$L$4801,"Yes"))</f>
        <v>0</v>
      </c>
      <c r="R35" s="19">
        <f>IF($A35="","",COUNTIFS([1]Products!$G$4:$G$4801,$A35,[1]Products!$L$4:$L$4801,"Yes",[1]Products!$K$4:$K$4801,"Draft"))</f>
        <v>0</v>
      </c>
      <c r="S35" s="19">
        <f>IF($A35="","",COUNTIFS([1]Products!$G$4:$G$4801,$A35,[1]Products!$L$4:$L$4801,"Yes",[1]Products!$K$4:$K$4801,"Package"))</f>
        <v>0</v>
      </c>
      <c r="T35" s="20" t="str" cm="1">
        <f t="array" ref="T35">IF($A35="","",_xlfn.IFS($Q35=0,"NO ACTIVE SKUs",AND($R35&gt;0,$S35&gt;0),"Draft &amp; Package",$R35&gt;0,"Draft only",TRUE,"Package only"))</f>
        <v>NO ACTIVE SKUs</v>
      </c>
    </row>
    <row r="36" spans="1:20" x14ac:dyDescent="0.2">
      <c r="A36" s="9" t="str">
        <v>Bodega Quarters</v>
      </c>
      <c r="B36" s="10" t="str">
        <f>IF($A36="","",_xlfn.XLOOKUP($A36,'[1]Brand Family Territory (Enc)'!$A:$A,'[1]Brand Family Territory (Enc)'!$B:$B,"** NO TERRITORY SET **"))</f>
        <v>All Counties</v>
      </c>
      <c r="C36" s="11" t="str">
        <f>IF($A36="","",_xlfn.LET(_xlpm.t,MATCH($B36,'[1]Territory Definitions'!$B$5:$B$14,0),IF(ISNA(_xlpm.t),"NO TERRITORY",IF(INDEX('[1]Territory Definitions'!$D$5:$M$14,_xlpm.t,MATCH(C$4,'[1]Territory Definitions'!$D$4:$M$4,0))&lt;&gt;1,"NOT IN TERRITORY",IF(COUNTIFS('[1]Blackout Brand Fam Areas (Enc)'!$B$6:$B$998,$A36,'[1]Blackout Brand Fam Areas (Enc)'!$C$6:$C$998,C$4,'[1]Blackout Brand Fam Areas (Enc)'!$D$6:$D$998,"Inactive")&gt;0,"BLOCKED","CAN SELL")))))</f>
        <v>CAN SELL</v>
      </c>
      <c r="D36" s="11" t="str">
        <f>IF($A36="","",_xlfn.LET(_xlpm.t,MATCH($B36,'[1]Territory Definitions'!$B$5:$B$14,0),IF(ISNA(_xlpm.t),"NO TERRITORY",IF(INDEX('[1]Territory Definitions'!$D$5:$M$14,_xlpm.t,MATCH(D$4,'[1]Territory Definitions'!$D$4:$M$4,0))&lt;&gt;1,"NOT IN TERRITORY",IF(COUNTIFS('[1]Blackout Brand Fam Areas (Enc)'!$B$6:$B$998,$A36,'[1]Blackout Brand Fam Areas (Enc)'!$C$6:$C$998,D$4,'[1]Blackout Brand Fam Areas (Enc)'!$D$6:$D$998,"Inactive")&gt;0,"BLOCKED","CAN SELL")))))</f>
        <v>CAN SELL</v>
      </c>
      <c r="E36" s="11" t="str">
        <f>IF($A36="","",_xlfn.LET(_xlpm.t,MATCH($B36,'[1]Territory Definitions'!$B$5:$B$14,0),IF(ISNA(_xlpm.t),"NO TERRITORY",IF(INDEX('[1]Territory Definitions'!$D$5:$M$14,_xlpm.t,MATCH(E$4,'[1]Territory Definitions'!$D$4:$M$4,0))&lt;&gt;1,"NOT IN TERRITORY",IF(COUNTIFS('[1]Blackout Brand Fam Areas (Enc)'!$B$6:$B$998,$A36,'[1]Blackout Brand Fam Areas (Enc)'!$C$6:$C$998,E$4,'[1]Blackout Brand Fam Areas (Enc)'!$D$6:$D$998,"Inactive")&gt;0,"BLOCKED","CAN SELL")))))</f>
        <v>CAN SELL</v>
      </c>
      <c r="F36" s="11" t="str">
        <f>IF($A36="","",_xlfn.LET(_xlpm.t,MATCH($B36,'[1]Territory Definitions'!$B$5:$B$14,0),IF(ISNA(_xlpm.t),"NO TERRITORY",IF(INDEX('[1]Territory Definitions'!$D$5:$M$14,_xlpm.t,MATCH(F$4,'[1]Territory Definitions'!$D$4:$M$4,0))&lt;&gt;1,"NOT IN TERRITORY",IF(COUNTIFS('[1]Blackout Brand Fam Areas (Enc)'!$B$6:$B$998,$A36,'[1]Blackout Brand Fam Areas (Enc)'!$C$6:$C$998,F$4,'[1]Blackout Brand Fam Areas (Enc)'!$D$6:$D$998,"Inactive")&gt;0,"BLOCKED","CAN SELL")))))</f>
        <v>CAN SELL</v>
      </c>
      <c r="G36" s="11" t="str">
        <f>IF($A36="","",_xlfn.LET(_xlpm.t,MATCH($B36,'[1]Territory Definitions'!$B$5:$B$14,0),IF(ISNA(_xlpm.t),"NO TERRITORY",IF(INDEX('[1]Territory Definitions'!$D$5:$M$14,_xlpm.t,MATCH(G$4,'[1]Territory Definitions'!$D$4:$M$4,0))&lt;&gt;1,"NOT IN TERRITORY",IF(COUNTIFS('[1]Blackout Brand Fam Areas (Enc)'!$B$6:$B$998,$A36,'[1]Blackout Brand Fam Areas (Enc)'!$C$6:$C$998,G$4,'[1]Blackout Brand Fam Areas (Enc)'!$D$6:$D$998,"Inactive")&gt;0,"BLOCKED","CAN SELL")))))</f>
        <v>CAN SELL</v>
      </c>
      <c r="H36" s="11" t="str">
        <f>IF($A36="","",_xlfn.LET(_xlpm.t,MATCH($B36,'[1]Territory Definitions'!$B$5:$B$14,0),IF(ISNA(_xlpm.t),"NO TERRITORY",IF(INDEX('[1]Territory Definitions'!$D$5:$M$14,_xlpm.t,MATCH(H$4,'[1]Territory Definitions'!$D$4:$M$4,0))&lt;&gt;1,"NOT IN TERRITORY",IF(COUNTIFS('[1]Blackout Brand Fam Areas (Enc)'!$B$6:$B$998,$A36,'[1]Blackout Brand Fam Areas (Enc)'!$C$6:$C$998,H$4,'[1]Blackout Brand Fam Areas (Enc)'!$D$6:$D$998,"Inactive")&gt;0,"BLOCKED","CAN SELL")))))</f>
        <v>CAN SELL</v>
      </c>
      <c r="I36" s="11" t="str">
        <f>IF($A36="","",_xlfn.LET(_xlpm.t,MATCH($B36,'[1]Territory Definitions'!$B$5:$B$14,0),IF(ISNA(_xlpm.t),"NO TERRITORY",IF(INDEX('[1]Territory Definitions'!$D$5:$M$14,_xlpm.t,MATCH(I$4,'[1]Territory Definitions'!$D$4:$M$4,0))&lt;&gt;1,"NOT IN TERRITORY",IF(COUNTIFS('[1]Blackout Brand Fam Areas (Enc)'!$B$6:$B$998,$A36,'[1]Blackout Brand Fam Areas (Enc)'!$C$6:$C$998,I$4,'[1]Blackout Brand Fam Areas (Enc)'!$D$6:$D$998,"Inactive")&gt;0,"BLOCKED","CAN SELL")))))</f>
        <v>CAN SELL</v>
      </c>
      <c r="J36" s="11" t="str">
        <f>IF($A36="","",_xlfn.LET(_xlpm.t,MATCH($B36,'[1]Territory Definitions'!$B$5:$B$14,0),IF(ISNA(_xlpm.t),"NO TERRITORY",IF(INDEX('[1]Territory Definitions'!$D$5:$M$14,_xlpm.t,MATCH(J$4,'[1]Territory Definitions'!$D$4:$M$4,0))&lt;&gt;1,"NOT IN TERRITORY",IF(COUNTIFS('[1]Blackout Brand Fam Areas (Enc)'!$B$6:$B$998,$A36,'[1]Blackout Brand Fam Areas (Enc)'!$C$6:$C$998,J$4,'[1]Blackout Brand Fam Areas (Enc)'!$D$6:$D$998,"Inactive")&gt;0,"BLOCKED","CAN SELL")))))</f>
        <v>CAN SELL</v>
      </c>
      <c r="K36" s="11" t="str">
        <f>IF($A36="","",_xlfn.LET(_xlpm.t,MATCH($B36,'[1]Territory Definitions'!$B$5:$B$14,0),IF(ISNA(_xlpm.t),"NO TERRITORY",IF(INDEX('[1]Territory Definitions'!$D$5:$M$14,_xlpm.t,MATCH(K$4,'[1]Territory Definitions'!$D$4:$M$4,0))&lt;&gt;1,"NOT IN TERRITORY",IF(COUNTIFS('[1]Blackout Brand Fam Areas (Enc)'!$B$6:$B$998,$A36,'[1]Blackout Brand Fam Areas (Enc)'!$C$6:$C$998,K$4,'[1]Blackout Brand Fam Areas (Enc)'!$D$6:$D$998,"Inactive")&gt;0,"BLOCKED","CAN SELL")))))</f>
        <v>CAN SELL</v>
      </c>
      <c r="L36" s="11" t="str">
        <f>IF($A36="","",_xlfn.LET(_xlpm.t,MATCH($B36,'[1]Territory Definitions'!$B$5:$B$14,0),IF(ISNA(_xlpm.t),"NO TERRITORY",IF(INDEX('[1]Territory Definitions'!$D$5:$M$14,_xlpm.t,MATCH(L$4,'[1]Territory Definitions'!$D$4:$M$4,0))&lt;&gt;1,"NOT IN TERRITORY",IF(COUNTIFS('[1]Blackout Brand Fam Areas (Enc)'!$B$6:$B$998,$A36,'[1]Blackout Brand Fam Areas (Enc)'!$C$6:$C$998,L$4,'[1]Blackout Brand Fam Areas (Enc)'!$D$6:$D$998,"Inactive")&gt;0,"BLOCKED","CAN SELL")))))</f>
        <v>CAN SELL</v>
      </c>
      <c r="M36" s="12">
        <f>IF($A36="","",COUNTIF($C36:$L36,"CAN SELL"))</f>
        <v>10</v>
      </c>
      <c r="N36" s="13" cm="1">
        <f t="array" ref="N36">IF($A36="","",SUMPRODUCT(($C36:$L36="CAN SELL")*$C$3:$L$3))</f>
        <v>2306</v>
      </c>
      <c r="O36" s="14" t="str">
        <f>IF($A36="","",IF(COUNTIF($A$5:$A$299,$A36)&gt;1,"DUPLICATE - two different territories assigned",IF($B36="** NO TERRITORY SET **","No territory on Brand Family Territory (Enc)","")))</f>
        <v/>
      </c>
      <c r="P36" s="18" t="str">
        <f>IF($A36="","",IFERROR(INDEX([1]Products!$H$4:$H$4801,MATCH($A36,[1]Products!$G$4:$G$4801,0)),"(no products)"))</f>
        <v>Blaze Life LLC</v>
      </c>
      <c r="Q36" s="19">
        <f>IF($A36="","",COUNTIFS([1]Products!$G$4:$G$4801,$A36,[1]Products!$L$4:$L$4801,"Yes"))</f>
        <v>0</v>
      </c>
      <c r="R36" s="19">
        <f>IF($A36="","",COUNTIFS([1]Products!$G$4:$G$4801,$A36,[1]Products!$L$4:$L$4801,"Yes",[1]Products!$K$4:$K$4801,"Draft"))</f>
        <v>0</v>
      </c>
      <c r="S36" s="19">
        <f>IF($A36="","",COUNTIFS([1]Products!$G$4:$G$4801,$A36,[1]Products!$L$4:$L$4801,"Yes",[1]Products!$K$4:$K$4801,"Package"))</f>
        <v>0</v>
      </c>
      <c r="T36" s="20" t="str" cm="1">
        <f t="array" ref="T36">IF($A36="","",_xlfn.IFS($Q36=0,"NO ACTIVE SKUs",AND($R36&gt;0,$S36&gt;0),"Draft &amp; Package",$R36&gt;0,"Draft only",TRUE,"Package only"))</f>
        <v>NO ACTIVE SKUs</v>
      </c>
    </row>
    <row r="37" spans="1:20" x14ac:dyDescent="0.2">
      <c r="A37" s="9" t="str">
        <v>Bold Rock</v>
      </c>
      <c r="B37" s="10" t="str">
        <f>IF($A37="","",_xlfn.XLOOKUP($A37,'[1]Brand Family Territory (Enc)'!$A:$A,'[1]Brand Family Territory (Enc)'!$B:$B,"** NO TERRITORY SET **"))</f>
        <v>Bergen/Passaic/Hudson/Essex</v>
      </c>
      <c r="C37" s="11" t="str">
        <f>IF($A37="","",_xlfn.LET(_xlpm.t,MATCH($B37,'[1]Territory Definitions'!$B$5:$B$14,0),IF(ISNA(_xlpm.t),"NO TERRITORY",IF(INDEX('[1]Territory Definitions'!$D$5:$M$14,_xlpm.t,MATCH(C$4,'[1]Territory Definitions'!$D$4:$M$4,0))&lt;&gt;1,"NOT IN TERRITORY",IF(COUNTIFS('[1]Blackout Brand Fam Areas (Enc)'!$B$6:$B$998,$A37,'[1]Blackout Brand Fam Areas (Enc)'!$C$6:$C$998,C$4,'[1]Blackout Brand Fam Areas (Enc)'!$D$6:$D$998,"Inactive")&gt;0,"BLOCKED","CAN SELL")))))</f>
        <v>CAN SELL</v>
      </c>
      <c r="D37" s="11" t="str">
        <f>IF($A37="","",_xlfn.LET(_xlpm.t,MATCH($B37,'[1]Territory Definitions'!$B$5:$B$14,0),IF(ISNA(_xlpm.t),"NO TERRITORY",IF(INDEX('[1]Territory Definitions'!$D$5:$M$14,_xlpm.t,MATCH(D$4,'[1]Territory Definitions'!$D$4:$M$4,0))&lt;&gt;1,"NOT IN TERRITORY",IF(COUNTIFS('[1]Blackout Brand Fam Areas (Enc)'!$B$6:$B$998,$A37,'[1]Blackout Brand Fam Areas (Enc)'!$C$6:$C$998,D$4,'[1]Blackout Brand Fam Areas (Enc)'!$D$6:$D$998,"Inactive")&gt;0,"BLOCKED","CAN SELL")))))</f>
        <v>CAN SELL</v>
      </c>
      <c r="E37" s="11" t="str">
        <f>IF($A37="","",_xlfn.LET(_xlpm.t,MATCH($B37,'[1]Territory Definitions'!$B$5:$B$14,0),IF(ISNA(_xlpm.t),"NO TERRITORY",IF(INDEX('[1]Territory Definitions'!$D$5:$M$14,_xlpm.t,MATCH(E$4,'[1]Territory Definitions'!$D$4:$M$4,0))&lt;&gt;1,"NOT IN TERRITORY",IF(COUNTIFS('[1]Blackout Brand Fam Areas (Enc)'!$B$6:$B$998,$A37,'[1]Blackout Brand Fam Areas (Enc)'!$C$6:$C$998,E$4,'[1]Blackout Brand Fam Areas (Enc)'!$D$6:$D$998,"Inactive")&gt;0,"BLOCKED","CAN SELL")))))</f>
        <v>CAN SELL</v>
      </c>
      <c r="F37" s="11" t="str">
        <f>IF($A37="","",_xlfn.LET(_xlpm.t,MATCH($B37,'[1]Territory Definitions'!$B$5:$B$14,0),IF(ISNA(_xlpm.t),"NO TERRITORY",IF(INDEX('[1]Territory Definitions'!$D$5:$M$14,_xlpm.t,MATCH(F$4,'[1]Territory Definitions'!$D$4:$M$4,0))&lt;&gt;1,"NOT IN TERRITORY",IF(COUNTIFS('[1]Blackout Brand Fam Areas (Enc)'!$B$6:$B$998,$A37,'[1]Blackout Brand Fam Areas (Enc)'!$C$6:$C$998,F$4,'[1]Blackout Brand Fam Areas (Enc)'!$D$6:$D$998,"Inactive")&gt;0,"BLOCKED","CAN SELL")))))</f>
        <v>CAN SELL</v>
      </c>
      <c r="G37" s="11" t="str">
        <f>IF($A37="","",_xlfn.LET(_xlpm.t,MATCH($B37,'[1]Territory Definitions'!$B$5:$B$14,0),IF(ISNA(_xlpm.t),"NO TERRITORY",IF(INDEX('[1]Territory Definitions'!$D$5:$M$14,_xlpm.t,MATCH(G$4,'[1]Territory Definitions'!$D$4:$M$4,0))&lt;&gt;1,"NOT IN TERRITORY",IF(COUNTIFS('[1]Blackout Brand Fam Areas (Enc)'!$B$6:$B$998,$A37,'[1]Blackout Brand Fam Areas (Enc)'!$C$6:$C$998,G$4,'[1]Blackout Brand Fam Areas (Enc)'!$D$6:$D$998,"Inactive")&gt;0,"BLOCKED","CAN SELL")))))</f>
        <v>CAN SELL</v>
      </c>
      <c r="H37" s="11" t="str">
        <f>IF($A37="","",_xlfn.LET(_xlpm.t,MATCH($B37,'[1]Territory Definitions'!$B$5:$B$14,0),IF(ISNA(_xlpm.t),"NO TERRITORY",IF(INDEX('[1]Territory Definitions'!$D$5:$M$14,_xlpm.t,MATCH(H$4,'[1]Territory Definitions'!$D$4:$M$4,0))&lt;&gt;1,"NOT IN TERRITORY",IF(COUNTIFS('[1]Blackout Brand Fam Areas (Enc)'!$B$6:$B$998,$A37,'[1]Blackout Brand Fam Areas (Enc)'!$C$6:$C$998,H$4,'[1]Blackout Brand Fam Areas (Enc)'!$D$6:$D$998,"Inactive")&gt;0,"BLOCKED","CAN SELL")))))</f>
        <v>NOT IN TERRITORY</v>
      </c>
      <c r="I37" s="11" t="str">
        <f>IF($A37="","",_xlfn.LET(_xlpm.t,MATCH($B37,'[1]Territory Definitions'!$B$5:$B$14,0),IF(ISNA(_xlpm.t),"NO TERRITORY",IF(INDEX('[1]Territory Definitions'!$D$5:$M$14,_xlpm.t,MATCH(I$4,'[1]Territory Definitions'!$D$4:$M$4,0))&lt;&gt;1,"NOT IN TERRITORY",IF(COUNTIFS('[1]Blackout Brand Fam Areas (Enc)'!$B$6:$B$998,$A37,'[1]Blackout Brand Fam Areas (Enc)'!$C$6:$C$998,I$4,'[1]Blackout Brand Fam Areas (Enc)'!$D$6:$D$998,"Inactive")&gt;0,"BLOCKED","CAN SELL")))))</f>
        <v>NOT IN TERRITORY</v>
      </c>
      <c r="J37" s="11" t="str">
        <f>IF($A37="","",_xlfn.LET(_xlpm.t,MATCH($B37,'[1]Territory Definitions'!$B$5:$B$14,0),IF(ISNA(_xlpm.t),"NO TERRITORY",IF(INDEX('[1]Territory Definitions'!$D$5:$M$14,_xlpm.t,MATCH(J$4,'[1]Territory Definitions'!$D$4:$M$4,0))&lt;&gt;1,"NOT IN TERRITORY",IF(COUNTIFS('[1]Blackout Brand Fam Areas (Enc)'!$B$6:$B$998,$A37,'[1]Blackout Brand Fam Areas (Enc)'!$C$6:$C$998,J$4,'[1]Blackout Brand Fam Areas (Enc)'!$D$6:$D$998,"Inactive")&gt;0,"BLOCKED","CAN SELL")))))</f>
        <v>NOT IN TERRITORY</v>
      </c>
      <c r="K37" s="11" t="str">
        <f>IF($A37="","",_xlfn.LET(_xlpm.t,MATCH($B37,'[1]Territory Definitions'!$B$5:$B$14,0),IF(ISNA(_xlpm.t),"NO TERRITORY",IF(INDEX('[1]Territory Definitions'!$D$5:$M$14,_xlpm.t,MATCH(K$4,'[1]Territory Definitions'!$D$4:$M$4,0))&lt;&gt;1,"NOT IN TERRITORY",IF(COUNTIFS('[1]Blackout Brand Fam Areas (Enc)'!$B$6:$B$998,$A37,'[1]Blackout Brand Fam Areas (Enc)'!$C$6:$C$998,K$4,'[1]Blackout Brand Fam Areas (Enc)'!$D$6:$D$998,"Inactive")&gt;0,"BLOCKED","CAN SELL")))))</f>
        <v>NOT IN TERRITORY</v>
      </c>
      <c r="L37" s="11" t="str">
        <f>IF($A37="","",_xlfn.LET(_xlpm.t,MATCH($B37,'[1]Territory Definitions'!$B$5:$B$14,0),IF(ISNA(_xlpm.t),"NO TERRITORY",IF(INDEX('[1]Territory Definitions'!$D$5:$M$14,_xlpm.t,MATCH(L$4,'[1]Territory Definitions'!$D$4:$M$4,0))&lt;&gt;1,"NOT IN TERRITORY",IF(COUNTIFS('[1]Blackout Brand Fam Areas (Enc)'!$B$6:$B$998,$A37,'[1]Blackout Brand Fam Areas (Enc)'!$C$6:$C$998,L$4,'[1]Blackout Brand Fam Areas (Enc)'!$D$6:$D$998,"Inactive")&gt;0,"BLOCKED","CAN SELL")))))</f>
        <v>NOT IN TERRITORY</v>
      </c>
      <c r="M37" s="12">
        <f>IF($A37="","",COUNTIF($C37:$L37,"CAN SELL"))</f>
        <v>5</v>
      </c>
      <c r="N37" s="13" cm="1">
        <f t="array" ref="N37">IF($A37="","",SUMPRODUCT(($C37:$L37="CAN SELL")*$C$3:$L$3))</f>
        <v>1859</v>
      </c>
      <c r="O37" s="14" t="str">
        <f>IF($A37="","",IF(COUNTIF($A$5:$A$299,$A37)&gt;1,"DUPLICATE - two different territories assigned",IF($B37="** NO TERRITORY SET **","No territory on Brand Family Territory (Enc)","")))</f>
        <v/>
      </c>
      <c r="P37" s="18" t="str">
        <f>IF($A37="","",IFERROR(INDEX([1]Products!$H$4:$H$4801,MATCH($A37,[1]Products!$G$4:$G$4801,0)),"(no products)"))</f>
        <v>Bold Rock Hard Cider</v>
      </c>
      <c r="Q37" s="19">
        <f>IF($A37="","",COUNTIFS([1]Products!$G$4:$G$4801,$A37,[1]Products!$L$4:$L$4801,"Yes"))</f>
        <v>12</v>
      </c>
      <c r="R37" s="19">
        <f>IF($A37="","",COUNTIFS([1]Products!$G$4:$G$4801,$A37,[1]Products!$L$4:$L$4801,"Yes",[1]Products!$K$4:$K$4801,"Draft"))</f>
        <v>3</v>
      </c>
      <c r="S37" s="19">
        <f>IF($A37="","",COUNTIFS([1]Products!$G$4:$G$4801,$A37,[1]Products!$L$4:$L$4801,"Yes",[1]Products!$K$4:$K$4801,"Package"))</f>
        <v>9</v>
      </c>
      <c r="T37" s="20" t="str" cm="1">
        <f t="array" ref="T37">IF($A37="","",_xlfn.IFS($Q37=0,"NO ACTIVE SKUs",AND($R37&gt;0,$S37&gt;0),"Draft &amp; Package",$R37&gt;0,"Draft only",TRUE,"Package only"))</f>
        <v>Draft &amp; Package</v>
      </c>
    </row>
    <row r="38" spans="1:20" x14ac:dyDescent="0.2">
      <c r="A38" s="9" t="str">
        <v>Boldt Infused D9</v>
      </c>
      <c r="B38" s="10" t="str">
        <f>IF($A38="","",_xlfn.XLOOKUP($A38,'[1]Brand Family Territory (Enc)'!$A:$A,'[1]Brand Family Territory (Enc)'!$B:$B,"** NO TERRITORY SET **"))</f>
        <v>All Counties</v>
      </c>
      <c r="C38" s="11" t="str">
        <f>IF($A38="","",_xlfn.LET(_xlpm.t,MATCH($B38,'[1]Territory Definitions'!$B$5:$B$14,0),IF(ISNA(_xlpm.t),"NO TERRITORY",IF(INDEX('[1]Territory Definitions'!$D$5:$M$14,_xlpm.t,MATCH(C$4,'[1]Territory Definitions'!$D$4:$M$4,0))&lt;&gt;1,"NOT IN TERRITORY",IF(COUNTIFS('[1]Blackout Brand Fam Areas (Enc)'!$B$6:$B$998,$A38,'[1]Blackout Brand Fam Areas (Enc)'!$C$6:$C$998,C$4,'[1]Blackout Brand Fam Areas (Enc)'!$D$6:$D$998,"Inactive")&gt;0,"BLOCKED","CAN SELL")))))</f>
        <v>CAN SELL</v>
      </c>
      <c r="D38" s="11" t="str">
        <f>IF($A38="","",_xlfn.LET(_xlpm.t,MATCH($B38,'[1]Territory Definitions'!$B$5:$B$14,0),IF(ISNA(_xlpm.t),"NO TERRITORY",IF(INDEX('[1]Territory Definitions'!$D$5:$M$14,_xlpm.t,MATCH(D$4,'[1]Territory Definitions'!$D$4:$M$4,0))&lt;&gt;1,"NOT IN TERRITORY",IF(COUNTIFS('[1]Blackout Brand Fam Areas (Enc)'!$B$6:$B$998,$A38,'[1]Blackout Brand Fam Areas (Enc)'!$C$6:$C$998,D$4,'[1]Blackout Brand Fam Areas (Enc)'!$D$6:$D$998,"Inactive")&gt;0,"BLOCKED","CAN SELL")))))</f>
        <v>CAN SELL</v>
      </c>
      <c r="E38" s="11" t="str">
        <f>IF($A38="","",_xlfn.LET(_xlpm.t,MATCH($B38,'[1]Territory Definitions'!$B$5:$B$14,0),IF(ISNA(_xlpm.t),"NO TERRITORY",IF(INDEX('[1]Territory Definitions'!$D$5:$M$14,_xlpm.t,MATCH(E$4,'[1]Territory Definitions'!$D$4:$M$4,0))&lt;&gt;1,"NOT IN TERRITORY",IF(COUNTIFS('[1]Blackout Brand Fam Areas (Enc)'!$B$6:$B$998,$A38,'[1]Blackout Brand Fam Areas (Enc)'!$C$6:$C$998,E$4,'[1]Blackout Brand Fam Areas (Enc)'!$D$6:$D$998,"Inactive")&gt;0,"BLOCKED","CAN SELL")))))</f>
        <v>CAN SELL</v>
      </c>
      <c r="F38" s="11" t="str">
        <f>IF($A38="","",_xlfn.LET(_xlpm.t,MATCH($B38,'[1]Territory Definitions'!$B$5:$B$14,0),IF(ISNA(_xlpm.t),"NO TERRITORY",IF(INDEX('[1]Territory Definitions'!$D$5:$M$14,_xlpm.t,MATCH(F$4,'[1]Territory Definitions'!$D$4:$M$4,0))&lt;&gt;1,"NOT IN TERRITORY",IF(COUNTIFS('[1]Blackout Brand Fam Areas (Enc)'!$B$6:$B$998,$A38,'[1]Blackout Brand Fam Areas (Enc)'!$C$6:$C$998,F$4,'[1]Blackout Brand Fam Areas (Enc)'!$D$6:$D$998,"Inactive")&gt;0,"BLOCKED","CAN SELL")))))</f>
        <v>CAN SELL</v>
      </c>
      <c r="G38" s="11" t="str">
        <f>IF($A38="","",_xlfn.LET(_xlpm.t,MATCH($B38,'[1]Territory Definitions'!$B$5:$B$14,0),IF(ISNA(_xlpm.t),"NO TERRITORY",IF(INDEX('[1]Territory Definitions'!$D$5:$M$14,_xlpm.t,MATCH(G$4,'[1]Territory Definitions'!$D$4:$M$4,0))&lt;&gt;1,"NOT IN TERRITORY",IF(COUNTIFS('[1]Blackout Brand Fam Areas (Enc)'!$B$6:$B$998,$A38,'[1]Blackout Brand Fam Areas (Enc)'!$C$6:$C$998,G$4,'[1]Blackout Brand Fam Areas (Enc)'!$D$6:$D$998,"Inactive")&gt;0,"BLOCKED","CAN SELL")))))</f>
        <v>CAN SELL</v>
      </c>
      <c r="H38" s="11" t="str">
        <f>IF($A38="","",_xlfn.LET(_xlpm.t,MATCH($B38,'[1]Territory Definitions'!$B$5:$B$14,0),IF(ISNA(_xlpm.t),"NO TERRITORY",IF(INDEX('[1]Territory Definitions'!$D$5:$M$14,_xlpm.t,MATCH(H$4,'[1]Territory Definitions'!$D$4:$M$4,0))&lt;&gt;1,"NOT IN TERRITORY",IF(COUNTIFS('[1]Blackout Brand Fam Areas (Enc)'!$B$6:$B$998,$A38,'[1]Blackout Brand Fam Areas (Enc)'!$C$6:$C$998,H$4,'[1]Blackout Brand Fam Areas (Enc)'!$D$6:$D$998,"Inactive")&gt;0,"BLOCKED","CAN SELL")))))</f>
        <v>CAN SELL</v>
      </c>
      <c r="I38" s="11" t="str">
        <f>IF($A38="","",_xlfn.LET(_xlpm.t,MATCH($B38,'[1]Territory Definitions'!$B$5:$B$14,0),IF(ISNA(_xlpm.t),"NO TERRITORY",IF(INDEX('[1]Territory Definitions'!$D$5:$M$14,_xlpm.t,MATCH(I$4,'[1]Territory Definitions'!$D$4:$M$4,0))&lt;&gt;1,"NOT IN TERRITORY",IF(COUNTIFS('[1]Blackout Brand Fam Areas (Enc)'!$B$6:$B$998,$A38,'[1]Blackout Brand Fam Areas (Enc)'!$C$6:$C$998,I$4,'[1]Blackout Brand Fam Areas (Enc)'!$D$6:$D$998,"Inactive")&gt;0,"BLOCKED","CAN SELL")))))</f>
        <v>CAN SELL</v>
      </c>
      <c r="J38" s="11" t="str">
        <f>IF($A38="","",_xlfn.LET(_xlpm.t,MATCH($B38,'[1]Territory Definitions'!$B$5:$B$14,0),IF(ISNA(_xlpm.t),"NO TERRITORY",IF(INDEX('[1]Territory Definitions'!$D$5:$M$14,_xlpm.t,MATCH(J$4,'[1]Territory Definitions'!$D$4:$M$4,0))&lt;&gt;1,"NOT IN TERRITORY",IF(COUNTIFS('[1]Blackout Brand Fam Areas (Enc)'!$B$6:$B$998,$A38,'[1]Blackout Brand Fam Areas (Enc)'!$C$6:$C$998,J$4,'[1]Blackout Brand Fam Areas (Enc)'!$D$6:$D$998,"Inactive")&gt;0,"BLOCKED","CAN SELL")))))</f>
        <v>CAN SELL</v>
      </c>
      <c r="K38" s="11" t="str">
        <f>IF($A38="","",_xlfn.LET(_xlpm.t,MATCH($B38,'[1]Territory Definitions'!$B$5:$B$14,0),IF(ISNA(_xlpm.t),"NO TERRITORY",IF(INDEX('[1]Territory Definitions'!$D$5:$M$14,_xlpm.t,MATCH(K$4,'[1]Territory Definitions'!$D$4:$M$4,0))&lt;&gt;1,"NOT IN TERRITORY",IF(COUNTIFS('[1]Blackout Brand Fam Areas (Enc)'!$B$6:$B$998,$A38,'[1]Blackout Brand Fam Areas (Enc)'!$C$6:$C$998,K$4,'[1]Blackout Brand Fam Areas (Enc)'!$D$6:$D$998,"Inactive")&gt;0,"BLOCKED","CAN SELL")))))</f>
        <v>CAN SELL</v>
      </c>
      <c r="L38" s="11" t="str">
        <f>IF($A38="","",_xlfn.LET(_xlpm.t,MATCH($B38,'[1]Territory Definitions'!$B$5:$B$14,0),IF(ISNA(_xlpm.t),"NO TERRITORY",IF(INDEX('[1]Territory Definitions'!$D$5:$M$14,_xlpm.t,MATCH(L$4,'[1]Territory Definitions'!$D$4:$M$4,0))&lt;&gt;1,"NOT IN TERRITORY",IF(COUNTIFS('[1]Blackout Brand Fam Areas (Enc)'!$B$6:$B$998,$A38,'[1]Blackout Brand Fam Areas (Enc)'!$C$6:$C$998,L$4,'[1]Blackout Brand Fam Areas (Enc)'!$D$6:$D$998,"Inactive")&gt;0,"BLOCKED","CAN SELL")))))</f>
        <v>CAN SELL</v>
      </c>
      <c r="M38" s="12">
        <f>IF($A38="","",COUNTIF($C38:$L38,"CAN SELL"))</f>
        <v>10</v>
      </c>
      <c r="N38" s="13" cm="1">
        <f t="array" ref="N38">IF($A38="","",SUMPRODUCT(($C38:$L38="CAN SELL")*$C$3:$L$3))</f>
        <v>2306</v>
      </c>
      <c r="O38" s="14" t="str">
        <f>IF($A38="","",IF(COUNTIF($A$5:$A$299,$A38)&gt;1,"DUPLICATE - two different territories assigned",IF($B38="** NO TERRITORY SET **","No territory on Brand Family Territory (Enc)","")))</f>
        <v/>
      </c>
      <c r="P38" s="18" t="str">
        <f>IF($A38="","",IFERROR(INDEX([1]Products!$H$4:$H$4801,MATCH($A38,[1]Products!$G$4:$G$4801,0)),"(no products)"))</f>
        <v>Emergent Beverage Partners</v>
      </c>
      <c r="Q38" s="19">
        <f>IF($A38="","",COUNTIFS([1]Products!$G$4:$G$4801,$A38,[1]Products!$L$4:$L$4801,"Yes"))</f>
        <v>4</v>
      </c>
      <c r="R38" s="19">
        <f>IF($A38="","",COUNTIFS([1]Products!$G$4:$G$4801,$A38,[1]Products!$L$4:$L$4801,"Yes",[1]Products!$K$4:$K$4801,"Draft"))</f>
        <v>0</v>
      </c>
      <c r="S38" s="19">
        <f>IF($A38="","",COUNTIFS([1]Products!$G$4:$G$4801,$A38,[1]Products!$L$4:$L$4801,"Yes",[1]Products!$K$4:$K$4801,"Package"))</f>
        <v>4</v>
      </c>
      <c r="T38" s="20" t="str" cm="1">
        <f t="array" ref="T38">IF($A38="","",_xlfn.IFS($Q38=0,"NO ACTIVE SKUs",AND($R38&gt;0,$S38&gt;0),"Draft &amp; Package",$R38&gt;0,"Draft only",TRUE,"Package only"))</f>
        <v>Package only</v>
      </c>
    </row>
    <row r="39" spans="1:20" x14ac:dyDescent="0.2">
      <c r="A39" s="9" t="str">
        <v>Brewt's</v>
      </c>
      <c r="B39" s="10" t="str">
        <f>IF($A39="","",_xlfn.XLOOKUP($A39,'[1]Brand Family Territory (Enc)'!$A:$A,'[1]Brand Family Territory (Enc)'!$B:$B,"** NO TERRITORY SET **"))</f>
        <v>All Counties</v>
      </c>
      <c r="C39" s="11" t="str">
        <f>IF($A39="","",_xlfn.LET(_xlpm.t,MATCH($B39,'[1]Territory Definitions'!$B$5:$B$14,0),IF(ISNA(_xlpm.t),"NO TERRITORY",IF(INDEX('[1]Territory Definitions'!$D$5:$M$14,_xlpm.t,MATCH(C$4,'[1]Territory Definitions'!$D$4:$M$4,0))&lt;&gt;1,"NOT IN TERRITORY",IF(COUNTIFS('[1]Blackout Brand Fam Areas (Enc)'!$B$6:$B$998,$A39,'[1]Blackout Brand Fam Areas (Enc)'!$C$6:$C$998,C$4,'[1]Blackout Brand Fam Areas (Enc)'!$D$6:$D$998,"Inactive")&gt;0,"BLOCKED","CAN SELL")))))</f>
        <v>CAN SELL</v>
      </c>
      <c r="D39" s="11" t="str">
        <f>IF($A39="","",_xlfn.LET(_xlpm.t,MATCH($B39,'[1]Territory Definitions'!$B$5:$B$14,0),IF(ISNA(_xlpm.t),"NO TERRITORY",IF(INDEX('[1]Territory Definitions'!$D$5:$M$14,_xlpm.t,MATCH(D$4,'[1]Territory Definitions'!$D$4:$M$4,0))&lt;&gt;1,"NOT IN TERRITORY",IF(COUNTIFS('[1]Blackout Brand Fam Areas (Enc)'!$B$6:$B$998,$A39,'[1]Blackout Brand Fam Areas (Enc)'!$C$6:$C$998,D$4,'[1]Blackout Brand Fam Areas (Enc)'!$D$6:$D$998,"Inactive")&gt;0,"BLOCKED","CAN SELL")))))</f>
        <v>CAN SELL</v>
      </c>
      <c r="E39" s="11" t="str">
        <f>IF($A39="","",_xlfn.LET(_xlpm.t,MATCH($B39,'[1]Territory Definitions'!$B$5:$B$14,0),IF(ISNA(_xlpm.t),"NO TERRITORY",IF(INDEX('[1]Territory Definitions'!$D$5:$M$14,_xlpm.t,MATCH(E$4,'[1]Territory Definitions'!$D$4:$M$4,0))&lt;&gt;1,"NOT IN TERRITORY",IF(COUNTIFS('[1]Blackout Brand Fam Areas (Enc)'!$B$6:$B$998,$A39,'[1]Blackout Brand Fam Areas (Enc)'!$C$6:$C$998,E$4,'[1]Blackout Brand Fam Areas (Enc)'!$D$6:$D$998,"Inactive")&gt;0,"BLOCKED","CAN SELL")))))</f>
        <v>CAN SELL</v>
      </c>
      <c r="F39" s="11" t="str">
        <f>IF($A39="","",_xlfn.LET(_xlpm.t,MATCH($B39,'[1]Territory Definitions'!$B$5:$B$14,0),IF(ISNA(_xlpm.t),"NO TERRITORY",IF(INDEX('[1]Territory Definitions'!$D$5:$M$14,_xlpm.t,MATCH(F$4,'[1]Territory Definitions'!$D$4:$M$4,0))&lt;&gt;1,"NOT IN TERRITORY",IF(COUNTIFS('[1]Blackout Brand Fam Areas (Enc)'!$B$6:$B$998,$A39,'[1]Blackout Brand Fam Areas (Enc)'!$C$6:$C$998,F$4,'[1]Blackout Brand Fam Areas (Enc)'!$D$6:$D$998,"Inactive")&gt;0,"BLOCKED","CAN SELL")))))</f>
        <v>CAN SELL</v>
      </c>
      <c r="G39" s="11" t="str">
        <f>IF($A39="","",_xlfn.LET(_xlpm.t,MATCH($B39,'[1]Territory Definitions'!$B$5:$B$14,0),IF(ISNA(_xlpm.t),"NO TERRITORY",IF(INDEX('[1]Territory Definitions'!$D$5:$M$14,_xlpm.t,MATCH(G$4,'[1]Territory Definitions'!$D$4:$M$4,0))&lt;&gt;1,"NOT IN TERRITORY",IF(COUNTIFS('[1]Blackout Brand Fam Areas (Enc)'!$B$6:$B$998,$A39,'[1]Blackout Brand Fam Areas (Enc)'!$C$6:$C$998,G$4,'[1]Blackout Brand Fam Areas (Enc)'!$D$6:$D$998,"Inactive")&gt;0,"BLOCKED","CAN SELL")))))</f>
        <v>CAN SELL</v>
      </c>
      <c r="H39" s="11" t="str">
        <f>IF($A39="","",_xlfn.LET(_xlpm.t,MATCH($B39,'[1]Territory Definitions'!$B$5:$B$14,0),IF(ISNA(_xlpm.t),"NO TERRITORY",IF(INDEX('[1]Territory Definitions'!$D$5:$M$14,_xlpm.t,MATCH(H$4,'[1]Territory Definitions'!$D$4:$M$4,0))&lt;&gt;1,"NOT IN TERRITORY",IF(COUNTIFS('[1]Blackout Brand Fam Areas (Enc)'!$B$6:$B$998,$A39,'[1]Blackout Brand Fam Areas (Enc)'!$C$6:$C$998,H$4,'[1]Blackout Brand Fam Areas (Enc)'!$D$6:$D$998,"Inactive")&gt;0,"BLOCKED","CAN SELL")))))</f>
        <v>CAN SELL</v>
      </c>
      <c r="I39" s="11" t="str">
        <f>IF($A39="","",_xlfn.LET(_xlpm.t,MATCH($B39,'[1]Territory Definitions'!$B$5:$B$14,0),IF(ISNA(_xlpm.t),"NO TERRITORY",IF(INDEX('[1]Territory Definitions'!$D$5:$M$14,_xlpm.t,MATCH(I$4,'[1]Territory Definitions'!$D$4:$M$4,0))&lt;&gt;1,"NOT IN TERRITORY",IF(COUNTIFS('[1]Blackout Brand Fam Areas (Enc)'!$B$6:$B$998,$A39,'[1]Blackout Brand Fam Areas (Enc)'!$C$6:$C$998,I$4,'[1]Blackout Brand Fam Areas (Enc)'!$D$6:$D$998,"Inactive")&gt;0,"BLOCKED","CAN SELL")))))</f>
        <v>CAN SELL</v>
      </c>
      <c r="J39" s="11" t="str">
        <f>IF($A39="","",_xlfn.LET(_xlpm.t,MATCH($B39,'[1]Territory Definitions'!$B$5:$B$14,0),IF(ISNA(_xlpm.t),"NO TERRITORY",IF(INDEX('[1]Territory Definitions'!$D$5:$M$14,_xlpm.t,MATCH(J$4,'[1]Territory Definitions'!$D$4:$M$4,0))&lt;&gt;1,"NOT IN TERRITORY",IF(COUNTIFS('[1]Blackout Brand Fam Areas (Enc)'!$B$6:$B$998,$A39,'[1]Blackout Brand Fam Areas (Enc)'!$C$6:$C$998,J$4,'[1]Blackout Brand Fam Areas (Enc)'!$D$6:$D$998,"Inactive")&gt;0,"BLOCKED","CAN SELL")))))</f>
        <v>CAN SELL</v>
      </c>
      <c r="K39" s="11" t="str">
        <f>IF($A39="","",_xlfn.LET(_xlpm.t,MATCH($B39,'[1]Territory Definitions'!$B$5:$B$14,0),IF(ISNA(_xlpm.t),"NO TERRITORY",IF(INDEX('[1]Territory Definitions'!$D$5:$M$14,_xlpm.t,MATCH(K$4,'[1]Territory Definitions'!$D$4:$M$4,0))&lt;&gt;1,"NOT IN TERRITORY",IF(COUNTIFS('[1]Blackout Brand Fam Areas (Enc)'!$B$6:$B$998,$A39,'[1]Blackout Brand Fam Areas (Enc)'!$C$6:$C$998,K$4,'[1]Blackout Brand Fam Areas (Enc)'!$D$6:$D$998,"Inactive")&gt;0,"BLOCKED","CAN SELL")))))</f>
        <v>CAN SELL</v>
      </c>
      <c r="L39" s="11" t="str">
        <f>IF($A39="","",_xlfn.LET(_xlpm.t,MATCH($B39,'[1]Territory Definitions'!$B$5:$B$14,0),IF(ISNA(_xlpm.t),"NO TERRITORY",IF(INDEX('[1]Territory Definitions'!$D$5:$M$14,_xlpm.t,MATCH(L$4,'[1]Territory Definitions'!$D$4:$M$4,0))&lt;&gt;1,"NOT IN TERRITORY",IF(COUNTIFS('[1]Blackout Brand Fam Areas (Enc)'!$B$6:$B$998,$A39,'[1]Blackout Brand Fam Areas (Enc)'!$C$6:$C$998,L$4,'[1]Blackout Brand Fam Areas (Enc)'!$D$6:$D$998,"Inactive")&gt;0,"BLOCKED","CAN SELL")))))</f>
        <v>CAN SELL</v>
      </c>
      <c r="M39" s="12">
        <f>IF($A39="","",COUNTIF($C39:$L39,"CAN SELL"))</f>
        <v>10</v>
      </c>
      <c r="N39" s="13" cm="1">
        <f t="array" ref="N39">IF($A39="","",SUMPRODUCT(($C39:$L39="CAN SELL")*$C$3:$L$3))</f>
        <v>2306</v>
      </c>
      <c r="O39" s="14" t="str">
        <f>IF($A39="","",IF(COUNTIF($A$5:$A$299,$A39)&gt;1,"DUPLICATE - two different territories assigned",IF($B39="** NO TERRITORY SET **","No territory on Brand Family Territory (Enc)","")))</f>
        <v/>
      </c>
      <c r="P39" s="18" t="str">
        <f>IF($A39="","",IFERROR(INDEX([1]Products!$H$4:$H$4801,MATCH($A39,[1]Products!$G$4:$G$4801,0)),"(no products)"))</f>
        <v>Brewt's LLC</v>
      </c>
      <c r="Q39" s="19">
        <f>IF($A39="","",COUNTIFS([1]Products!$G$4:$G$4801,$A39,[1]Products!$L$4:$L$4801,"Yes"))</f>
        <v>5</v>
      </c>
      <c r="R39" s="19">
        <f>IF($A39="","",COUNTIFS([1]Products!$G$4:$G$4801,$A39,[1]Products!$L$4:$L$4801,"Yes",[1]Products!$K$4:$K$4801,"Draft"))</f>
        <v>0</v>
      </c>
      <c r="S39" s="19">
        <f>IF($A39="","",COUNTIFS([1]Products!$G$4:$G$4801,$A39,[1]Products!$L$4:$L$4801,"Yes",[1]Products!$K$4:$K$4801,"Package"))</f>
        <v>5</v>
      </c>
      <c r="T39" s="20" t="str" cm="1">
        <f t="array" ref="T39">IF($A39="","",_xlfn.IFS($Q39=0,"NO ACTIVE SKUs",AND($R39&gt;0,$S39&gt;0),"Draft &amp; Package",$R39&gt;0,"Draft only",TRUE,"Package only"))</f>
        <v>Package only</v>
      </c>
    </row>
    <row r="40" spans="1:20" x14ac:dyDescent="0.2">
      <c r="A40" s="9" t="str">
        <v>Brio</v>
      </c>
      <c r="B40" s="10" t="str">
        <f>IF($A40="","",_xlfn.XLOOKUP($A40,'[1]Brand Family Territory (Enc)'!$A:$A,'[1]Brand Family Territory (Enc)'!$B:$B,"** NO TERRITORY SET **"))</f>
        <v>All Counties</v>
      </c>
      <c r="C40" s="11" t="str">
        <f>IF($A40="","",_xlfn.LET(_xlpm.t,MATCH($B40,'[1]Territory Definitions'!$B$5:$B$14,0),IF(ISNA(_xlpm.t),"NO TERRITORY",IF(INDEX('[1]Territory Definitions'!$D$5:$M$14,_xlpm.t,MATCH(C$4,'[1]Territory Definitions'!$D$4:$M$4,0))&lt;&gt;1,"NOT IN TERRITORY",IF(COUNTIFS('[1]Blackout Brand Fam Areas (Enc)'!$B$6:$B$998,$A40,'[1]Blackout Brand Fam Areas (Enc)'!$C$6:$C$998,C$4,'[1]Blackout Brand Fam Areas (Enc)'!$D$6:$D$998,"Inactive")&gt;0,"BLOCKED","CAN SELL")))))</f>
        <v>CAN SELL</v>
      </c>
      <c r="D40" s="11" t="str">
        <f>IF($A40="","",_xlfn.LET(_xlpm.t,MATCH($B40,'[1]Territory Definitions'!$B$5:$B$14,0),IF(ISNA(_xlpm.t),"NO TERRITORY",IF(INDEX('[1]Territory Definitions'!$D$5:$M$14,_xlpm.t,MATCH(D$4,'[1]Territory Definitions'!$D$4:$M$4,0))&lt;&gt;1,"NOT IN TERRITORY",IF(COUNTIFS('[1]Blackout Brand Fam Areas (Enc)'!$B$6:$B$998,$A40,'[1]Blackout Brand Fam Areas (Enc)'!$C$6:$C$998,D$4,'[1]Blackout Brand Fam Areas (Enc)'!$D$6:$D$998,"Inactive")&gt;0,"BLOCKED","CAN SELL")))))</f>
        <v>CAN SELL</v>
      </c>
      <c r="E40" s="11" t="str">
        <f>IF($A40="","",_xlfn.LET(_xlpm.t,MATCH($B40,'[1]Territory Definitions'!$B$5:$B$14,0),IF(ISNA(_xlpm.t),"NO TERRITORY",IF(INDEX('[1]Territory Definitions'!$D$5:$M$14,_xlpm.t,MATCH(E$4,'[1]Territory Definitions'!$D$4:$M$4,0))&lt;&gt;1,"NOT IN TERRITORY",IF(COUNTIFS('[1]Blackout Brand Fam Areas (Enc)'!$B$6:$B$998,$A40,'[1]Blackout Brand Fam Areas (Enc)'!$C$6:$C$998,E$4,'[1]Blackout Brand Fam Areas (Enc)'!$D$6:$D$998,"Inactive")&gt;0,"BLOCKED","CAN SELL")))))</f>
        <v>CAN SELL</v>
      </c>
      <c r="F40" s="11" t="str">
        <f>IF($A40="","",_xlfn.LET(_xlpm.t,MATCH($B40,'[1]Territory Definitions'!$B$5:$B$14,0),IF(ISNA(_xlpm.t),"NO TERRITORY",IF(INDEX('[1]Territory Definitions'!$D$5:$M$14,_xlpm.t,MATCH(F$4,'[1]Territory Definitions'!$D$4:$M$4,0))&lt;&gt;1,"NOT IN TERRITORY",IF(COUNTIFS('[1]Blackout Brand Fam Areas (Enc)'!$B$6:$B$998,$A40,'[1]Blackout Brand Fam Areas (Enc)'!$C$6:$C$998,F$4,'[1]Blackout Brand Fam Areas (Enc)'!$D$6:$D$998,"Inactive")&gt;0,"BLOCKED","CAN SELL")))))</f>
        <v>CAN SELL</v>
      </c>
      <c r="G40" s="11" t="str">
        <f>IF($A40="","",_xlfn.LET(_xlpm.t,MATCH($B40,'[1]Territory Definitions'!$B$5:$B$14,0),IF(ISNA(_xlpm.t),"NO TERRITORY",IF(INDEX('[1]Territory Definitions'!$D$5:$M$14,_xlpm.t,MATCH(G$4,'[1]Territory Definitions'!$D$4:$M$4,0))&lt;&gt;1,"NOT IN TERRITORY",IF(COUNTIFS('[1]Blackout Brand Fam Areas (Enc)'!$B$6:$B$998,$A40,'[1]Blackout Brand Fam Areas (Enc)'!$C$6:$C$998,G$4,'[1]Blackout Brand Fam Areas (Enc)'!$D$6:$D$998,"Inactive")&gt;0,"BLOCKED","CAN SELL")))))</f>
        <v>CAN SELL</v>
      </c>
      <c r="H40" s="11" t="str">
        <f>IF($A40="","",_xlfn.LET(_xlpm.t,MATCH($B40,'[1]Territory Definitions'!$B$5:$B$14,0),IF(ISNA(_xlpm.t),"NO TERRITORY",IF(INDEX('[1]Territory Definitions'!$D$5:$M$14,_xlpm.t,MATCH(H$4,'[1]Territory Definitions'!$D$4:$M$4,0))&lt;&gt;1,"NOT IN TERRITORY",IF(COUNTIFS('[1]Blackout Brand Fam Areas (Enc)'!$B$6:$B$998,$A40,'[1]Blackout Brand Fam Areas (Enc)'!$C$6:$C$998,H$4,'[1]Blackout Brand Fam Areas (Enc)'!$D$6:$D$998,"Inactive")&gt;0,"BLOCKED","CAN SELL")))))</f>
        <v>CAN SELL</v>
      </c>
      <c r="I40" s="11" t="str">
        <f>IF($A40="","",_xlfn.LET(_xlpm.t,MATCH($B40,'[1]Territory Definitions'!$B$5:$B$14,0),IF(ISNA(_xlpm.t),"NO TERRITORY",IF(INDEX('[1]Territory Definitions'!$D$5:$M$14,_xlpm.t,MATCH(I$4,'[1]Territory Definitions'!$D$4:$M$4,0))&lt;&gt;1,"NOT IN TERRITORY",IF(COUNTIFS('[1]Blackout Brand Fam Areas (Enc)'!$B$6:$B$998,$A40,'[1]Blackout Brand Fam Areas (Enc)'!$C$6:$C$998,I$4,'[1]Blackout Brand Fam Areas (Enc)'!$D$6:$D$998,"Inactive")&gt;0,"BLOCKED","CAN SELL")))))</f>
        <v>CAN SELL</v>
      </c>
      <c r="J40" s="11" t="str">
        <f>IF($A40="","",_xlfn.LET(_xlpm.t,MATCH($B40,'[1]Territory Definitions'!$B$5:$B$14,0),IF(ISNA(_xlpm.t),"NO TERRITORY",IF(INDEX('[1]Territory Definitions'!$D$5:$M$14,_xlpm.t,MATCH(J$4,'[1]Territory Definitions'!$D$4:$M$4,0))&lt;&gt;1,"NOT IN TERRITORY",IF(COUNTIFS('[1]Blackout Brand Fam Areas (Enc)'!$B$6:$B$998,$A40,'[1]Blackout Brand Fam Areas (Enc)'!$C$6:$C$998,J$4,'[1]Blackout Brand Fam Areas (Enc)'!$D$6:$D$998,"Inactive")&gt;0,"BLOCKED","CAN SELL")))))</f>
        <v>CAN SELL</v>
      </c>
      <c r="K40" s="11" t="str">
        <f>IF($A40="","",_xlfn.LET(_xlpm.t,MATCH($B40,'[1]Territory Definitions'!$B$5:$B$14,0),IF(ISNA(_xlpm.t),"NO TERRITORY",IF(INDEX('[1]Territory Definitions'!$D$5:$M$14,_xlpm.t,MATCH(K$4,'[1]Territory Definitions'!$D$4:$M$4,0))&lt;&gt;1,"NOT IN TERRITORY",IF(COUNTIFS('[1]Blackout Brand Fam Areas (Enc)'!$B$6:$B$998,$A40,'[1]Blackout Brand Fam Areas (Enc)'!$C$6:$C$998,K$4,'[1]Blackout Brand Fam Areas (Enc)'!$D$6:$D$998,"Inactive")&gt;0,"BLOCKED","CAN SELL")))))</f>
        <v>CAN SELL</v>
      </c>
      <c r="L40" s="11" t="str">
        <f>IF($A40="","",_xlfn.LET(_xlpm.t,MATCH($B40,'[1]Territory Definitions'!$B$5:$B$14,0),IF(ISNA(_xlpm.t),"NO TERRITORY",IF(INDEX('[1]Territory Definitions'!$D$5:$M$14,_xlpm.t,MATCH(L$4,'[1]Territory Definitions'!$D$4:$M$4,0))&lt;&gt;1,"NOT IN TERRITORY",IF(COUNTIFS('[1]Blackout Brand Fam Areas (Enc)'!$B$6:$B$998,$A40,'[1]Blackout Brand Fam Areas (Enc)'!$C$6:$C$998,L$4,'[1]Blackout Brand Fam Areas (Enc)'!$D$6:$D$998,"Inactive")&gt;0,"BLOCKED","CAN SELL")))))</f>
        <v>CAN SELL</v>
      </c>
      <c r="M40" s="12">
        <f>IF($A40="","",COUNTIF($C40:$L40,"CAN SELL"))</f>
        <v>10</v>
      </c>
      <c r="N40" s="13" cm="1">
        <f t="array" ref="N40">IF($A40="","",SUMPRODUCT(($C40:$L40="CAN SELL")*$C$3:$L$3))</f>
        <v>2306</v>
      </c>
      <c r="O40" s="14" t="str">
        <f>IF($A40="","",IF(COUNTIF($A$5:$A$299,$A40)&gt;1,"DUPLICATE - two different territories assigned",IF($B40="** NO TERRITORY SET **","No territory on Brand Family Territory (Enc)","")))</f>
        <v/>
      </c>
      <c r="P40" s="18" t="str">
        <f>IF($A40="","",IFERROR(INDEX([1]Products!$H$4:$H$4801,MATCH($A40,[1]Products!$G$4:$G$4801,0)),"(no products)"))</f>
        <v>Dreamz Invenstments LLC</v>
      </c>
      <c r="Q40" s="19">
        <f>IF($A40="","",COUNTIFS([1]Products!$G$4:$G$4801,$A40,[1]Products!$L$4:$L$4801,"Yes"))</f>
        <v>2</v>
      </c>
      <c r="R40" s="19">
        <f>IF($A40="","",COUNTIFS([1]Products!$G$4:$G$4801,$A40,[1]Products!$L$4:$L$4801,"Yes",[1]Products!$K$4:$K$4801,"Draft"))</f>
        <v>0</v>
      </c>
      <c r="S40" s="19">
        <f>IF($A40="","",COUNTIFS([1]Products!$G$4:$G$4801,$A40,[1]Products!$L$4:$L$4801,"Yes",[1]Products!$K$4:$K$4801,"Package"))</f>
        <v>2</v>
      </c>
      <c r="T40" s="20" t="str" cm="1">
        <f t="array" ref="T40">IF($A40="","",_xlfn.IFS($Q40=0,"NO ACTIVE SKUs",AND($R40&gt;0,$S40&gt;0),"Draft &amp; Package",$R40&gt;0,"Draft only",TRUE,"Package only"))</f>
        <v>Package only</v>
      </c>
    </row>
    <row r="41" spans="1:20" x14ac:dyDescent="0.2">
      <c r="A41" s="9" t="str">
        <v>Buzbee's</v>
      </c>
      <c r="B41" s="10" t="str">
        <f>IF($A41="","",_xlfn.XLOOKUP($A41,'[1]Brand Family Territory (Enc)'!$A:$A,'[1]Brand Family Territory (Enc)'!$B:$B,"** NO TERRITORY SET **"))</f>
        <v>All Counties</v>
      </c>
      <c r="C41" s="11" t="str">
        <f>IF($A41="","",_xlfn.LET(_xlpm.t,MATCH($B41,'[1]Territory Definitions'!$B$5:$B$14,0),IF(ISNA(_xlpm.t),"NO TERRITORY",IF(INDEX('[1]Territory Definitions'!$D$5:$M$14,_xlpm.t,MATCH(C$4,'[1]Territory Definitions'!$D$4:$M$4,0))&lt;&gt;1,"NOT IN TERRITORY",IF(COUNTIFS('[1]Blackout Brand Fam Areas (Enc)'!$B$6:$B$998,$A41,'[1]Blackout Brand Fam Areas (Enc)'!$C$6:$C$998,C$4,'[1]Blackout Brand Fam Areas (Enc)'!$D$6:$D$998,"Inactive")&gt;0,"BLOCKED","CAN SELL")))))</f>
        <v>CAN SELL</v>
      </c>
      <c r="D41" s="11" t="str">
        <f>IF($A41="","",_xlfn.LET(_xlpm.t,MATCH($B41,'[1]Territory Definitions'!$B$5:$B$14,0),IF(ISNA(_xlpm.t),"NO TERRITORY",IF(INDEX('[1]Territory Definitions'!$D$5:$M$14,_xlpm.t,MATCH(D$4,'[1]Territory Definitions'!$D$4:$M$4,0))&lt;&gt;1,"NOT IN TERRITORY",IF(COUNTIFS('[1]Blackout Brand Fam Areas (Enc)'!$B$6:$B$998,$A41,'[1]Blackout Brand Fam Areas (Enc)'!$C$6:$C$998,D$4,'[1]Blackout Brand Fam Areas (Enc)'!$D$6:$D$998,"Inactive")&gt;0,"BLOCKED","CAN SELL")))))</f>
        <v>CAN SELL</v>
      </c>
      <c r="E41" s="11" t="str">
        <f>IF($A41="","",_xlfn.LET(_xlpm.t,MATCH($B41,'[1]Territory Definitions'!$B$5:$B$14,0),IF(ISNA(_xlpm.t),"NO TERRITORY",IF(INDEX('[1]Territory Definitions'!$D$5:$M$14,_xlpm.t,MATCH(E$4,'[1]Territory Definitions'!$D$4:$M$4,0))&lt;&gt;1,"NOT IN TERRITORY",IF(COUNTIFS('[1]Blackout Brand Fam Areas (Enc)'!$B$6:$B$998,$A41,'[1]Blackout Brand Fam Areas (Enc)'!$C$6:$C$998,E$4,'[1]Blackout Brand Fam Areas (Enc)'!$D$6:$D$998,"Inactive")&gt;0,"BLOCKED","CAN SELL")))))</f>
        <v>CAN SELL</v>
      </c>
      <c r="F41" s="11" t="str">
        <f>IF($A41="","",_xlfn.LET(_xlpm.t,MATCH($B41,'[1]Territory Definitions'!$B$5:$B$14,0),IF(ISNA(_xlpm.t),"NO TERRITORY",IF(INDEX('[1]Territory Definitions'!$D$5:$M$14,_xlpm.t,MATCH(F$4,'[1]Territory Definitions'!$D$4:$M$4,0))&lt;&gt;1,"NOT IN TERRITORY",IF(COUNTIFS('[1]Blackout Brand Fam Areas (Enc)'!$B$6:$B$998,$A41,'[1]Blackout Brand Fam Areas (Enc)'!$C$6:$C$998,F$4,'[1]Blackout Brand Fam Areas (Enc)'!$D$6:$D$998,"Inactive")&gt;0,"BLOCKED","CAN SELL")))))</f>
        <v>CAN SELL</v>
      </c>
      <c r="G41" s="11" t="str">
        <f>IF($A41="","",_xlfn.LET(_xlpm.t,MATCH($B41,'[1]Territory Definitions'!$B$5:$B$14,0),IF(ISNA(_xlpm.t),"NO TERRITORY",IF(INDEX('[1]Territory Definitions'!$D$5:$M$14,_xlpm.t,MATCH(G$4,'[1]Territory Definitions'!$D$4:$M$4,0))&lt;&gt;1,"NOT IN TERRITORY",IF(COUNTIFS('[1]Blackout Brand Fam Areas (Enc)'!$B$6:$B$998,$A41,'[1]Blackout Brand Fam Areas (Enc)'!$C$6:$C$998,G$4,'[1]Blackout Brand Fam Areas (Enc)'!$D$6:$D$998,"Inactive")&gt;0,"BLOCKED","CAN SELL")))))</f>
        <v>CAN SELL</v>
      </c>
      <c r="H41" s="11" t="str">
        <f>IF($A41="","",_xlfn.LET(_xlpm.t,MATCH($B41,'[1]Territory Definitions'!$B$5:$B$14,0),IF(ISNA(_xlpm.t),"NO TERRITORY",IF(INDEX('[1]Territory Definitions'!$D$5:$M$14,_xlpm.t,MATCH(H$4,'[1]Territory Definitions'!$D$4:$M$4,0))&lt;&gt;1,"NOT IN TERRITORY",IF(COUNTIFS('[1]Blackout Brand Fam Areas (Enc)'!$B$6:$B$998,$A41,'[1]Blackout Brand Fam Areas (Enc)'!$C$6:$C$998,H$4,'[1]Blackout Brand Fam Areas (Enc)'!$D$6:$D$998,"Inactive")&gt;0,"BLOCKED","CAN SELL")))))</f>
        <v>CAN SELL</v>
      </c>
      <c r="I41" s="11" t="str">
        <f>IF($A41="","",_xlfn.LET(_xlpm.t,MATCH($B41,'[1]Territory Definitions'!$B$5:$B$14,0),IF(ISNA(_xlpm.t),"NO TERRITORY",IF(INDEX('[1]Territory Definitions'!$D$5:$M$14,_xlpm.t,MATCH(I$4,'[1]Territory Definitions'!$D$4:$M$4,0))&lt;&gt;1,"NOT IN TERRITORY",IF(COUNTIFS('[1]Blackout Brand Fam Areas (Enc)'!$B$6:$B$998,$A41,'[1]Blackout Brand Fam Areas (Enc)'!$C$6:$C$998,I$4,'[1]Blackout Brand Fam Areas (Enc)'!$D$6:$D$998,"Inactive")&gt;0,"BLOCKED","CAN SELL")))))</f>
        <v>CAN SELL</v>
      </c>
      <c r="J41" s="11" t="str">
        <f>IF($A41="","",_xlfn.LET(_xlpm.t,MATCH($B41,'[1]Territory Definitions'!$B$5:$B$14,0),IF(ISNA(_xlpm.t),"NO TERRITORY",IF(INDEX('[1]Territory Definitions'!$D$5:$M$14,_xlpm.t,MATCH(J$4,'[1]Territory Definitions'!$D$4:$M$4,0))&lt;&gt;1,"NOT IN TERRITORY",IF(COUNTIFS('[1]Blackout Brand Fam Areas (Enc)'!$B$6:$B$998,$A41,'[1]Blackout Brand Fam Areas (Enc)'!$C$6:$C$998,J$4,'[1]Blackout Brand Fam Areas (Enc)'!$D$6:$D$998,"Inactive")&gt;0,"BLOCKED","CAN SELL")))))</f>
        <v>CAN SELL</v>
      </c>
      <c r="K41" s="11" t="str">
        <f>IF($A41="","",_xlfn.LET(_xlpm.t,MATCH($B41,'[1]Territory Definitions'!$B$5:$B$14,0),IF(ISNA(_xlpm.t),"NO TERRITORY",IF(INDEX('[1]Territory Definitions'!$D$5:$M$14,_xlpm.t,MATCH(K$4,'[1]Territory Definitions'!$D$4:$M$4,0))&lt;&gt;1,"NOT IN TERRITORY",IF(COUNTIFS('[1]Blackout Brand Fam Areas (Enc)'!$B$6:$B$998,$A41,'[1]Blackout Brand Fam Areas (Enc)'!$C$6:$C$998,K$4,'[1]Blackout Brand Fam Areas (Enc)'!$D$6:$D$998,"Inactive")&gt;0,"BLOCKED","CAN SELL")))))</f>
        <v>CAN SELL</v>
      </c>
      <c r="L41" s="11" t="str">
        <f>IF($A41="","",_xlfn.LET(_xlpm.t,MATCH($B41,'[1]Territory Definitions'!$B$5:$B$14,0),IF(ISNA(_xlpm.t),"NO TERRITORY",IF(INDEX('[1]Territory Definitions'!$D$5:$M$14,_xlpm.t,MATCH(L$4,'[1]Territory Definitions'!$D$4:$M$4,0))&lt;&gt;1,"NOT IN TERRITORY",IF(COUNTIFS('[1]Blackout Brand Fam Areas (Enc)'!$B$6:$B$998,$A41,'[1]Blackout Brand Fam Areas (Enc)'!$C$6:$C$998,L$4,'[1]Blackout Brand Fam Areas (Enc)'!$D$6:$D$998,"Inactive")&gt;0,"BLOCKED","CAN SELL")))))</f>
        <v>CAN SELL</v>
      </c>
      <c r="M41" s="12">
        <f>IF($A41="","",COUNTIF($C41:$L41,"CAN SELL"))</f>
        <v>10</v>
      </c>
      <c r="N41" s="13" cm="1">
        <f t="array" ref="N41">IF($A41="","",SUMPRODUCT(($C41:$L41="CAN SELL")*$C$3:$L$3))</f>
        <v>2306</v>
      </c>
      <c r="O41" s="14" t="str">
        <f>IF($A41="","",IF(COUNTIF($A$5:$A$299,$A41)&gt;1,"DUPLICATE - two different territories assigned",IF($B41="** NO TERRITORY SET **","No territory on Brand Family Territory (Enc)","")))</f>
        <v/>
      </c>
      <c r="P41" s="18" t="str">
        <f>IF($A41="","",IFERROR(INDEX([1]Products!$H$4:$H$4801,MATCH($A41,[1]Products!$G$4:$G$4801,0)),"(no products)"))</f>
        <v>Buzbee's Beverages USA LLC</v>
      </c>
      <c r="Q41" s="19">
        <f>IF($A41="","",COUNTIFS([1]Products!$G$4:$G$4801,$A41,[1]Products!$L$4:$L$4801,"Yes"))</f>
        <v>4</v>
      </c>
      <c r="R41" s="19">
        <f>IF($A41="","",COUNTIFS([1]Products!$G$4:$G$4801,$A41,[1]Products!$L$4:$L$4801,"Yes",[1]Products!$K$4:$K$4801,"Draft"))</f>
        <v>0</v>
      </c>
      <c r="S41" s="19">
        <f>IF($A41="","",COUNTIFS([1]Products!$G$4:$G$4801,$A41,[1]Products!$L$4:$L$4801,"Yes",[1]Products!$K$4:$K$4801,"Package"))</f>
        <v>4</v>
      </c>
      <c r="T41" s="20" t="str" cm="1">
        <f t="array" ref="T41">IF($A41="","",_xlfn.IFS($Q41=0,"NO ACTIVE SKUs",AND($R41&gt;0,$S41&gt;0),"Draft &amp; Package",$R41&gt;0,"Draft only",TRUE,"Package only"))</f>
        <v>Package only</v>
      </c>
    </row>
    <row r="42" spans="1:20" x14ac:dyDescent="0.2">
      <c r="A42" s="9" t="str">
        <v>Calise</v>
      </c>
      <c r="B42" s="10" t="str">
        <f>IF($A42="","",_xlfn.XLOOKUP($A42,'[1]Brand Family Territory (Enc)'!$A:$A,'[1]Brand Family Territory (Enc)'!$B:$B,"** NO TERRITORY SET **"))</f>
        <v>All Counties</v>
      </c>
      <c r="C42" s="11" t="str">
        <f>IF($A42="","",_xlfn.LET(_xlpm.t,MATCH($B42,'[1]Territory Definitions'!$B$5:$B$14,0),IF(ISNA(_xlpm.t),"NO TERRITORY",IF(INDEX('[1]Territory Definitions'!$D$5:$M$14,_xlpm.t,MATCH(C$4,'[1]Territory Definitions'!$D$4:$M$4,0))&lt;&gt;1,"NOT IN TERRITORY",IF(COUNTIFS('[1]Blackout Brand Fam Areas (Enc)'!$B$6:$B$998,$A42,'[1]Blackout Brand Fam Areas (Enc)'!$C$6:$C$998,C$4,'[1]Blackout Brand Fam Areas (Enc)'!$D$6:$D$998,"Inactive")&gt;0,"BLOCKED","CAN SELL")))))</f>
        <v>CAN SELL</v>
      </c>
      <c r="D42" s="11" t="str">
        <f>IF($A42="","",_xlfn.LET(_xlpm.t,MATCH($B42,'[1]Territory Definitions'!$B$5:$B$14,0),IF(ISNA(_xlpm.t),"NO TERRITORY",IF(INDEX('[1]Territory Definitions'!$D$5:$M$14,_xlpm.t,MATCH(D$4,'[1]Territory Definitions'!$D$4:$M$4,0))&lt;&gt;1,"NOT IN TERRITORY",IF(COUNTIFS('[1]Blackout Brand Fam Areas (Enc)'!$B$6:$B$998,$A42,'[1]Blackout Brand Fam Areas (Enc)'!$C$6:$C$998,D$4,'[1]Blackout Brand Fam Areas (Enc)'!$D$6:$D$998,"Inactive")&gt;0,"BLOCKED","CAN SELL")))))</f>
        <v>CAN SELL</v>
      </c>
      <c r="E42" s="11" t="str">
        <f>IF($A42="","",_xlfn.LET(_xlpm.t,MATCH($B42,'[1]Territory Definitions'!$B$5:$B$14,0),IF(ISNA(_xlpm.t),"NO TERRITORY",IF(INDEX('[1]Territory Definitions'!$D$5:$M$14,_xlpm.t,MATCH(E$4,'[1]Territory Definitions'!$D$4:$M$4,0))&lt;&gt;1,"NOT IN TERRITORY",IF(COUNTIFS('[1]Blackout Brand Fam Areas (Enc)'!$B$6:$B$998,$A42,'[1]Blackout Brand Fam Areas (Enc)'!$C$6:$C$998,E$4,'[1]Blackout Brand Fam Areas (Enc)'!$D$6:$D$998,"Inactive")&gt;0,"BLOCKED","CAN SELL")))))</f>
        <v>CAN SELL</v>
      </c>
      <c r="F42" s="11" t="str">
        <f>IF($A42="","",_xlfn.LET(_xlpm.t,MATCH($B42,'[1]Territory Definitions'!$B$5:$B$14,0),IF(ISNA(_xlpm.t),"NO TERRITORY",IF(INDEX('[1]Territory Definitions'!$D$5:$M$14,_xlpm.t,MATCH(F$4,'[1]Territory Definitions'!$D$4:$M$4,0))&lt;&gt;1,"NOT IN TERRITORY",IF(COUNTIFS('[1]Blackout Brand Fam Areas (Enc)'!$B$6:$B$998,$A42,'[1]Blackout Brand Fam Areas (Enc)'!$C$6:$C$998,F$4,'[1]Blackout Brand Fam Areas (Enc)'!$D$6:$D$998,"Inactive")&gt;0,"BLOCKED","CAN SELL")))))</f>
        <v>CAN SELL</v>
      </c>
      <c r="G42" s="11" t="str">
        <f>IF($A42="","",_xlfn.LET(_xlpm.t,MATCH($B42,'[1]Territory Definitions'!$B$5:$B$14,0),IF(ISNA(_xlpm.t),"NO TERRITORY",IF(INDEX('[1]Territory Definitions'!$D$5:$M$14,_xlpm.t,MATCH(G$4,'[1]Territory Definitions'!$D$4:$M$4,0))&lt;&gt;1,"NOT IN TERRITORY",IF(COUNTIFS('[1]Blackout Brand Fam Areas (Enc)'!$B$6:$B$998,$A42,'[1]Blackout Brand Fam Areas (Enc)'!$C$6:$C$998,G$4,'[1]Blackout Brand Fam Areas (Enc)'!$D$6:$D$998,"Inactive")&gt;0,"BLOCKED","CAN SELL")))))</f>
        <v>CAN SELL</v>
      </c>
      <c r="H42" s="11" t="str">
        <f>IF($A42="","",_xlfn.LET(_xlpm.t,MATCH($B42,'[1]Territory Definitions'!$B$5:$B$14,0),IF(ISNA(_xlpm.t),"NO TERRITORY",IF(INDEX('[1]Territory Definitions'!$D$5:$M$14,_xlpm.t,MATCH(H$4,'[1]Territory Definitions'!$D$4:$M$4,0))&lt;&gt;1,"NOT IN TERRITORY",IF(COUNTIFS('[1]Blackout Brand Fam Areas (Enc)'!$B$6:$B$998,$A42,'[1]Blackout Brand Fam Areas (Enc)'!$C$6:$C$998,H$4,'[1]Blackout Brand Fam Areas (Enc)'!$D$6:$D$998,"Inactive")&gt;0,"BLOCKED","CAN SELL")))))</f>
        <v>CAN SELL</v>
      </c>
      <c r="I42" s="11" t="str">
        <f>IF($A42="","",_xlfn.LET(_xlpm.t,MATCH($B42,'[1]Territory Definitions'!$B$5:$B$14,0),IF(ISNA(_xlpm.t),"NO TERRITORY",IF(INDEX('[1]Territory Definitions'!$D$5:$M$14,_xlpm.t,MATCH(I$4,'[1]Territory Definitions'!$D$4:$M$4,0))&lt;&gt;1,"NOT IN TERRITORY",IF(COUNTIFS('[1]Blackout Brand Fam Areas (Enc)'!$B$6:$B$998,$A42,'[1]Blackout Brand Fam Areas (Enc)'!$C$6:$C$998,I$4,'[1]Blackout Brand Fam Areas (Enc)'!$D$6:$D$998,"Inactive")&gt;0,"BLOCKED","CAN SELL")))))</f>
        <v>CAN SELL</v>
      </c>
      <c r="J42" s="11" t="str">
        <f>IF($A42="","",_xlfn.LET(_xlpm.t,MATCH($B42,'[1]Territory Definitions'!$B$5:$B$14,0),IF(ISNA(_xlpm.t),"NO TERRITORY",IF(INDEX('[1]Territory Definitions'!$D$5:$M$14,_xlpm.t,MATCH(J$4,'[1]Territory Definitions'!$D$4:$M$4,0))&lt;&gt;1,"NOT IN TERRITORY",IF(COUNTIFS('[1]Blackout Brand Fam Areas (Enc)'!$B$6:$B$998,$A42,'[1]Blackout Brand Fam Areas (Enc)'!$C$6:$C$998,J$4,'[1]Blackout Brand Fam Areas (Enc)'!$D$6:$D$998,"Inactive")&gt;0,"BLOCKED","CAN SELL")))))</f>
        <v>CAN SELL</v>
      </c>
      <c r="K42" s="11" t="str">
        <f>IF($A42="","",_xlfn.LET(_xlpm.t,MATCH($B42,'[1]Territory Definitions'!$B$5:$B$14,0),IF(ISNA(_xlpm.t),"NO TERRITORY",IF(INDEX('[1]Territory Definitions'!$D$5:$M$14,_xlpm.t,MATCH(K$4,'[1]Territory Definitions'!$D$4:$M$4,0))&lt;&gt;1,"NOT IN TERRITORY",IF(COUNTIFS('[1]Blackout Brand Fam Areas (Enc)'!$B$6:$B$998,$A42,'[1]Blackout Brand Fam Areas (Enc)'!$C$6:$C$998,K$4,'[1]Blackout Brand Fam Areas (Enc)'!$D$6:$D$998,"Inactive")&gt;0,"BLOCKED","CAN SELL")))))</f>
        <v>CAN SELL</v>
      </c>
      <c r="L42" s="11" t="str">
        <f>IF($A42="","",_xlfn.LET(_xlpm.t,MATCH($B42,'[1]Territory Definitions'!$B$5:$B$14,0),IF(ISNA(_xlpm.t),"NO TERRITORY",IF(INDEX('[1]Territory Definitions'!$D$5:$M$14,_xlpm.t,MATCH(L$4,'[1]Territory Definitions'!$D$4:$M$4,0))&lt;&gt;1,"NOT IN TERRITORY",IF(COUNTIFS('[1]Blackout Brand Fam Areas (Enc)'!$B$6:$B$998,$A42,'[1]Blackout Brand Fam Areas (Enc)'!$C$6:$C$998,L$4,'[1]Blackout Brand Fam Areas (Enc)'!$D$6:$D$998,"Inactive")&gt;0,"BLOCKED","CAN SELL")))))</f>
        <v>CAN SELL</v>
      </c>
      <c r="M42" s="12">
        <f>IF($A42="","",COUNTIF($C42:$L42,"CAN SELL"))</f>
        <v>10</v>
      </c>
      <c r="N42" s="13" cm="1">
        <f t="array" ref="N42">IF($A42="","",SUMPRODUCT(($C42:$L42="CAN SELL")*$C$3:$L$3))</f>
        <v>2306</v>
      </c>
      <c r="O42" s="14" t="str">
        <f>IF($A42="","",IF(COUNTIF($A$5:$A$299,$A42)&gt;1,"DUPLICATE - two different territories assigned",IF($B42="** NO TERRITORY SET **","No territory on Brand Family Territory (Enc)","")))</f>
        <v/>
      </c>
      <c r="P42" s="18" t="str">
        <f>IF($A42="","",IFERROR(INDEX([1]Products!$H$4:$H$4801,MATCH($A42,[1]Products!$G$4:$G$4801,0)),"(no products)"))</f>
        <v>Savorian INC</v>
      </c>
      <c r="Q42" s="19">
        <f>IF($A42="","",COUNTIFS([1]Products!$G$4:$G$4801,$A42,[1]Products!$L$4:$L$4801,"Yes"))</f>
        <v>1</v>
      </c>
      <c r="R42" s="19">
        <f>IF($A42="","",COUNTIFS([1]Products!$G$4:$G$4801,$A42,[1]Products!$L$4:$L$4801,"Yes",[1]Products!$K$4:$K$4801,"Draft"))</f>
        <v>0</v>
      </c>
      <c r="S42" s="19">
        <f>IF($A42="","",COUNTIFS([1]Products!$G$4:$G$4801,$A42,[1]Products!$L$4:$L$4801,"Yes",[1]Products!$K$4:$K$4801,"Package"))</f>
        <v>0</v>
      </c>
      <c r="T42" s="20" t="str" cm="1">
        <f t="array" ref="T42">IF($A42="","",_xlfn.IFS($Q42=0,"NO ACTIVE SKUs",AND($R42&gt;0,$S42&gt;0),"Draft &amp; Package",$R42&gt;0,"Draft only",TRUE,"Package only"))</f>
        <v>Package only</v>
      </c>
    </row>
    <row r="43" spans="1:20" x14ac:dyDescent="0.2">
      <c r="A43" s="9" t="str">
        <v>Cape May</v>
      </c>
      <c r="B43" s="10" t="str">
        <f>IF($A43="","",_xlfn.XLOOKUP($A43,'[1]Brand Family Territory (Enc)'!$A:$A,'[1]Brand Family Territory (Enc)'!$B:$B,"** NO TERRITORY SET **"))</f>
        <v>Core Market</v>
      </c>
      <c r="C43" s="11" t="str">
        <f>IF($A43="","",_xlfn.LET(_xlpm.t,MATCH($B43,'[1]Territory Definitions'!$B$5:$B$14,0),IF(ISNA(_xlpm.t),"NO TERRITORY",IF(INDEX('[1]Territory Definitions'!$D$5:$M$14,_xlpm.t,MATCH(C$4,'[1]Territory Definitions'!$D$4:$M$4,0))&lt;&gt;1,"NOT IN TERRITORY",IF(COUNTIFS('[1]Blackout Brand Fam Areas (Enc)'!$B$6:$B$998,$A43,'[1]Blackout Brand Fam Areas (Enc)'!$C$6:$C$998,C$4,'[1]Blackout Brand Fam Areas (Enc)'!$D$6:$D$998,"Inactive")&gt;0,"BLOCKED","CAN SELL")))))</f>
        <v>CAN SELL</v>
      </c>
      <c r="D43" s="11" t="str">
        <f>IF($A43="","",_xlfn.LET(_xlpm.t,MATCH($B43,'[1]Territory Definitions'!$B$5:$B$14,0),IF(ISNA(_xlpm.t),"NO TERRITORY",IF(INDEX('[1]Territory Definitions'!$D$5:$M$14,_xlpm.t,MATCH(D$4,'[1]Territory Definitions'!$D$4:$M$4,0))&lt;&gt;1,"NOT IN TERRITORY",IF(COUNTIFS('[1]Blackout Brand Fam Areas (Enc)'!$B$6:$B$998,$A43,'[1]Blackout Brand Fam Areas (Enc)'!$C$6:$C$998,D$4,'[1]Blackout Brand Fam Areas (Enc)'!$D$6:$D$998,"Inactive")&gt;0,"BLOCKED","CAN SELL")))))</f>
        <v>CAN SELL</v>
      </c>
      <c r="E43" s="11" t="str">
        <f>IF($A43="","",_xlfn.LET(_xlpm.t,MATCH($B43,'[1]Territory Definitions'!$B$5:$B$14,0),IF(ISNA(_xlpm.t),"NO TERRITORY",IF(INDEX('[1]Territory Definitions'!$D$5:$M$14,_xlpm.t,MATCH(E$4,'[1]Territory Definitions'!$D$4:$M$4,0))&lt;&gt;1,"NOT IN TERRITORY",IF(COUNTIFS('[1]Blackout Brand Fam Areas (Enc)'!$B$6:$B$998,$A43,'[1]Blackout Brand Fam Areas (Enc)'!$C$6:$C$998,E$4,'[1]Blackout Brand Fam Areas (Enc)'!$D$6:$D$998,"Inactive")&gt;0,"BLOCKED","CAN SELL")))))</f>
        <v>CAN SELL</v>
      </c>
      <c r="F43" s="11" t="str">
        <f>IF($A43="","",_xlfn.LET(_xlpm.t,MATCH($B43,'[1]Territory Definitions'!$B$5:$B$14,0),IF(ISNA(_xlpm.t),"NO TERRITORY",IF(INDEX('[1]Territory Definitions'!$D$5:$M$14,_xlpm.t,MATCH(F$4,'[1]Territory Definitions'!$D$4:$M$4,0))&lt;&gt;1,"NOT IN TERRITORY",IF(COUNTIFS('[1]Blackout Brand Fam Areas (Enc)'!$B$6:$B$998,$A43,'[1]Blackout Brand Fam Areas (Enc)'!$C$6:$C$998,F$4,'[1]Blackout Brand Fam Areas (Enc)'!$D$6:$D$998,"Inactive")&gt;0,"BLOCKED","CAN SELL")))))</f>
        <v>NOT IN TERRITORY</v>
      </c>
      <c r="G43" s="11" t="str">
        <f>IF($A43="","",_xlfn.LET(_xlpm.t,MATCH($B43,'[1]Territory Definitions'!$B$5:$B$14,0),IF(ISNA(_xlpm.t),"NO TERRITORY",IF(INDEX('[1]Territory Definitions'!$D$5:$M$14,_xlpm.t,MATCH(G$4,'[1]Territory Definitions'!$D$4:$M$4,0))&lt;&gt;1,"NOT IN TERRITORY",IF(COUNTIFS('[1]Blackout Brand Fam Areas (Enc)'!$B$6:$B$998,$A43,'[1]Blackout Brand Fam Areas (Enc)'!$C$6:$C$998,G$4,'[1]Blackout Brand Fam Areas (Enc)'!$D$6:$D$998,"Inactive")&gt;0,"BLOCKED","CAN SELL")))))</f>
        <v>NOT IN TERRITORY</v>
      </c>
      <c r="H43" s="11" t="str">
        <f>IF($A43="","",_xlfn.LET(_xlpm.t,MATCH($B43,'[1]Territory Definitions'!$B$5:$B$14,0),IF(ISNA(_xlpm.t),"NO TERRITORY",IF(INDEX('[1]Territory Definitions'!$D$5:$M$14,_xlpm.t,MATCH(H$4,'[1]Territory Definitions'!$D$4:$M$4,0))&lt;&gt;1,"NOT IN TERRITORY",IF(COUNTIFS('[1]Blackout Brand Fam Areas (Enc)'!$B$6:$B$998,$A43,'[1]Blackout Brand Fam Areas (Enc)'!$C$6:$C$998,H$4,'[1]Blackout Brand Fam Areas (Enc)'!$D$6:$D$998,"Inactive")&gt;0,"BLOCKED","CAN SELL")))))</f>
        <v>NOT IN TERRITORY</v>
      </c>
      <c r="I43" s="11" t="str">
        <f>IF($A43="","",_xlfn.LET(_xlpm.t,MATCH($B43,'[1]Territory Definitions'!$B$5:$B$14,0),IF(ISNA(_xlpm.t),"NO TERRITORY",IF(INDEX('[1]Territory Definitions'!$D$5:$M$14,_xlpm.t,MATCH(I$4,'[1]Territory Definitions'!$D$4:$M$4,0))&lt;&gt;1,"NOT IN TERRITORY",IF(COUNTIFS('[1]Blackout Brand Fam Areas (Enc)'!$B$6:$B$998,$A43,'[1]Blackout Brand Fam Areas (Enc)'!$C$6:$C$998,I$4,'[1]Blackout Brand Fam Areas (Enc)'!$D$6:$D$998,"Inactive")&gt;0,"BLOCKED","CAN SELL")))))</f>
        <v>CAN SELL</v>
      </c>
      <c r="J43" s="11" t="str">
        <f>IF($A43="","",_xlfn.LET(_xlpm.t,MATCH($B43,'[1]Territory Definitions'!$B$5:$B$14,0),IF(ISNA(_xlpm.t),"NO TERRITORY",IF(INDEX('[1]Territory Definitions'!$D$5:$M$14,_xlpm.t,MATCH(J$4,'[1]Territory Definitions'!$D$4:$M$4,0))&lt;&gt;1,"NOT IN TERRITORY",IF(COUNTIFS('[1]Blackout Brand Fam Areas (Enc)'!$B$6:$B$998,$A43,'[1]Blackout Brand Fam Areas (Enc)'!$C$6:$C$998,J$4,'[1]Blackout Brand Fam Areas (Enc)'!$D$6:$D$998,"Inactive")&gt;0,"BLOCKED","CAN SELL")))))</f>
        <v>CAN SELL</v>
      </c>
      <c r="K43" s="11" t="str">
        <f>IF($A43="","",_xlfn.LET(_xlpm.t,MATCH($B43,'[1]Territory Definitions'!$B$5:$B$14,0),IF(ISNA(_xlpm.t),"NO TERRITORY",IF(INDEX('[1]Territory Definitions'!$D$5:$M$14,_xlpm.t,MATCH(K$4,'[1]Territory Definitions'!$D$4:$M$4,0))&lt;&gt;1,"NOT IN TERRITORY",IF(COUNTIFS('[1]Blackout Brand Fam Areas (Enc)'!$B$6:$B$998,$A43,'[1]Blackout Brand Fam Areas (Enc)'!$C$6:$C$998,K$4,'[1]Blackout Brand Fam Areas (Enc)'!$D$6:$D$998,"Inactive")&gt;0,"BLOCKED","CAN SELL")))))</f>
        <v>NOT IN TERRITORY</v>
      </c>
      <c r="L43" s="11" t="str">
        <f>IF($A43="","",_xlfn.LET(_xlpm.t,MATCH($B43,'[1]Territory Definitions'!$B$5:$B$14,0),IF(ISNA(_xlpm.t),"NO TERRITORY",IF(INDEX('[1]Territory Definitions'!$D$5:$M$14,_xlpm.t,MATCH(L$4,'[1]Territory Definitions'!$D$4:$M$4,0))&lt;&gt;1,"NOT IN TERRITORY",IF(COUNTIFS('[1]Blackout Brand Fam Areas (Enc)'!$B$6:$B$998,$A43,'[1]Blackout Brand Fam Areas (Enc)'!$C$6:$C$998,L$4,'[1]Blackout Brand Fam Areas (Enc)'!$D$6:$D$998,"Inactive")&gt;0,"BLOCKED","CAN SELL")))))</f>
        <v>CAN SELL</v>
      </c>
      <c r="M43" s="12">
        <f>IF($A43="","",COUNTIF($C43:$L43,"CAN SELL"))</f>
        <v>6</v>
      </c>
      <c r="N43" s="13" cm="1">
        <f t="array" ref="N43">IF($A43="","",SUMPRODUCT(($C43:$L43="CAN SELL")*$C$3:$L$3))</f>
        <v>1596</v>
      </c>
      <c r="O43" s="14" t="str">
        <f>IF($A43="","",IF(COUNTIF($A$5:$A$299,$A43)&gt;1,"DUPLICATE - two different territories assigned",IF($B43="** NO TERRITORY SET **","No territory on Brand Family Territory (Enc)","")))</f>
        <v/>
      </c>
      <c r="P43" s="18" t="str">
        <f>IF($A43="","",IFERROR(INDEX([1]Products!$H$4:$H$4801,MATCH($A43,[1]Products!$G$4:$G$4801,0)),"(no products)"))</f>
        <v>Cape May</v>
      </c>
      <c r="Q43" s="19">
        <f>IF($A43="","",COUNTIFS([1]Products!$G$4:$G$4801,$A43,[1]Products!$L$4:$L$4801,"Yes"))</f>
        <v>51</v>
      </c>
      <c r="R43" s="19">
        <f>IF($A43="","",COUNTIFS([1]Products!$G$4:$G$4801,$A43,[1]Products!$L$4:$L$4801,"Yes",[1]Products!$K$4:$K$4801,"Draft"))</f>
        <v>24</v>
      </c>
      <c r="S43" s="19">
        <f>IF($A43="","",COUNTIFS([1]Products!$G$4:$G$4801,$A43,[1]Products!$L$4:$L$4801,"Yes",[1]Products!$K$4:$K$4801,"Package"))</f>
        <v>27</v>
      </c>
      <c r="T43" s="20" t="str" cm="1">
        <f t="array" ref="T43">IF($A43="","",_xlfn.IFS($Q43=0,"NO ACTIVE SKUs",AND($R43&gt;0,$S43&gt;0),"Draft &amp; Package",$R43&gt;0,"Draft only",TRUE,"Package only"))</f>
        <v>Draft &amp; Package</v>
      </c>
    </row>
    <row r="44" spans="1:20" x14ac:dyDescent="0.2">
      <c r="A44" s="9" t="str">
        <v>Caravella</v>
      </c>
      <c r="B44" s="10" t="str">
        <f>IF($A44="","",_xlfn.XLOOKUP($A44,'[1]Brand Family Territory (Enc)'!$A:$A,'[1]Brand Family Territory (Enc)'!$B:$B,"** NO TERRITORY SET **"))</f>
        <v>All Counties</v>
      </c>
      <c r="C44" s="11" t="str">
        <f>IF($A44="","",_xlfn.LET(_xlpm.t,MATCH($B44,'[1]Territory Definitions'!$B$5:$B$14,0),IF(ISNA(_xlpm.t),"NO TERRITORY",IF(INDEX('[1]Territory Definitions'!$D$5:$M$14,_xlpm.t,MATCH(C$4,'[1]Territory Definitions'!$D$4:$M$4,0))&lt;&gt;1,"NOT IN TERRITORY",IF(COUNTIFS('[1]Blackout Brand Fam Areas (Enc)'!$B$6:$B$998,$A44,'[1]Blackout Brand Fam Areas (Enc)'!$C$6:$C$998,C$4,'[1]Blackout Brand Fam Areas (Enc)'!$D$6:$D$998,"Inactive")&gt;0,"BLOCKED","CAN SELL")))))</f>
        <v>CAN SELL</v>
      </c>
      <c r="D44" s="11" t="str">
        <f>IF($A44="","",_xlfn.LET(_xlpm.t,MATCH($B44,'[1]Territory Definitions'!$B$5:$B$14,0),IF(ISNA(_xlpm.t),"NO TERRITORY",IF(INDEX('[1]Territory Definitions'!$D$5:$M$14,_xlpm.t,MATCH(D$4,'[1]Territory Definitions'!$D$4:$M$4,0))&lt;&gt;1,"NOT IN TERRITORY",IF(COUNTIFS('[1]Blackout Brand Fam Areas (Enc)'!$B$6:$B$998,$A44,'[1]Blackout Brand Fam Areas (Enc)'!$C$6:$C$998,D$4,'[1]Blackout Brand Fam Areas (Enc)'!$D$6:$D$998,"Inactive")&gt;0,"BLOCKED","CAN SELL")))))</f>
        <v>CAN SELL</v>
      </c>
      <c r="E44" s="11" t="str">
        <f>IF($A44="","",_xlfn.LET(_xlpm.t,MATCH($B44,'[1]Territory Definitions'!$B$5:$B$14,0),IF(ISNA(_xlpm.t),"NO TERRITORY",IF(INDEX('[1]Territory Definitions'!$D$5:$M$14,_xlpm.t,MATCH(E$4,'[1]Territory Definitions'!$D$4:$M$4,0))&lt;&gt;1,"NOT IN TERRITORY",IF(COUNTIFS('[1]Blackout Brand Fam Areas (Enc)'!$B$6:$B$998,$A44,'[1]Blackout Brand Fam Areas (Enc)'!$C$6:$C$998,E$4,'[1]Blackout Brand Fam Areas (Enc)'!$D$6:$D$998,"Inactive")&gt;0,"BLOCKED","CAN SELL")))))</f>
        <v>CAN SELL</v>
      </c>
      <c r="F44" s="11" t="str">
        <f>IF($A44="","",_xlfn.LET(_xlpm.t,MATCH($B44,'[1]Territory Definitions'!$B$5:$B$14,0),IF(ISNA(_xlpm.t),"NO TERRITORY",IF(INDEX('[1]Territory Definitions'!$D$5:$M$14,_xlpm.t,MATCH(F$4,'[1]Territory Definitions'!$D$4:$M$4,0))&lt;&gt;1,"NOT IN TERRITORY",IF(COUNTIFS('[1]Blackout Brand Fam Areas (Enc)'!$B$6:$B$998,$A44,'[1]Blackout Brand Fam Areas (Enc)'!$C$6:$C$998,F$4,'[1]Blackout Brand Fam Areas (Enc)'!$D$6:$D$998,"Inactive")&gt;0,"BLOCKED","CAN SELL")))))</f>
        <v>CAN SELL</v>
      </c>
      <c r="G44" s="11" t="str">
        <f>IF($A44="","",_xlfn.LET(_xlpm.t,MATCH($B44,'[1]Territory Definitions'!$B$5:$B$14,0),IF(ISNA(_xlpm.t),"NO TERRITORY",IF(INDEX('[1]Territory Definitions'!$D$5:$M$14,_xlpm.t,MATCH(G$4,'[1]Territory Definitions'!$D$4:$M$4,0))&lt;&gt;1,"NOT IN TERRITORY",IF(COUNTIFS('[1]Blackout Brand Fam Areas (Enc)'!$B$6:$B$998,$A44,'[1]Blackout Brand Fam Areas (Enc)'!$C$6:$C$998,G$4,'[1]Blackout Brand Fam Areas (Enc)'!$D$6:$D$998,"Inactive")&gt;0,"BLOCKED","CAN SELL")))))</f>
        <v>CAN SELL</v>
      </c>
      <c r="H44" s="11" t="str">
        <f>IF($A44="","",_xlfn.LET(_xlpm.t,MATCH($B44,'[1]Territory Definitions'!$B$5:$B$14,0),IF(ISNA(_xlpm.t),"NO TERRITORY",IF(INDEX('[1]Territory Definitions'!$D$5:$M$14,_xlpm.t,MATCH(H$4,'[1]Territory Definitions'!$D$4:$M$4,0))&lt;&gt;1,"NOT IN TERRITORY",IF(COUNTIFS('[1]Blackout Brand Fam Areas (Enc)'!$B$6:$B$998,$A44,'[1]Blackout Brand Fam Areas (Enc)'!$C$6:$C$998,H$4,'[1]Blackout Brand Fam Areas (Enc)'!$D$6:$D$998,"Inactive")&gt;0,"BLOCKED","CAN SELL")))))</f>
        <v>CAN SELL</v>
      </c>
      <c r="I44" s="11" t="str">
        <f>IF($A44="","",_xlfn.LET(_xlpm.t,MATCH($B44,'[1]Territory Definitions'!$B$5:$B$14,0),IF(ISNA(_xlpm.t),"NO TERRITORY",IF(INDEX('[1]Territory Definitions'!$D$5:$M$14,_xlpm.t,MATCH(I$4,'[1]Territory Definitions'!$D$4:$M$4,0))&lt;&gt;1,"NOT IN TERRITORY",IF(COUNTIFS('[1]Blackout Brand Fam Areas (Enc)'!$B$6:$B$998,$A44,'[1]Blackout Brand Fam Areas (Enc)'!$C$6:$C$998,I$4,'[1]Blackout Brand Fam Areas (Enc)'!$D$6:$D$998,"Inactive")&gt;0,"BLOCKED","CAN SELL")))))</f>
        <v>CAN SELL</v>
      </c>
      <c r="J44" s="11" t="str">
        <f>IF($A44="","",_xlfn.LET(_xlpm.t,MATCH($B44,'[1]Territory Definitions'!$B$5:$B$14,0),IF(ISNA(_xlpm.t),"NO TERRITORY",IF(INDEX('[1]Territory Definitions'!$D$5:$M$14,_xlpm.t,MATCH(J$4,'[1]Territory Definitions'!$D$4:$M$4,0))&lt;&gt;1,"NOT IN TERRITORY",IF(COUNTIFS('[1]Blackout Brand Fam Areas (Enc)'!$B$6:$B$998,$A44,'[1]Blackout Brand Fam Areas (Enc)'!$C$6:$C$998,J$4,'[1]Blackout Brand Fam Areas (Enc)'!$D$6:$D$998,"Inactive")&gt;0,"BLOCKED","CAN SELL")))))</f>
        <v>CAN SELL</v>
      </c>
      <c r="K44" s="11" t="str">
        <f>IF($A44="","",_xlfn.LET(_xlpm.t,MATCH($B44,'[1]Territory Definitions'!$B$5:$B$14,0),IF(ISNA(_xlpm.t),"NO TERRITORY",IF(INDEX('[1]Territory Definitions'!$D$5:$M$14,_xlpm.t,MATCH(K$4,'[1]Territory Definitions'!$D$4:$M$4,0))&lt;&gt;1,"NOT IN TERRITORY",IF(COUNTIFS('[1]Blackout Brand Fam Areas (Enc)'!$B$6:$B$998,$A44,'[1]Blackout Brand Fam Areas (Enc)'!$C$6:$C$998,K$4,'[1]Blackout Brand Fam Areas (Enc)'!$D$6:$D$998,"Inactive")&gt;0,"BLOCKED","CAN SELL")))))</f>
        <v>CAN SELL</v>
      </c>
      <c r="L44" s="11" t="str">
        <f>IF($A44="","",_xlfn.LET(_xlpm.t,MATCH($B44,'[1]Territory Definitions'!$B$5:$B$14,0),IF(ISNA(_xlpm.t),"NO TERRITORY",IF(INDEX('[1]Territory Definitions'!$D$5:$M$14,_xlpm.t,MATCH(L$4,'[1]Territory Definitions'!$D$4:$M$4,0))&lt;&gt;1,"NOT IN TERRITORY",IF(COUNTIFS('[1]Blackout Brand Fam Areas (Enc)'!$B$6:$B$998,$A44,'[1]Blackout Brand Fam Areas (Enc)'!$C$6:$C$998,L$4,'[1]Blackout Brand Fam Areas (Enc)'!$D$6:$D$998,"Inactive")&gt;0,"BLOCKED","CAN SELL")))))</f>
        <v>CAN SELL</v>
      </c>
      <c r="M44" s="12">
        <f>IF($A44="","",COUNTIF($C44:$L44,"CAN SELL"))</f>
        <v>10</v>
      </c>
      <c r="N44" s="13" cm="1">
        <f t="array" ref="N44">IF($A44="","",SUMPRODUCT(($C44:$L44="CAN SELL")*$C$3:$L$3))</f>
        <v>2306</v>
      </c>
      <c r="O44" s="14" t="str">
        <f>IF($A44="","",IF(COUNTIF($A$5:$A$299,$A44)&gt;1,"DUPLICATE - two different territories assigned",IF($B44="** NO TERRITORY SET **","No territory on Brand Family Territory (Enc)","")))</f>
        <v/>
      </c>
      <c r="P44" s="18" t="str">
        <f>IF($A44="","",IFERROR(INDEX([1]Products!$H$4:$H$4801,MATCH($A44,[1]Products!$G$4:$G$4801,0)),"(no products)"))</f>
        <v>Caravella Inc</v>
      </c>
      <c r="Q44" s="19">
        <f>IF($A44="","",COUNTIFS([1]Products!$G$4:$G$4801,$A44,[1]Products!$L$4:$L$4801,"Yes"))</f>
        <v>2</v>
      </c>
      <c r="R44" s="19">
        <f>IF($A44="","",COUNTIFS([1]Products!$G$4:$G$4801,$A44,[1]Products!$L$4:$L$4801,"Yes",[1]Products!$K$4:$K$4801,"Draft"))</f>
        <v>0</v>
      </c>
      <c r="S44" s="19">
        <f>IF($A44="","",COUNTIFS([1]Products!$G$4:$G$4801,$A44,[1]Products!$L$4:$L$4801,"Yes",[1]Products!$K$4:$K$4801,"Package"))</f>
        <v>0</v>
      </c>
      <c r="T44" s="20" t="str" cm="1">
        <f t="array" ref="T44">IF($A44="","",_xlfn.IFS($Q44=0,"NO ACTIVE SKUs",AND($R44&gt;0,$S44&gt;0),"Draft &amp; Package",$R44&gt;0,"Draft only",TRUE,"Package only"))</f>
        <v>Package only</v>
      </c>
    </row>
    <row r="45" spans="1:20" x14ac:dyDescent="0.2">
      <c r="A45" s="9" t="str">
        <v>Carib</v>
      </c>
      <c r="B45" s="10" t="str">
        <f>IF($A45="","",_xlfn.XLOOKUP($A45,'[1]Brand Family Territory (Enc)'!$A:$A,'[1]Brand Family Territory (Enc)'!$B:$B,"** NO TERRITORY SET **"))</f>
        <v>All Counties</v>
      </c>
      <c r="C45" s="11" t="str">
        <f>IF($A45="","",_xlfn.LET(_xlpm.t,MATCH($B45,'[1]Territory Definitions'!$B$5:$B$14,0),IF(ISNA(_xlpm.t),"NO TERRITORY",IF(INDEX('[1]Territory Definitions'!$D$5:$M$14,_xlpm.t,MATCH(C$4,'[1]Territory Definitions'!$D$4:$M$4,0))&lt;&gt;1,"NOT IN TERRITORY",IF(COUNTIFS('[1]Blackout Brand Fam Areas (Enc)'!$B$6:$B$998,$A45,'[1]Blackout Brand Fam Areas (Enc)'!$C$6:$C$998,C$4,'[1]Blackout Brand Fam Areas (Enc)'!$D$6:$D$998,"Inactive")&gt;0,"BLOCKED","CAN SELL")))))</f>
        <v>CAN SELL</v>
      </c>
      <c r="D45" s="11" t="str">
        <f>IF($A45="","",_xlfn.LET(_xlpm.t,MATCH($B45,'[1]Territory Definitions'!$B$5:$B$14,0),IF(ISNA(_xlpm.t),"NO TERRITORY",IF(INDEX('[1]Territory Definitions'!$D$5:$M$14,_xlpm.t,MATCH(D$4,'[1]Territory Definitions'!$D$4:$M$4,0))&lt;&gt;1,"NOT IN TERRITORY",IF(COUNTIFS('[1]Blackout Brand Fam Areas (Enc)'!$B$6:$B$998,$A45,'[1]Blackout Brand Fam Areas (Enc)'!$C$6:$C$998,D$4,'[1]Blackout Brand Fam Areas (Enc)'!$D$6:$D$998,"Inactive")&gt;0,"BLOCKED","CAN SELL")))))</f>
        <v>CAN SELL</v>
      </c>
      <c r="E45" s="11" t="str">
        <f>IF($A45="","",_xlfn.LET(_xlpm.t,MATCH($B45,'[1]Territory Definitions'!$B$5:$B$14,0),IF(ISNA(_xlpm.t),"NO TERRITORY",IF(INDEX('[1]Territory Definitions'!$D$5:$M$14,_xlpm.t,MATCH(E$4,'[1]Territory Definitions'!$D$4:$M$4,0))&lt;&gt;1,"NOT IN TERRITORY",IF(COUNTIFS('[1]Blackout Brand Fam Areas (Enc)'!$B$6:$B$998,$A45,'[1]Blackout Brand Fam Areas (Enc)'!$C$6:$C$998,E$4,'[1]Blackout Brand Fam Areas (Enc)'!$D$6:$D$998,"Inactive")&gt;0,"BLOCKED","CAN SELL")))))</f>
        <v>CAN SELL</v>
      </c>
      <c r="F45" s="11" t="str">
        <f>IF($A45="","",_xlfn.LET(_xlpm.t,MATCH($B45,'[1]Territory Definitions'!$B$5:$B$14,0),IF(ISNA(_xlpm.t),"NO TERRITORY",IF(INDEX('[1]Territory Definitions'!$D$5:$M$14,_xlpm.t,MATCH(F$4,'[1]Territory Definitions'!$D$4:$M$4,0))&lt;&gt;1,"NOT IN TERRITORY",IF(COUNTIFS('[1]Blackout Brand Fam Areas (Enc)'!$B$6:$B$998,$A45,'[1]Blackout Brand Fam Areas (Enc)'!$C$6:$C$998,F$4,'[1]Blackout Brand Fam Areas (Enc)'!$D$6:$D$998,"Inactive")&gt;0,"BLOCKED","CAN SELL")))))</f>
        <v>CAN SELL</v>
      </c>
      <c r="G45" s="11" t="str">
        <f>IF($A45="","",_xlfn.LET(_xlpm.t,MATCH($B45,'[1]Territory Definitions'!$B$5:$B$14,0),IF(ISNA(_xlpm.t),"NO TERRITORY",IF(INDEX('[1]Territory Definitions'!$D$5:$M$14,_xlpm.t,MATCH(G$4,'[1]Territory Definitions'!$D$4:$M$4,0))&lt;&gt;1,"NOT IN TERRITORY",IF(COUNTIFS('[1]Blackout Brand Fam Areas (Enc)'!$B$6:$B$998,$A45,'[1]Blackout Brand Fam Areas (Enc)'!$C$6:$C$998,G$4,'[1]Blackout Brand Fam Areas (Enc)'!$D$6:$D$998,"Inactive")&gt;0,"BLOCKED","CAN SELL")))))</f>
        <v>CAN SELL</v>
      </c>
      <c r="H45" s="11" t="str">
        <f>IF($A45="","",_xlfn.LET(_xlpm.t,MATCH($B45,'[1]Territory Definitions'!$B$5:$B$14,0),IF(ISNA(_xlpm.t),"NO TERRITORY",IF(INDEX('[1]Territory Definitions'!$D$5:$M$14,_xlpm.t,MATCH(H$4,'[1]Territory Definitions'!$D$4:$M$4,0))&lt;&gt;1,"NOT IN TERRITORY",IF(COUNTIFS('[1]Blackout Brand Fam Areas (Enc)'!$B$6:$B$998,$A45,'[1]Blackout Brand Fam Areas (Enc)'!$C$6:$C$998,H$4,'[1]Blackout Brand Fam Areas (Enc)'!$D$6:$D$998,"Inactive")&gt;0,"BLOCKED","CAN SELL")))))</f>
        <v>CAN SELL</v>
      </c>
      <c r="I45" s="11" t="str">
        <f>IF($A45="","",_xlfn.LET(_xlpm.t,MATCH($B45,'[1]Territory Definitions'!$B$5:$B$14,0),IF(ISNA(_xlpm.t),"NO TERRITORY",IF(INDEX('[1]Territory Definitions'!$D$5:$M$14,_xlpm.t,MATCH(I$4,'[1]Territory Definitions'!$D$4:$M$4,0))&lt;&gt;1,"NOT IN TERRITORY",IF(COUNTIFS('[1]Blackout Brand Fam Areas (Enc)'!$B$6:$B$998,$A45,'[1]Blackout Brand Fam Areas (Enc)'!$C$6:$C$998,I$4,'[1]Blackout Brand Fam Areas (Enc)'!$D$6:$D$998,"Inactive")&gt;0,"BLOCKED","CAN SELL")))))</f>
        <v>CAN SELL</v>
      </c>
      <c r="J45" s="11" t="str">
        <f>IF($A45="","",_xlfn.LET(_xlpm.t,MATCH($B45,'[1]Territory Definitions'!$B$5:$B$14,0),IF(ISNA(_xlpm.t),"NO TERRITORY",IF(INDEX('[1]Territory Definitions'!$D$5:$M$14,_xlpm.t,MATCH(J$4,'[1]Territory Definitions'!$D$4:$M$4,0))&lt;&gt;1,"NOT IN TERRITORY",IF(COUNTIFS('[1]Blackout Brand Fam Areas (Enc)'!$B$6:$B$998,$A45,'[1]Blackout Brand Fam Areas (Enc)'!$C$6:$C$998,J$4,'[1]Blackout Brand Fam Areas (Enc)'!$D$6:$D$998,"Inactive")&gt;0,"BLOCKED","CAN SELL")))))</f>
        <v>CAN SELL</v>
      </c>
      <c r="K45" s="11" t="str">
        <f>IF($A45="","",_xlfn.LET(_xlpm.t,MATCH($B45,'[1]Territory Definitions'!$B$5:$B$14,0),IF(ISNA(_xlpm.t),"NO TERRITORY",IF(INDEX('[1]Territory Definitions'!$D$5:$M$14,_xlpm.t,MATCH(K$4,'[1]Territory Definitions'!$D$4:$M$4,0))&lt;&gt;1,"NOT IN TERRITORY",IF(COUNTIFS('[1]Blackout Brand Fam Areas (Enc)'!$B$6:$B$998,$A45,'[1]Blackout Brand Fam Areas (Enc)'!$C$6:$C$998,K$4,'[1]Blackout Brand Fam Areas (Enc)'!$D$6:$D$998,"Inactive")&gt;0,"BLOCKED","CAN SELL")))))</f>
        <v>CAN SELL</v>
      </c>
      <c r="L45" s="11" t="str">
        <f>IF($A45="","",_xlfn.LET(_xlpm.t,MATCH($B45,'[1]Territory Definitions'!$B$5:$B$14,0),IF(ISNA(_xlpm.t),"NO TERRITORY",IF(INDEX('[1]Territory Definitions'!$D$5:$M$14,_xlpm.t,MATCH(L$4,'[1]Territory Definitions'!$D$4:$M$4,0))&lt;&gt;1,"NOT IN TERRITORY",IF(COUNTIFS('[1]Blackout Brand Fam Areas (Enc)'!$B$6:$B$998,$A45,'[1]Blackout Brand Fam Areas (Enc)'!$C$6:$C$998,L$4,'[1]Blackout Brand Fam Areas (Enc)'!$D$6:$D$998,"Inactive")&gt;0,"BLOCKED","CAN SELL")))))</f>
        <v>CAN SELL</v>
      </c>
      <c r="M45" s="12">
        <f>IF($A45="","",COUNTIF($C45:$L45,"CAN SELL"))</f>
        <v>10</v>
      </c>
      <c r="N45" s="13" cm="1">
        <f t="array" ref="N45">IF($A45="","",SUMPRODUCT(($C45:$L45="CAN SELL")*$C$3:$L$3))</f>
        <v>2306</v>
      </c>
      <c r="O45" s="14" t="str">
        <f>IF($A45="","",IF(COUNTIF($A$5:$A$299,$A45)&gt;1,"DUPLICATE - two different territories assigned",IF($B45="** NO TERRITORY SET **","No territory on Brand Family Territory (Enc)","")))</f>
        <v/>
      </c>
      <c r="P45" s="18" t="str">
        <f>IF($A45="","",IFERROR(INDEX([1]Products!$H$4:$H$4801,MATCH($A45,[1]Products!$G$4:$G$4801,0)),"(no products)"))</f>
        <v>Total Beverage Solutions</v>
      </c>
      <c r="Q45" s="19">
        <f>IF($A45="","",COUNTIFS([1]Products!$G$4:$G$4801,$A45,[1]Products!$L$4:$L$4801,"Yes"))</f>
        <v>5</v>
      </c>
      <c r="R45" s="19">
        <f>IF($A45="","",COUNTIFS([1]Products!$G$4:$G$4801,$A45,[1]Products!$L$4:$L$4801,"Yes",[1]Products!$K$4:$K$4801,"Draft"))</f>
        <v>0</v>
      </c>
      <c r="S45" s="19">
        <f>IF($A45="","",COUNTIFS([1]Products!$G$4:$G$4801,$A45,[1]Products!$L$4:$L$4801,"Yes",[1]Products!$K$4:$K$4801,"Package"))</f>
        <v>5</v>
      </c>
      <c r="T45" s="20" t="str" cm="1">
        <f t="array" ref="T45">IF($A45="","",_xlfn.IFS($Q45=0,"NO ACTIVE SKUs",AND($R45&gt;0,$S45&gt;0),"Draft &amp; Package",$R45&gt;0,"Draft only",TRUE,"Package only"))</f>
        <v>Package only</v>
      </c>
    </row>
    <row r="46" spans="1:20" x14ac:dyDescent="0.2">
      <c r="A46" s="9" t="str">
        <v>Carinoso</v>
      </c>
      <c r="B46" s="10" t="str">
        <f>IF($A46="","",_xlfn.XLOOKUP($A46,'[1]Brand Family Territory (Enc)'!$A:$A,'[1]Brand Family Territory (Enc)'!$B:$B,"** NO TERRITORY SET **"))</f>
        <v>All Counties + Middlesex</v>
      </c>
      <c r="C46" s="11" t="str">
        <f>IF($A46="","",_xlfn.LET(_xlpm.t,MATCH($B46,'[1]Territory Definitions'!$B$5:$B$14,0),IF(ISNA(_xlpm.t),"NO TERRITORY",IF(INDEX('[1]Territory Definitions'!$D$5:$M$14,_xlpm.t,MATCH(C$4,'[1]Territory Definitions'!$D$4:$M$4,0))&lt;&gt;1,"NOT IN TERRITORY",IF(COUNTIFS('[1]Blackout Brand Fam Areas (Enc)'!$B$6:$B$998,$A46,'[1]Blackout Brand Fam Areas (Enc)'!$C$6:$C$998,C$4,'[1]Blackout Brand Fam Areas (Enc)'!$D$6:$D$998,"Inactive")&gt;0,"BLOCKED","CAN SELL")))))</f>
        <v>CAN SELL</v>
      </c>
      <c r="D46" s="11" t="str">
        <f>IF($A46="","",_xlfn.LET(_xlpm.t,MATCH($B46,'[1]Territory Definitions'!$B$5:$B$14,0),IF(ISNA(_xlpm.t),"NO TERRITORY",IF(INDEX('[1]Territory Definitions'!$D$5:$M$14,_xlpm.t,MATCH(D$4,'[1]Territory Definitions'!$D$4:$M$4,0))&lt;&gt;1,"NOT IN TERRITORY",IF(COUNTIFS('[1]Blackout Brand Fam Areas (Enc)'!$B$6:$B$998,$A46,'[1]Blackout Brand Fam Areas (Enc)'!$C$6:$C$998,D$4,'[1]Blackout Brand Fam Areas (Enc)'!$D$6:$D$998,"Inactive")&gt;0,"BLOCKED","CAN SELL")))))</f>
        <v>CAN SELL</v>
      </c>
      <c r="E46" s="11" t="str">
        <f>IF($A46="","",_xlfn.LET(_xlpm.t,MATCH($B46,'[1]Territory Definitions'!$B$5:$B$14,0),IF(ISNA(_xlpm.t),"NO TERRITORY",IF(INDEX('[1]Territory Definitions'!$D$5:$M$14,_xlpm.t,MATCH(E$4,'[1]Territory Definitions'!$D$4:$M$4,0))&lt;&gt;1,"NOT IN TERRITORY",IF(COUNTIFS('[1]Blackout Brand Fam Areas (Enc)'!$B$6:$B$998,$A46,'[1]Blackout Brand Fam Areas (Enc)'!$C$6:$C$998,E$4,'[1]Blackout Brand Fam Areas (Enc)'!$D$6:$D$998,"Inactive")&gt;0,"BLOCKED","CAN SELL")))))</f>
        <v>CAN SELL</v>
      </c>
      <c r="F46" s="11" t="str">
        <f>IF($A46="","",_xlfn.LET(_xlpm.t,MATCH($B46,'[1]Territory Definitions'!$B$5:$B$14,0),IF(ISNA(_xlpm.t),"NO TERRITORY",IF(INDEX('[1]Territory Definitions'!$D$5:$M$14,_xlpm.t,MATCH(F$4,'[1]Territory Definitions'!$D$4:$M$4,0))&lt;&gt;1,"NOT IN TERRITORY",IF(COUNTIFS('[1]Blackout Brand Fam Areas (Enc)'!$B$6:$B$998,$A46,'[1]Blackout Brand Fam Areas (Enc)'!$C$6:$C$998,F$4,'[1]Blackout Brand Fam Areas (Enc)'!$D$6:$D$998,"Inactive")&gt;0,"BLOCKED","CAN SELL")))))</f>
        <v>CAN SELL</v>
      </c>
      <c r="G46" s="11" t="str">
        <f>IF($A46="","",_xlfn.LET(_xlpm.t,MATCH($B46,'[1]Territory Definitions'!$B$5:$B$14,0),IF(ISNA(_xlpm.t),"NO TERRITORY",IF(INDEX('[1]Territory Definitions'!$D$5:$M$14,_xlpm.t,MATCH(G$4,'[1]Territory Definitions'!$D$4:$M$4,0))&lt;&gt;1,"NOT IN TERRITORY",IF(COUNTIFS('[1]Blackout Brand Fam Areas (Enc)'!$B$6:$B$998,$A46,'[1]Blackout Brand Fam Areas (Enc)'!$C$6:$C$998,G$4,'[1]Blackout Brand Fam Areas (Enc)'!$D$6:$D$998,"Inactive")&gt;0,"BLOCKED","CAN SELL")))))</f>
        <v>CAN SELL</v>
      </c>
      <c r="H46" s="11" t="str">
        <f>IF($A46="","",_xlfn.LET(_xlpm.t,MATCH($B46,'[1]Territory Definitions'!$B$5:$B$14,0),IF(ISNA(_xlpm.t),"NO TERRITORY",IF(INDEX('[1]Territory Definitions'!$D$5:$M$14,_xlpm.t,MATCH(H$4,'[1]Territory Definitions'!$D$4:$M$4,0))&lt;&gt;1,"NOT IN TERRITORY",IF(COUNTIFS('[1]Blackout Brand Fam Areas (Enc)'!$B$6:$B$998,$A46,'[1]Blackout Brand Fam Areas (Enc)'!$C$6:$C$998,H$4,'[1]Blackout Brand Fam Areas (Enc)'!$D$6:$D$998,"Inactive")&gt;0,"BLOCKED","CAN SELL")))))</f>
        <v>CAN SELL</v>
      </c>
      <c r="I46" s="11" t="str">
        <f>IF($A46="","",_xlfn.LET(_xlpm.t,MATCH($B46,'[1]Territory Definitions'!$B$5:$B$14,0),IF(ISNA(_xlpm.t),"NO TERRITORY",IF(INDEX('[1]Territory Definitions'!$D$5:$M$14,_xlpm.t,MATCH(I$4,'[1]Territory Definitions'!$D$4:$M$4,0))&lt;&gt;1,"NOT IN TERRITORY",IF(COUNTIFS('[1]Blackout Brand Fam Areas (Enc)'!$B$6:$B$998,$A46,'[1]Blackout Brand Fam Areas (Enc)'!$C$6:$C$998,I$4,'[1]Blackout Brand Fam Areas (Enc)'!$D$6:$D$998,"Inactive")&gt;0,"BLOCKED","CAN SELL")))))</f>
        <v>CAN SELL</v>
      </c>
      <c r="J46" s="11" t="str">
        <f>IF($A46="","",_xlfn.LET(_xlpm.t,MATCH($B46,'[1]Territory Definitions'!$B$5:$B$14,0),IF(ISNA(_xlpm.t),"NO TERRITORY",IF(INDEX('[1]Territory Definitions'!$D$5:$M$14,_xlpm.t,MATCH(J$4,'[1]Territory Definitions'!$D$4:$M$4,0))&lt;&gt;1,"NOT IN TERRITORY",IF(COUNTIFS('[1]Blackout Brand Fam Areas (Enc)'!$B$6:$B$998,$A46,'[1]Blackout Brand Fam Areas (Enc)'!$C$6:$C$998,J$4,'[1]Blackout Brand Fam Areas (Enc)'!$D$6:$D$998,"Inactive")&gt;0,"BLOCKED","CAN SELL")))))</f>
        <v>CAN SELL</v>
      </c>
      <c r="K46" s="11" t="str">
        <f>IF($A46="","",_xlfn.LET(_xlpm.t,MATCH($B46,'[1]Territory Definitions'!$B$5:$B$14,0),IF(ISNA(_xlpm.t),"NO TERRITORY",IF(INDEX('[1]Territory Definitions'!$D$5:$M$14,_xlpm.t,MATCH(K$4,'[1]Territory Definitions'!$D$4:$M$4,0))&lt;&gt;1,"NOT IN TERRITORY",IF(COUNTIFS('[1]Blackout Brand Fam Areas (Enc)'!$B$6:$B$998,$A46,'[1]Blackout Brand Fam Areas (Enc)'!$C$6:$C$998,K$4,'[1]Blackout Brand Fam Areas (Enc)'!$D$6:$D$998,"Inactive")&gt;0,"BLOCKED","CAN SELL")))))</f>
        <v>CAN SELL</v>
      </c>
      <c r="L46" s="11" t="str">
        <f>IF($A46="","",_xlfn.LET(_xlpm.t,MATCH($B46,'[1]Territory Definitions'!$B$5:$B$14,0),IF(ISNA(_xlpm.t),"NO TERRITORY",IF(INDEX('[1]Territory Definitions'!$D$5:$M$14,_xlpm.t,MATCH(L$4,'[1]Territory Definitions'!$D$4:$M$4,0))&lt;&gt;1,"NOT IN TERRITORY",IF(COUNTIFS('[1]Blackout Brand Fam Areas (Enc)'!$B$6:$B$998,$A46,'[1]Blackout Brand Fam Areas (Enc)'!$C$6:$C$998,L$4,'[1]Blackout Brand Fam Areas (Enc)'!$D$6:$D$998,"Inactive")&gt;0,"BLOCKED","CAN SELL")))))</f>
        <v>CAN SELL</v>
      </c>
      <c r="M46" s="12">
        <f>IF($A46="","",COUNTIF($C46:$L46,"CAN SELL"))</f>
        <v>10</v>
      </c>
      <c r="N46" s="13" cm="1">
        <f t="array" ref="N46">IF($A46="","",SUMPRODUCT(($C46:$L46="CAN SELL")*$C$3:$L$3))</f>
        <v>2306</v>
      </c>
      <c r="O46" s="14" t="str">
        <f>IF($A46="","",IF(COUNTIF($A$5:$A$299,$A46)&gt;1,"DUPLICATE - two different territories assigned",IF($B46="** NO TERRITORY SET **","No territory on Brand Family Territory (Enc)","")))</f>
        <v/>
      </c>
      <c r="P46" s="18" t="str">
        <f>IF($A46="","",IFERROR(INDEX([1]Products!$H$4:$H$4801,MATCH($A46,[1]Products!$G$4:$G$4801,0)),"(no products)"))</f>
        <v>Vinaio Imports LTD</v>
      </c>
      <c r="Q46" s="19">
        <f>IF($A46="","",COUNTIFS([1]Products!$G$4:$G$4801,$A46,[1]Products!$L$4:$L$4801,"Yes"))</f>
        <v>5</v>
      </c>
      <c r="R46" s="19">
        <f>IF($A46="","",COUNTIFS([1]Products!$G$4:$G$4801,$A46,[1]Products!$L$4:$L$4801,"Yes",[1]Products!$K$4:$K$4801,"Draft"))</f>
        <v>0</v>
      </c>
      <c r="S46" s="19">
        <f>IF($A46="","",COUNTIFS([1]Products!$G$4:$G$4801,$A46,[1]Products!$L$4:$L$4801,"Yes",[1]Products!$K$4:$K$4801,"Package"))</f>
        <v>0</v>
      </c>
      <c r="T46" s="20" t="str" cm="1">
        <f t="array" ref="T46">IF($A46="","",_xlfn.IFS($Q46=0,"NO ACTIVE SKUs",AND($R46&gt;0,$S46&gt;0),"Draft &amp; Package",$R46&gt;0,"Draft only",TRUE,"Package only"))</f>
        <v>Package only</v>
      </c>
    </row>
    <row r="47" spans="1:20" x14ac:dyDescent="0.2">
      <c r="A47" s="9" t="str">
        <v>Carta Blanca</v>
      </c>
      <c r="B47" s="10" t="str">
        <f>IF($A47="","",_xlfn.XLOOKUP($A47,'[1]Brand Family Territory (Enc)'!$A:$A,'[1]Brand Family Territory (Enc)'!$B:$B,"** NO TERRITORY SET **"))</f>
        <v>Bergen &amp; Passaic</v>
      </c>
      <c r="C47" s="11" t="str">
        <f>IF($A47="","",_xlfn.LET(_xlpm.t,MATCH($B47,'[1]Territory Definitions'!$B$5:$B$14,0),IF(ISNA(_xlpm.t),"NO TERRITORY",IF(INDEX('[1]Territory Definitions'!$D$5:$M$14,_xlpm.t,MATCH(C$4,'[1]Territory Definitions'!$D$4:$M$4,0))&lt;&gt;1,"NOT IN TERRITORY",IF(COUNTIFS('[1]Blackout Brand Fam Areas (Enc)'!$B$6:$B$998,$A47,'[1]Blackout Brand Fam Areas (Enc)'!$C$6:$C$998,C$4,'[1]Blackout Brand Fam Areas (Enc)'!$D$6:$D$998,"Inactive")&gt;0,"BLOCKED","CAN SELL")))))</f>
        <v>CAN SELL</v>
      </c>
      <c r="D47" s="11" t="str">
        <f>IF($A47="","",_xlfn.LET(_xlpm.t,MATCH($B47,'[1]Territory Definitions'!$B$5:$B$14,0),IF(ISNA(_xlpm.t),"NO TERRITORY",IF(INDEX('[1]Territory Definitions'!$D$5:$M$14,_xlpm.t,MATCH(D$4,'[1]Territory Definitions'!$D$4:$M$4,0))&lt;&gt;1,"NOT IN TERRITORY",IF(COUNTIFS('[1]Blackout Brand Fam Areas (Enc)'!$B$6:$B$998,$A47,'[1]Blackout Brand Fam Areas (Enc)'!$C$6:$C$998,D$4,'[1]Blackout Brand Fam Areas (Enc)'!$D$6:$D$998,"Inactive")&gt;0,"BLOCKED","CAN SELL")))))</f>
        <v>CAN SELL</v>
      </c>
      <c r="E47" s="11" t="str">
        <f>IF($A47="","",_xlfn.LET(_xlpm.t,MATCH($B47,'[1]Territory Definitions'!$B$5:$B$14,0),IF(ISNA(_xlpm.t),"NO TERRITORY",IF(INDEX('[1]Territory Definitions'!$D$5:$M$14,_xlpm.t,MATCH(E$4,'[1]Territory Definitions'!$D$4:$M$4,0))&lt;&gt;1,"NOT IN TERRITORY",IF(COUNTIFS('[1]Blackout Brand Fam Areas (Enc)'!$B$6:$B$998,$A47,'[1]Blackout Brand Fam Areas (Enc)'!$C$6:$C$998,E$4,'[1]Blackout Brand Fam Areas (Enc)'!$D$6:$D$998,"Inactive")&gt;0,"BLOCKED","CAN SELL")))))</f>
        <v>CAN SELL</v>
      </c>
      <c r="F47" s="11" t="str">
        <f>IF($A47="","",_xlfn.LET(_xlpm.t,MATCH($B47,'[1]Territory Definitions'!$B$5:$B$14,0),IF(ISNA(_xlpm.t),"NO TERRITORY",IF(INDEX('[1]Territory Definitions'!$D$5:$M$14,_xlpm.t,MATCH(F$4,'[1]Territory Definitions'!$D$4:$M$4,0))&lt;&gt;1,"NOT IN TERRITORY",IF(COUNTIFS('[1]Blackout Brand Fam Areas (Enc)'!$B$6:$B$998,$A47,'[1]Blackout Brand Fam Areas (Enc)'!$C$6:$C$998,F$4,'[1]Blackout Brand Fam Areas (Enc)'!$D$6:$D$998,"Inactive")&gt;0,"BLOCKED","CAN SELL")))))</f>
        <v>NOT IN TERRITORY</v>
      </c>
      <c r="G47" s="11" t="str">
        <f>IF($A47="","",_xlfn.LET(_xlpm.t,MATCH($B47,'[1]Territory Definitions'!$B$5:$B$14,0),IF(ISNA(_xlpm.t),"NO TERRITORY",IF(INDEX('[1]Territory Definitions'!$D$5:$M$14,_xlpm.t,MATCH(G$4,'[1]Territory Definitions'!$D$4:$M$4,0))&lt;&gt;1,"NOT IN TERRITORY",IF(COUNTIFS('[1]Blackout Brand Fam Areas (Enc)'!$B$6:$B$998,$A47,'[1]Blackout Brand Fam Areas (Enc)'!$C$6:$C$998,G$4,'[1]Blackout Brand Fam Areas (Enc)'!$D$6:$D$998,"Inactive")&gt;0,"BLOCKED","CAN SELL")))))</f>
        <v>NOT IN TERRITORY</v>
      </c>
      <c r="H47" s="11" t="str">
        <f>IF($A47="","",_xlfn.LET(_xlpm.t,MATCH($B47,'[1]Territory Definitions'!$B$5:$B$14,0),IF(ISNA(_xlpm.t),"NO TERRITORY",IF(INDEX('[1]Territory Definitions'!$D$5:$M$14,_xlpm.t,MATCH(H$4,'[1]Territory Definitions'!$D$4:$M$4,0))&lt;&gt;1,"NOT IN TERRITORY",IF(COUNTIFS('[1]Blackout Brand Fam Areas (Enc)'!$B$6:$B$998,$A47,'[1]Blackout Brand Fam Areas (Enc)'!$C$6:$C$998,H$4,'[1]Blackout Brand Fam Areas (Enc)'!$D$6:$D$998,"Inactive")&gt;0,"BLOCKED","CAN SELL")))))</f>
        <v>NOT IN TERRITORY</v>
      </c>
      <c r="I47" s="11" t="str">
        <f>IF($A47="","",_xlfn.LET(_xlpm.t,MATCH($B47,'[1]Territory Definitions'!$B$5:$B$14,0),IF(ISNA(_xlpm.t),"NO TERRITORY",IF(INDEX('[1]Territory Definitions'!$D$5:$M$14,_xlpm.t,MATCH(I$4,'[1]Territory Definitions'!$D$4:$M$4,0))&lt;&gt;1,"NOT IN TERRITORY",IF(COUNTIFS('[1]Blackout Brand Fam Areas (Enc)'!$B$6:$B$998,$A47,'[1]Blackout Brand Fam Areas (Enc)'!$C$6:$C$998,I$4,'[1]Blackout Brand Fam Areas (Enc)'!$D$6:$D$998,"Inactive")&gt;0,"BLOCKED","CAN SELL")))))</f>
        <v>NOT IN TERRITORY</v>
      </c>
      <c r="J47" s="11" t="str">
        <f>IF($A47="","",_xlfn.LET(_xlpm.t,MATCH($B47,'[1]Territory Definitions'!$B$5:$B$14,0),IF(ISNA(_xlpm.t),"NO TERRITORY",IF(INDEX('[1]Territory Definitions'!$D$5:$M$14,_xlpm.t,MATCH(J$4,'[1]Territory Definitions'!$D$4:$M$4,0))&lt;&gt;1,"NOT IN TERRITORY",IF(COUNTIFS('[1]Blackout Brand Fam Areas (Enc)'!$B$6:$B$998,$A47,'[1]Blackout Brand Fam Areas (Enc)'!$C$6:$C$998,J$4,'[1]Blackout Brand Fam Areas (Enc)'!$D$6:$D$998,"Inactive")&gt;0,"BLOCKED","CAN SELL")))))</f>
        <v>NOT IN TERRITORY</v>
      </c>
      <c r="K47" s="11" t="str">
        <f>IF($A47="","",_xlfn.LET(_xlpm.t,MATCH($B47,'[1]Territory Definitions'!$B$5:$B$14,0),IF(ISNA(_xlpm.t),"NO TERRITORY",IF(INDEX('[1]Territory Definitions'!$D$5:$M$14,_xlpm.t,MATCH(K$4,'[1]Territory Definitions'!$D$4:$M$4,0))&lt;&gt;1,"NOT IN TERRITORY",IF(COUNTIFS('[1]Blackout Brand Fam Areas (Enc)'!$B$6:$B$998,$A47,'[1]Blackout Brand Fam Areas (Enc)'!$C$6:$C$998,K$4,'[1]Blackout Brand Fam Areas (Enc)'!$D$6:$D$998,"Inactive")&gt;0,"BLOCKED","CAN SELL")))))</f>
        <v>NOT IN TERRITORY</v>
      </c>
      <c r="L47" s="11" t="str">
        <f>IF($A47="","",_xlfn.LET(_xlpm.t,MATCH($B47,'[1]Territory Definitions'!$B$5:$B$14,0),IF(ISNA(_xlpm.t),"NO TERRITORY",IF(INDEX('[1]Territory Definitions'!$D$5:$M$14,_xlpm.t,MATCH(L$4,'[1]Territory Definitions'!$D$4:$M$4,0))&lt;&gt;1,"NOT IN TERRITORY",IF(COUNTIFS('[1]Blackout Brand Fam Areas (Enc)'!$B$6:$B$998,$A47,'[1]Blackout Brand Fam Areas (Enc)'!$C$6:$C$998,L$4,'[1]Blackout Brand Fam Areas (Enc)'!$D$6:$D$998,"Inactive")&gt;0,"BLOCKED","CAN SELL")))))</f>
        <v>NOT IN TERRITORY</v>
      </c>
      <c r="M47" s="12">
        <f>IF($A47="","",COUNTIF($C47:$L47,"CAN SELL"))</f>
        <v>3</v>
      </c>
      <c r="N47" s="13" cm="1">
        <f t="array" ref="N47">IF($A47="","",SUMPRODUCT(($C47:$L47="CAN SELL")*$C$3:$L$3))</f>
        <v>1282</v>
      </c>
      <c r="O47" s="14" t="str">
        <f>IF($A47="","",IF(COUNTIF($A$5:$A$299,$A47)&gt;1,"DUPLICATE - two different territories assigned",IF($B47="** NO TERRITORY SET **","No territory on Brand Family Territory (Enc)","")))</f>
        <v/>
      </c>
      <c r="P47" s="18" t="str">
        <f>IF($A47="","",IFERROR(INDEX([1]Products!$H$4:$H$4801,MATCH($A47,[1]Products!$G$4:$G$4801,0)),"(no products)"))</f>
        <v>Heineken USA</v>
      </c>
      <c r="Q47" s="19">
        <f>IF($A47="","",COUNTIFS([1]Products!$G$4:$G$4801,$A47,[1]Products!$L$4:$L$4801,"Yes"))</f>
        <v>2</v>
      </c>
      <c r="R47" s="19">
        <f>IF($A47="","",COUNTIFS([1]Products!$G$4:$G$4801,$A47,[1]Products!$L$4:$L$4801,"Yes",[1]Products!$K$4:$K$4801,"Draft"))</f>
        <v>0</v>
      </c>
      <c r="S47" s="19">
        <f>IF($A47="","",COUNTIFS([1]Products!$G$4:$G$4801,$A47,[1]Products!$L$4:$L$4801,"Yes",[1]Products!$K$4:$K$4801,"Package"))</f>
        <v>2</v>
      </c>
      <c r="T47" s="20" t="str" cm="1">
        <f t="array" ref="T47">IF($A47="","",_xlfn.IFS($Q47=0,"NO ACTIVE SKUs",AND($R47&gt;0,$S47&gt;0),"Draft &amp; Package",$R47&gt;0,"Draft only",TRUE,"Package only"))</f>
        <v>Package only</v>
      </c>
    </row>
    <row r="48" spans="1:20" x14ac:dyDescent="0.2">
      <c r="A48" s="9" t="str">
        <v>Cayman Jack</v>
      </c>
      <c r="B48" s="10" t="str">
        <f>IF($A48="","",_xlfn.XLOOKUP($A48,'[1]Brand Family Territory (Enc)'!$A:$A,'[1]Brand Family Territory (Enc)'!$B:$B,"** NO TERRITORY SET **"))</f>
        <v>Core Market</v>
      </c>
      <c r="C48" s="11" t="str">
        <f>IF($A48="","",_xlfn.LET(_xlpm.t,MATCH($B48,'[1]Territory Definitions'!$B$5:$B$14,0),IF(ISNA(_xlpm.t),"NO TERRITORY",IF(INDEX('[1]Territory Definitions'!$D$5:$M$14,_xlpm.t,MATCH(C$4,'[1]Territory Definitions'!$D$4:$M$4,0))&lt;&gt;1,"NOT IN TERRITORY",IF(COUNTIFS('[1]Blackout Brand Fam Areas (Enc)'!$B$6:$B$998,$A48,'[1]Blackout Brand Fam Areas (Enc)'!$C$6:$C$998,C$4,'[1]Blackout Brand Fam Areas (Enc)'!$D$6:$D$998,"Inactive")&gt;0,"BLOCKED","CAN SELL")))))</f>
        <v>CAN SELL</v>
      </c>
      <c r="D48" s="11" t="str">
        <f>IF($A48="","",_xlfn.LET(_xlpm.t,MATCH($B48,'[1]Territory Definitions'!$B$5:$B$14,0),IF(ISNA(_xlpm.t),"NO TERRITORY",IF(INDEX('[1]Territory Definitions'!$D$5:$M$14,_xlpm.t,MATCH(D$4,'[1]Territory Definitions'!$D$4:$M$4,0))&lt;&gt;1,"NOT IN TERRITORY",IF(COUNTIFS('[1]Blackout Brand Fam Areas (Enc)'!$B$6:$B$998,$A48,'[1]Blackout Brand Fam Areas (Enc)'!$C$6:$C$998,D$4,'[1]Blackout Brand Fam Areas (Enc)'!$D$6:$D$998,"Inactive")&gt;0,"BLOCKED","CAN SELL")))))</f>
        <v>CAN SELL</v>
      </c>
      <c r="E48" s="11" t="str">
        <f>IF($A48="","",_xlfn.LET(_xlpm.t,MATCH($B48,'[1]Territory Definitions'!$B$5:$B$14,0),IF(ISNA(_xlpm.t),"NO TERRITORY",IF(INDEX('[1]Territory Definitions'!$D$5:$M$14,_xlpm.t,MATCH(E$4,'[1]Territory Definitions'!$D$4:$M$4,0))&lt;&gt;1,"NOT IN TERRITORY",IF(COUNTIFS('[1]Blackout Brand Fam Areas (Enc)'!$B$6:$B$998,$A48,'[1]Blackout Brand Fam Areas (Enc)'!$C$6:$C$998,E$4,'[1]Blackout Brand Fam Areas (Enc)'!$D$6:$D$998,"Inactive")&gt;0,"BLOCKED","CAN SELL")))))</f>
        <v>CAN SELL</v>
      </c>
      <c r="F48" s="11" t="str">
        <f>IF($A48="","",_xlfn.LET(_xlpm.t,MATCH($B48,'[1]Territory Definitions'!$B$5:$B$14,0),IF(ISNA(_xlpm.t),"NO TERRITORY",IF(INDEX('[1]Territory Definitions'!$D$5:$M$14,_xlpm.t,MATCH(F$4,'[1]Territory Definitions'!$D$4:$M$4,0))&lt;&gt;1,"NOT IN TERRITORY",IF(COUNTIFS('[1]Blackout Brand Fam Areas (Enc)'!$B$6:$B$998,$A48,'[1]Blackout Brand Fam Areas (Enc)'!$C$6:$C$998,F$4,'[1]Blackout Brand Fam Areas (Enc)'!$D$6:$D$998,"Inactive")&gt;0,"BLOCKED","CAN SELL")))))</f>
        <v>NOT IN TERRITORY</v>
      </c>
      <c r="G48" s="11" t="str">
        <f>IF($A48="","",_xlfn.LET(_xlpm.t,MATCH($B48,'[1]Territory Definitions'!$B$5:$B$14,0),IF(ISNA(_xlpm.t),"NO TERRITORY",IF(INDEX('[1]Territory Definitions'!$D$5:$M$14,_xlpm.t,MATCH(G$4,'[1]Territory Definitions'!$D$4:$M$4,0))&lt;&gt;1,"NOT IN TERRITORY",IF(COUNTIFS('[1]Blackout Brand Fam Areas (Enc)'!$B$6:$B$998,$A48,'[1]Blackout Brand Fam Areas (Enc)'!$C$6:$C$998,G$4,'[1]Blackout Brand Fam Areas (Enc)'!$D$6:$D$998,"Inactive")&gt;0,"BLOCKED","CAN SELL")))))</f>
        <v>NOT IN TERRITORY</v>
      </c>
      <c r="H48" s="11" t="str">
        <f>IF($A48="","",_xlfn.LET(_xlpm.t,MATCH($B48,'[1]Territory Definitions'!$B$5:$B$14,0),IF(ISNA(_xlpm.t),"NO TERRITORY",IF(INDEX('[1]Territory Definitions'!$D$5:$M$14,_xlpm.t,MATCH(H$4,'[1]Territory Definitions'!$D$4:$M$4,0))&lt;&gt;1,"NOT IN TERRITORY",IF(COUNTIFS('[1]Blackout Brand Fam Areas (Enc)'!$B$6:$B$998,$A48,'[1]Blackout Brand Fam Areas (Enc)'!$C$6:$C$998,H$4,'[1]Blackout Brand Fam Areas (Enc)'!$D$6:$D$998,"Inactive")&gt;0,"BLOCKED","CAN SELL")))))</f>
        <v>NOT IN TERRITORY</v>
      </c>
      <c r="I48" s="11" t="str">
        <f>IF($A48="","",_xlfn.LET(_xlpm.t,MATCH($B48,'[1]Territory Definitions'!$B$5:$B$14,0),IF(ISNA(_xlpm.t),"NO TERRITORY",IF(INDEX('[1]Territory Definitions'!$D$5:$M$14,_xlpm.t,MATCH(I$4,'[1]Territory Definitions'!$D$4:$M$4,0))&lt;&gt;1,"NOT IN TERRITORY",IF(COUNTIFS('[1]Blackout Brand Fam Areas (Enc)'!$B$6:$B$998,$A48,'[1]Blackout Brand Fam Areas (Enc)'!$C$6:$C$998,I$4,'[1]Blackout Brand Fam Areas (Enc)'!$D$6:$D$998,"Inactive")&gt;0,"BLOCKED","CAN SELL")))))</f>
        <v>CAN SELL</v>
      </c>
      <c r="J48" s="11" t="str">
        <f>IF($A48="","",_xlfn.LET(_xlpm.t,MATCH($B48,'[1]Territory Definitions'!$B$5:$B$14,0),IF(ISNA(_xlpm.t),"NO TERRITORY",IF(INDEX('[1]Territory Definitions'!$D$5:$M$14,_xlpm.t,MATCH(J$4,'[1]Territory Definitions'!$D$4:$M$4,0))&lt;&gt;1,"NOT IN TERRITORY",IF(COUNTIFS('[1]Blackout Brand Fam Areas (Enc)'!$B$6:$B$998,$A48,'[1]Blackout Brand Fam Areas (Enc)'!$C$6:$C$998,J$4,'[1]Blackout Brand Fam Areas (Enc)'!$D$6:$D$998,"Inactive")&gt;0,"BLOCKED","CAN SELL")))))</f>
        <v>CAN SELL</v>
      </c>
      <c r="K48" s="11" t="str">
        <f>IF($A48="","",_xlfn.LET(_xlpm.t,MATCH($B48,'[1]Territory Definitions'!$B$5:$B$14,0),IF(ISNA(_xlpm.t),"NO TERRITORY",IF(INDEX('[1]Territory Definitions'!$D$5:$M$14,_xlpm.t,MATCH(K$4,'[1]Territory Definitions'!$D$4:$M$4,0))&lt;&gt;1,"NOT IN TERRITORY",IF(COUNTIFS('[1]Blackout Brand Fam Areas (Enc)'!$B$6:$B$998,$A48,'[1]Blackout Brand Fam Areas (Enc)'!$C$6:$C$998,K$4,'[1]Blackout Brand Fam Areas (Enc)'!$D$6:$D$998,"Inactive")&gt;0,"BLOCKED","CAN SELL")))))</f>
        <v>NOT IN TERRITORY</v>
      </c>
      <c r="L48" s="11" t="str">
        <f>IF($A48="","",_xlfn.LET(_xlpm.t,MATCH($B48,'[1]Territory Definitions'!$B$5:$B$14,0),IF(ISNA(_xlpm.t),"NO TERRITORY",IF(INDEX('[1]Territory Definitions'!$D$5:$M$14,_xlpm.t,MATCH(L$4,'[1]Territory Definitions'!$D$4:$M$4,0))&lt;&gt;1,"NOT IN TERRITORY",IF(COUNTIFS('[1]Blackout Brand Fam Areas (Enc)'!$B$6:$B$998,$A48,'[1]Blackout Brand Fam Areas (Enc)'!$C$6:$C$998,L$4,'[1]Blackout Brand Fam Areas (Enc)'!$D$6:$D$998,"Inactive")&gt;0,"BLOCKED","CAN SELL")))))</f>
        <v>CAN SELL</v>
      </c>
      <c r="M48" s="12">
        <f>IF($A48="","",COUNTIF($C48:$L48,"CAN SELL"))</f>
        <v>6</v>
      </c>
      <c r="N48" s="13" cm="1">
        <f t="array" ref="N48">IF($A48="","",SUMPRODUCT(($C48:$L48="CAN SELL")*$C$3:$L$3))</f>
        <v>1596</v>
      </c>
      <c r="O48" s="14" t="str">
        <f>IF($A48="","",IF(COUNTIF($A$5:$A$299,$A48)&gt;1,"DUPLICATE - two different territories assigned",IF($B48="** NO TERRITORY SET **","No territory on Brand Family Territory (Enc)","")))</f>
        <v/>
      </c>
      <c r="P48" s="18" t="str">
        <f>IF($A48="","",IFERROR(INDEX([1]Products!$H$4:$H$4801,MATCH($A48,[1]Products!$G$4:$G$4801,0)),"(no products)"))</f>
        <v>Mark Anthony</v>
      </c>
      <c r="Q48" s="19">
        <f>IF($A48="","",COUNTIFS([1]Products!$G$4:$G$4801,$A48,[1]Products!$L$4:$L$4801,"Yes"))</f>
        <v>16</v>
      </c>
      <c r="R48" s="19">
        <f>IF($A48="","",COUNTIFS([1]Products!$G$4:$G$4801,$A48,[1]Products!$L$4:$L$4801,"Yes",[1]Products!$K$4:$K$4801,"Draft"))</f>
        <v>0</v>
      </c>
      <c r="S48" s="19">
        <f>IF($A48="","",COUNTIFS([1]Products!$G$4:$G$4801,$A48,[1]Products!$L$4:$L$4801,"Yes",[1]Products!$K$4:$K$4801,"Package"))</f>
        <v>16</v>
      </c>
      <c r="T48" s="20" t="str" cm="1">
        <f t="array" ref="T48">IF($A48="","",_xlfn.IFS($Q48=0,"NO ACTIVE SKUs",AND($R48&gt;0,$S48&gt;0),"Draft &amp; Package",$R48&gt;0,"Draft only",TRUE,"Package only"))</f>
        <v>Package only</v>
      </c>
    </row>
    <row r="49" spans="1:20" x14ac:dyDescent="0.2">
      <c r="A49" s="9" t="str">
        <v>Cerveza Republica LA Tuya</v>
      </c>
      <c r="B49" s="10" t="str">
        <f>IF($A49="","",_xlfn.XLOOKUP($A49,'[1]Brand Family Territory (Enc)'!$A:$A,'[1]Brand Family Territory (Enc)'!$B:$B,"** NO TERRITORY SET **"))</f>
        <v>All Counties + Middlesex</v>
      </c>
      <c r="C49" s="11" t="str">
        <f>IF($A49="","",_xlfn.LET(_xlpm.t,MATCH($B49,'[1]Territory Definitions'!$B$5:$B$14,0),IF(ISNA(_xlpm.t),"NO TERRITORY",IF(INDEX('[1]Territory Definitions'!$D$5:$M$14,_xlpm.t,MATCH(C$4,'[1]Territory Definitions'!$D$4:$M$4,0))&lt;&gt;1,"NOT IN TERRITORY",IF(COUNTIFS('[1]Blackout Brand Fam Areas (Enc)'!$B$6:$B$998,$A49,'[1]Blackout Brand Fam Areas (Enc)'!$C$6:$C$998,C$4,'[1]Blackout Brand Fam Areas (Enc)'!$D$6:$D$998,"Inactive")&gt;0,"BLOCKED","CAN SELL")))))</f>
        <v>CAN SELL</v>
      </c>
      <c r="D49" s="11" t="str">
        <f>IF($A49="","",_xlfn.LET(_xlpm.t,MATCH($B49,'[1]Territory Definitions'!$B$5:$B$14,0),IF(ISNA(_xlpm.t),"NO TERRITORY",IF(INDEX('[1]Territory Definitions'!$D$5:$M$14,_xlpm.t,MATCH(D$4,'[1]Territory Definitions'!$D$4:$M$4,0))&lt;&gt;1,"NOT IN TERRITORY",IF(COUNTIFS('[1]Blackout Brand Fam Areas (Enc)'!$B$6:$B$998,$A49,'[1]Blackout Brand Fam Areas (Enc)'!$C$6:$C$998,D$4,'[1]Blackout Brand Fam Areas (Enc)'!$D$6:$D$998,"Inactive")&gt;0,"BLOCKED","CAN SELL")))))</f>
        <v>CAN SELL</v>
      </c>
      <c r="E49" s="11" t="str">
        <f>IF($A49="","",_xlfn.LET(_xlpm.t,MATCH($B49,'[1]Territory Definitions'!$B$5:$B$14,0),IF(ISNA(_xlpm.t),"NO TERRITORY",IF(INDEX('[1]Territory Definitions'!$D$5:$M$14,_xlpm.t,MATCH(E$4,'[1]Territory Definitions'!$D$4:$M$4,0))&lt;&gt;1,"NOT IN TERRITORY",IF(COUNTIFS('[1]Blackout Brand Fam Areas (Enc)'!$B$6:$B$998,$A49,'[1]Blackout Brand Fam Areas (Enc)'!$C$6:$C$998,E$4,'[1]Blackout Brand Fam Areas (Enc)'!$D$6:$D$998,"Inactive")&gt;0,"BLOCKED","CAN SELL")))))</f>
        <v>CAN SELL</v>
      </c>
      <c r="F49" s="11" t="str">
        <f>IF($A49="","",_xlfn.LET(_xlpm.t,MATCH($B49,'[1]Territory Definitions'!$B$5:$B$14,0),IF(ISNA(_xlpm.t),"NO TERRITORY",IF(INDEX('[1]Territory Definitions'!$D$5:$M$14,_xlpm.t,MATCH(F$4,'[1]Territory Definitions'!$D$4:$M$4,0))&lt;&gt;1,"NOT IN TERRITORY",IF(COUNTIFS('[1]Blackout Brand Fam Areas (Enc)'!$B$6:$B$998,$A49,'[1]Blackout Brand Fam Areas (Enc)'!$C$6:$C$998,F$4,'[1]Blackout Brand Fam Areas (Enc)'!$D$6:$D$998,"Inactive")&gt;0,"BLOCKED","CAN SELL")))))</f>
        <v>CAN SELL</v>
      </c>
      <c r="G49" s="11" t="str">
        <f>IF($A49="","",_xlfn.LET(_xlpm.t,MATCH($B49,'[1]Territory Definitions'!$B$5:$B$14,0),IF(ISNA(_xlpm.t),"NO TERRITORY",IF(INDEX('[1]Territory Definitions'!$D$5:$M$14,_xlpm.t,MATCH(G$4,'[1]Territory Definitions'!$D$4:$M$4,0))&lt;&gt;1,"NOT IN TERRITORY",IF(COUNTIFS('[1]Blackout Brand Fam Areas (Enc)'!$B$6:$B$998,$A49,'[1]Blackout Brand Fam Areas (Enc)'!$C$6:$C$998,G$4,'[1]Blackout Brand Fam Areas (Enc)'!$D$6:$D$998,"Inactive")&gt;0,"BLOCKED","CAN SELL")))))</f>
        <v>CAN SELL</v>
      </c>
      <c r="H49" s="11" t="str">
        <f>IF($A49="","",_xlfn.LET(_xlpm.t,MATCH($B49,'[1]Territory Definitions'!$B$5:$B$14,0),IF(ISNA(_xlpm.t),"NO TERRITORY",IF(INDEX('[1]Territory Definitions'!$D$5:$M$14,_xlpm.t,MATCH(H$4,'[1]Territory Definitions'!$D$4:$M$4,0))&lt;&gt;1,"NOT IN TERRITORY",IF(COUNTIFS('[1]Blackout Brand Fam Areas (Enc)'!$B$6:$B$998,$A49,'[1]Blackout Brand Fam Areas (Enc)'!$C$6:$C$998,H$4,'[1]Blackout Brand Fam Areas (Enc)'!$D$6:$D$998,"Inactive")&gt;0,"BLOCKED","CAN SELL")))))</f>
        <v>CAN SELL</v>
      </c>
      <c r="I49" s="11" t="str">
        <f>IF($A49="","",_xlfn.LET(_xlpm.t,MATCH($B49,'[1]Territory Definitions'!$B$5:$B$14,0),IF(ISNA(_xlpm.t),"NO TERRITORY",IF(INDEX('[1]Territory Definitions'!$D$5:$M$14,_xlpm.t,MATCH(I$4,'[1]Territory Definitions'!$D$4:$M$4,0))&lt;&gt;1,"NOT IN TERRITORY",IF(COUNTIFS('[1]Blackout Brand Fam Areas (Enc)'!$B$6:$B$998,$A49,'[1]Blackout Brand Fam Areas (Enc)'!$C$6:$C$998,I$4,'[1]Blackout Brand Fam Areas (Enc)'!$D$6:$D$998,"Inactive")&gt;0,"BLOCKED","CAN SELL")))))</f>
        <v>CAN SELL</v>
      </c>
      <c r="J49" s="11" t="str">
        <f>IF($A49="","",_xlfn.LET(_xlpm.t,MATCH($B49,'[1]Territory Definitions'!$B$5:$B$14,0),IF(ISNA(_xlpm.t),"NO TERRITORY",IF(INDEX('[1]Territory Definitions'!$D$5:$M$14,_xlpm.t,MATCH(J$4,'[1]Territory Definitions'!$D$4:$M$4,0))&lt;&gt;1,"NOT IN TERRITORY",IF(COUNTIFS('[1]Blackout Brand Fam Areas (Enc)'!$B$6:$B$998,$A49,'[1]Blackout Brand Fam Areas (Enc)'!$C$6:$C$998,J$4,'[1]Blackout Brand Fam Areas (Enc)'!$D$6:$D$998,"Inactive")&gt;0,"BLOCKED","CAN SELL")))))</f>
        <v>CAN SELL</v>
      </c>
      <c r="K49" s="11" t="str">
        <f>IF($A49="","",_xlfn.LET(_xlpm.t,MATCH($B49,'[1]Territory Definitions'!$B$5:$B$14,0),IF(ISNA(_xlpm.t),"NO TERRITORY",IF(INDEX('[1]Territory Definitions'!$D$5:$M$14,_xlpm.t,MATCH(K$4,'[1]Territory Definitions'!$D$4:$M$4,0))&lt;&gt;1,"NOT IN TERRITORY",IF(COUNTIFS('[1]Blackout Brand Fam Areas (Enc)'!$B$6:$B$998,$A49,'[1]Blackout Brand Fam Areas (Enc)'!$C$6:$C$998,K$4,'[1]Blackout Brand Fam Areas (Enc)'!$D$6:$D$998,"Inactive")&gt;0,"BLOCKED","CAN SELL")))))</f>
        <v>CAN SELL</v>
      </c>
      <c r="L49" s="11" t="str">
        <f>IF($A49="","",_xlfn.LET(_xlpm.t,MATCH($B49,'[1]Territory Definitions'!$B$5:$B$14,0),IF(ISNA(_xlpm.t),"NO TERRITORY",IF(INDEX('[1]Territory Definitions'!$D$5:$M$14,_xlpm.t,MATCH(L$4,'[1]Territory Definitions'!$D$4:$M$4,0))&lt;&gt;1,"NOT IN TERRITORY",IF(COUNTIFS('[1]Blackout Brand Fam Areas (Enc)'!$B$6:$B$998,$A49,'[1]Blackout Brand Fam Areas (Enc)'!$C$6:$C$998,L$4,'[1]Blackout Brand Fam Areas (Enc)'!$D$6:$D$998,"Inactive")&gt;0,"BLOCKED","CAN SELL")))))</f>
        <v>CAN SELL</v>
      </c>
      <c r="M49" s="12">
        <f>IF($A49="","",COUNTIF($C49:$L49,"CAN SELL"))</f>
        <v>10</v>
      </c>
      <c r="N49" s="13" cm="1">
        <f t="array" ref="N49">IF($A49="","",SUMPRODUCT(($C49:$L49="CAN SELL")*$C$3:$L$3))</f>
        <v>2306</v>
      </c>
      <c r="O49" s="14" t="str">
        <f>IF($A49="","",IF(COUNTIF($A$5:$A$299,$A49)&gt;1,"DUPLICATE - two different territories assigned",IF($B49="** NO TERRITORY SET **","No territory on Brand Family Territory (Enc)","")))</f>
        <v/>
      </c>
      <c r="P49" s="18" t="str">
        <f>IF($A49="","",IFERROR(INDEX([1]Products!$H$4:$H$4801,MATCH($A49,[1]Products!$G$4:$G$4801,0)),"(no products)"))</f>
        <v>Vinaio Imports LTD</v>
      </c>
      <c r="Q49" s="19">
        <f>IF($A49="","",COUNTIFS([1]Products!$G$4:$G$4801,$A49,[1]Products!$L$4:$L$4801,"Yes"))</f>
        <v>1</v>
      </c>
      <c r="R49" s="19">
        <f>IF($A49="","",COUNTIFS([1]Products!$G$4:$G$4801,$A49,[1]Products!$L$4:$L$4801,"Yes",[1]Products!$K$4:$K$4801,"Draft"))</f>
        <v>0</v>
      </c>
      <c r="S49" s="19">
        <f>IF($A49="","",COUNTIFS([1]Products!$G$4:$G$4801,$A49,[1]Products!$L$4:$L$4801,"Yes",[1]Products!$K$4:$K$4801,"Package"))</f>
        <v>1</v>
      </c>
      <c r="T49" s="20" t="str" cm="1">
        <f t="array" ref="T49">IF($A49="","",_xlfn.IFS($Q49=0,"NO ACTIVE SKUs",AND($R49&gt;0,$S49&gt;0),"Draft &amp; Package",$R49&gt;0,"Draft only",TRUE,"Package only"))</f>
        <v>Package only</v>
      </c>
    </row>
    <row r="50" spans="1:20" x14ac:dyDescent="0.2">
      <c r="A50" s="9" t="str">
        <v>Cerveza Republica La Tuya 5.0 La Dura</v>
      </c>
      <c r="B50" s="10" t="str">
        <f>IF($A50="","",_xlfn.XLOOKUP($A50,'[1]Brand Family Territory (Enc)'!$A:$A,'[1]Brand Family Territory (Enc)'!$B:$B,"** NO TERRITORY SET **"))</f>
        <v>All Counties + Middlesex</v>
      </c>
      <c r="C50" s="11" t="str">
        <f>IF($A50="","",_xlfn.LET(_xlpm.t,MATCH($B50,'[1]Territory Definitions'!$B$5:$B$14,0),IF(ISNA(_xlpm.t),"NO TERRITORY",IF(INDEX('[1]Territory Definitions'!$D$5:$M$14,_xlpm.t,MATCH(C$4,'[1]Territory Definitions'!$D$4:$M$4,0))&lt;&gt;1,"NOT IN TERRITORY",IF(COUNTIFS('[1]Blackout Brand Fam Areas (Enc)'!$B$6:$B$998,$A50,'[1]Blackout Brand Fam Areas (Enc)'!$C$6:$C$998,C$4,'[1]Blackout Brand Fam Areas (Enc)'!$D$6:$D$998,"Inactive")&gt;0,"BLOCKED","CAN SELL")))))</f>
        <v>CAN SELL</v>
      </c>
      <c r="D50" s="11" t="str">
        <f>IF($A50="","",_xlfn.LET(_xlpm.t,MATCH($B50,'[1]Territory Definitions'!$B$5:$B$14,0),IF(ISNA(_xlpm.t),"NO TERRITORY",IF(INDEX('[1]Territory Definitions'!$D$5:$M$14,_xlpm.t,MATCH(D$4,'[1]Territory Definitions'!$D$4:$M$4,0))&lt;&gt;1,"NOT IN TERRITORY",IF(COUNTIFS('[1]Blackout Brand Fam Areas (Enc)'!$B$6:$B$998,$A50,'[1]Blackout Brand Fam Areas (Enc)'!$C$6:$C$998,D$4,'[1]Blackout Brand Fam Areas (Enc)'!$D$6:$D$998,"Inactive")&gt;0,"BLOCKED","CAN SELL")))))</f>
        <v>CAN SELL</v>
      </c>
      <c r="E50" s="11" t="str">
        <f>IF($A50="","",_xlfn.LET(_xlpm.t,MATCH($B50,'[1]Territory Definitions'!$B$5:$B$14,0),IF(ISNA(_xlpm.t),"NO TERRITORY",IF(INDEX('[1]Territory Definitions'!$D$5:$M$14,_xlpm.t,MATCH(E$4,'[1]Territory Definitions'!$D$4:$M$4,0))&lt;&gt;1,"NOT IN TERRITORY",IF(COUNTIFS('[1]Blackout Brand Fam Areas (Enc)'!$B$6:$B$998,$A50,'[1]Blackout Brand Fam Areas (Enc)'!$C$6:$C$998,E$4,'[1]Blackout Brand Fam Areas (Enc)'!$D$6:$D$998,"Inactive")&gt;0,"BLOCKED","CAN SELL")))))</f>
        <v>CAN SELL</v>
      </c>
      <c r="F50" s="11" t="str">
        <f>IF($A50="","",_xlfn.LET(_xlpm.t,MATCH($B50,'[1]Territory Definitions'!$B$5:$B$14,0),IF(ISNA(_xlpm.t),"NO TERRITORY",IF(INDEX('[1]Territory Definitions'!$D$5:$M$14,_xlpm.t,MATCH(F$4,'[1]Territory Definitions'!$D$4:$M$4,0))&lt;&gt;1,"NOT IN TERRITORY",IF(COUNTIFS('[1]Blackout Brand Fam Areas (Enc)'!$B$6:$B$998,$A50,'[1]Blackout Brand Fam Areas (Enc)'!$C$6:$C$998,F$4,'[1]Blackout Brand Fam Areas (Enc)'!$D$6:$D$998,"Inactive")&gt;0,"BLOCKED","CAN SELL")))))</f>
        <v>CAN SELL</v>
      </c>
      <c r="G50" s="11" t="str">
        <f>IF($A50="","",_xlfn.LET(_xlpm.t,MATCH($B50,'[1]Territory Definitions'!$B$5:$B$14,0),IF(ISNA(_xlpm.t),"NO TERRITORY",IF(INDEX('[1]Territory Definitions'!$D$5:$M$14,_xlpm.t,MATCH(G$4,'[1]Territory Definitions'!$D$4:$M$4,0))&lt;&gt;1,"NOT IN TERRITORY",IF(COUNTIFS('[1]Blackout Brand Fam Areas (Enc)'!$B$6:$B$998,$A50,'[1]Blackout Brand Fam Areas (Enc)'!$C$6:$C$998,G$4,'[1]Blackout Brand Fam Areas (Enc)'!$D$6:$D$998,"Inactive")&gt;0,"BLOCKED","CAN SELL")))))</f>
        <v>CAN SELL</v>
      </c>
      <c r="H50" s="11" t="str">
        <f>IF($A50="","",_xlfn.LET(_xlpm.t,MATCH($B50,'[1]Territory Definitions'!$B$5:$B$14,0),IF(ISNA(_xlpm.t),"NO TERRITORY",IF(INDEX('[1]Territory Definitions'!$D$5:$M$14,_xlpm.t,MATCH(H$4,'[1]Territory Definitions'!$D$4:$M$4,0))&lt;&gt;1,"NOT IN TERRITORY",IF(COUNTIFS('[1]Blackout Brand Fam Areas (Enc)'!$B$6:$B$998,$A50,'[1]Blackout Brand Fam Areas (Enc)'!$C$6:$C$998,H$4,'[1]Blackout Brand Fam Areas (Enc)'!$D$6:$D$998,"Inactive")&gt;0,"BLOCKED","CAN SELL")))))</f>
        <v>CAN SELL</v>
      </c>
      <c r="I50" s="11" t="str">
        <f>IF($A50="","",_xlfn.LET(_xlpm.t,MATCH($B50,'[1]Territory Definitions'!$B$5:$B$14,0),IF(ISNA(_xlpm.t),"NO TERRITORY",IF(INDEX('[1]Territory Definitions'!$D$5:$M$14,_xlpm.t,MATCH(I$4,'[1]Territory Definitions'!$D$4:$M$4,0))&lt;&gt;1,"NOT IN TERRITORY",IF(COUNTIFS('[1]Blackout Brand Fam Areas (Enc)'!$B$6:$B$998,$A50,'[1]Blackout Brand Fam Areas (Enc)'!$C$6:$C$998,I$4,'[1]Blackout Brand Fam Areas (Enc)'!$D$6:$D$998,"Inactive")&gt;0,"BLOCKED","CAN SELL")))))</f>
        <v>CAN SELL</v>
      </c>
      <c r="J50" s="11" t="str">
        <f>IF($A50="","",_xlfn.LET(_xlpm.t,MATCH($B50,'[1]Territory Definitions'!$B$5:$B$14,0),IF(ISNA(_xlpm.t),"NO TERRITORY",IF(INDEX('[1]Territory Definitions'!$D$5:$M$14,_xlpm.t,MATCH(J$4,'[1]Territory Definitions'!$D$4:$M$4,0))&lt;&gt;1,"NOT IN TERRITORY",IF(COUNTIFS('[1]Blackout Brand Fam Areas (Enc)'!$B$6:$B$998,$A50,'[1]Blackout Brand Fam Areas (Enc)'!$C$6:$C$998,J$4,'[1]Blackout Brand Fam Areas (Enc)'!$D$6:$D$998,"Inactive")&gt;0,"BLOCKED","CAN SELL")))))</f>
        <v>CAN SELL</v>
      </c>
      <c r="K50" s="11" t="str">
        <f>IF($A50="","",_xlfn.LET(_xlpm.t,MATCH($B50,'[1]Territory Definitions'!$B$5:$B$14,0),IF(ISNA(_xlpm.t),"NO TERRITORY",IF(INDEX('[1]Territory Definitions'!$D$5:$M$14,_xlpm.t,MATCH(K$4,'[1]Territory Definitions'!$D$4:$M$4,0))&lt;&gt;1,"NOT IN TERRITORY",IF(COUNTIFS('[1]Blackout Brand Fam Areas (Enc)'!$B$6:$B$998,$A50,'[1]Blackout Brand Fam Areas (Enc)'!$C$6:$C$998,K$4,'[1]Blackout Brand Fam Areas (Enc)'!$D$6:$D$998,"Inactive")&gt;0,"BLOCKED","CAN SELL")))))</f>
        <v>CAN SELL</v>
      </c>
      <c r="L50" s="11" t="str">
        <f>IF($A50="","",_xlfn.LET(_xlpm.t,MATCH($B50,'[1]Territory Definitions'!$B$5:$B$14,0),IF(ISNA(_xlpm.t),"NO TERRITORY",IF(INDEX('[1]Territory Definitions'!$D$5:$M$14,_xlpm.t,MATCH(L$4,'[1]Territory Definitions'!$D$4:$M$4,0))&lt;&gt;1,"NOT IN TERRITORY",IF(COUNTIFS('[1]Blackout Brand Fam Areas (Enc)'!$B$6:$B$998,$A50,'[1]Blackout Brand Fam Areas (Enc)'!$C$6:$C$998,L$4,'[1]Blackout Brand Fam Areas (Enc)'!$D$6:$D$998,"Inactive")&gt;0,"BLOCKED","CAN SELL")))))</f>
        <v>CAN SELL</v>
      </c>
      <c r="M50" s="12">
        <f>IF($A50="","",COUNTIF($C50:$L50,"CAN SELL"))</f>
        <v>10</v>
      </c>
      <c r="N50" s="13" cm="1">
        <f t="array" ref="N50">IF($A50="","",SUMPRODUCT(($C50:$L50="CAN SELL")*$C$3:$L$3))</f>
        <v>2306</v>
      </c>
      <c r="O50" s="14" t="str">
        <f>IF($A50="","",IF(COUNTIF($A$5:$A$299,$A50)&gt;1,"DUPLICATE - two different territories assigned",IF($B50="** NO TERRITORY SET **","No territory on Brand Family Territory (Enc)","")))</f>
        <v/>
      </c>
      <c r="P50" s="18" t="str">
        <f>IF($A50="","",IFERROR(INDEX([1]Products!$H$4:$H$4801,MATCH($A50,[1]Products!$G$4:$G$4801,0)),"(no products)"))</f>
        <v>Vinaio Imports LTD</v>
      </c>
      <c r="Q50" s="19">
        <f>IF($A50="","",COUNTIFS([1]Products!$G$4:$G$4801,$A50,[1]Products!$L$4:$L$4801,"Yes"))</f>
        <v>2</v>
      </c>
      <c r="R50" s="19">
        <f>IF($A50="","",COUNTIFS([1]Products!$G$4:$G$4801,$A50,[1]Products!$L$4:$L$4801,"Yes",[1]Products!$K$4:$K$4801,"Draft"))</f>
        <v>0</v>
      </c>
      <c r="S50" s="19">
        <f>IF($A50="","",COUNTIFS([1]Products!$G$4:$G$4801,$A50,[1]Products!$L$4:$L$4801,"Yes",[1]Products!$K$4:$K$4801,"Package"))</f>
        <v>2</v>
      </c>
      <c r="T50" s="20" t="str" cm="1">
        <f t="array" ref="T50">IF($A50="","",_xlfn.IFS($Q50=0,"NO ACTIVE SKUs",AND($R50&gt;0,$S50&gt;0),"Draft &amp; Package",$R50&gt;0,"Draft only",TRUE,"Package only"))</f>
        <v>Package only</v>
      </c>
    </row>
    <row r="51" spans="1:20" x14ac:dyDescent="0.2">
      <c r="A51" s="9" t="str">
        <v>Charro</v>
      </c>
      <c r="B51" s="10" t="str">
        <f>IF($A51="","",_xlfn.XLOOKUP($A51,'[1]Brand Family Territory (Enc)'!$A:$A,'[1]Brand Family Territory (Enc)'!$B:$B,"** NO TERRITORY SET **"))</f>
        <v>All Counties</v>
      </c>
      <c r="C51" s="11" t="str">
        <f>IF($A51="","",_xlfn.LET(_xlpm.t,MATCH($B51,'[1]Territory Definitions'!$B$5:$B$14,0),IF(ISNA(_xlpm.t),"NO TERRITORY",IF(INDEX('[1]Territory Definitions'!$D$5:$M$14,_xlpm.t,MATCH(C$4,'[1]Territory Definitions'!$D$4:$M$4,0))&lt;&gt;1,"NOT IN TERRITORY",IF(COUNTIFS('[1]Blackout Brand Fam Areas (Enc)'!$B$6:$B$998,$A51,'[1]Blackout Brand Fam Areas (Enc)'!$C$6:$C$998,C$4,'[1]Blackout Brand Fam Areas (Enc)'!$D$6:$D$998,"Inactive")&gt;0,"BLOCKED","CAN SELL")))))</f>
        <v>CAN SELL</v>
      </c>
      <c r="D51" s="11" t="str">
        <f>IF($A51="","",_xlfn.LET(_xlpm.t,MATCH($B51,'[1]Territory Definitions'!$B$5:$B$14,0),IF(ISNA(_xlpm.t),"NO TERRITORY",IF(INDEX('[1]Territory Definitions'!$D$5:$M$14,_xlpm.t,MATCH(D$4,'[1]Territory Definitions'!$D$4:$M$4,0))&lt;&gt;1,"NOT IN TERRITORY",IF(COUNTIFS('[1]Blackout Brand Fam Areas (Enc)'!$B$6:$B$998,$A51,'[1]Blackout Brand Fam Areas (Enc)'!$C$6:$C$998,D$4,'[1]Blackout Brand Fam Areas (Enc)'!$D$6:$D$998,"Inactive")&gt;0,"BLOCKED","CAN SELL")))))</f>
        <v>CAN SELL</v>
      </c>
      <c r="E51" s="11" t="str">
        <f>IF($A51="","",_xlfn.LET(_xlpm.t,MATCH($B51,'[1]Territory Definitions'!$B$5:$B$14,0),IF(ISNA(_xlpm.t),"NO TERRITORY",IF(INDEX('[1]Territory Definitions'!$D$5:$M$14,_xlpm.t,MATCH(E$4,'[1]Territory Definitions'!$D$4:$M$4,0))&lt;&gt;1,"NOT IN TERRITORY",IF(COUNTIFS('[1]Blackout Brand Fam Areas (Enc)'!$B$6:$B$998,$A51,'[1]Blackout Brand Fam Areas (Enc)'!$C$6:$C$998,E$4,'[1]Blackout Brand Fam Areas (Enc)'!$D$6:$D$998,"Inactive")&gt;0,"BLOCKED","CAN SELL")))))</f>
        <v>CAN SELL</v>
      </c>
      <c r="F51" s="11" t="str">
        <f>IF($A51="","",_xlfn.LET(_xlpm.t,MATCH($B51,'[1]Territory Definitions'!$B$5:$B$14,0),IF(ISNA(_xlpm.t),"NO TERRITORY",IF(INDEX('[1]Territory Definitions'!$D$5:$M$14,_xlpm.t,MATCH(F$4,'[1]Territory Definitions'!$D$4:$M$4,0))&lt;&gt;1,"NOT IN TERRITORY",IF(COUNTIFS('[1]Blackout Brand Fam Areas (Enc)'!$B$6:$B$998,$A51,'[1]Blackout Brand Fam Areas (Enc)'!$C$6:$C$998,F$4,'[1]Blackout Brand Fam Areas (Enc)'!$D$6:$D$998,"Inactive")&gt;0,"BLOCKED","CAN SELL")))))</f>
        <v>CAN SELL</v>
      </c>
      <c r="G51" s="11" t="str">
        <f>IF($A51="","",_xlfn.LET(_xlpm.t,MATCH($B51,'[1]Territory Definitions'!$B$5:$B$14,0),IF(ISNA(_xlpm.t),"NO TERRITORY",IF(INDEX('[1]Territory Definitions'!$D$5:$M$14,_xlpm.t,MATCH(G$4,'[1]Territory Definitions'!$D$4:$M$4,0))&lt;&gt;1,"NOT IN TERRITORY",IF(COUNTIFS('[1]Blackout Brand Fam Areas (Enc)'!$B$6:$B$998,$A51,'[1]Blackout Brand Fam Areas (Enc)'!$C$6:$C$998,G$4,'[1]Blackout Brand Fam Areas (Enc)'!$D$6:$D$998,"Inactive")&gt;0,"BLOCKED","CAN SELL")))))</f>
        <v>CAN SELL</v>
      </c>
      <c r="H51" s="11" t="str">
        <f>IF($A51="","",_xlfn.LET(_xlpm.t,MATCH($B51,'[1]Territory Definitions'!$B$5:$B$14,0),IF(ISNA(_xlpm.t),"NO TERRITORY",IF(INDEX('[1]Territory Definitions'!$D$5:$M$14,_xlpm.t,MATCH(H$4,'[1]Territory Definitions'!$D$4:$M$4,0))&lt;&gt;1,"NOT IN TERRITORY",IF(COUNTIFS('[1]Blackout Brand Fam Areas (Enc)'!$B$6:$B$998,$A51,'[1]Blackout Brand Fam Areas (Enc)'!$C$6:$C$998,H$4,'[1]Blackout Brand Fam Areas (Enc)'!$D$6:$D$998,"Inactive")&gt;0,"BLOCKED","CAN SELL")))))</f>
        <v>CAN SELL</v>
      </c>
      <c r="I51" s="11" t="str">
        <f>IF($A51="","",_xlfn.LET(_xlpm.t,MATCH($B51,'[1]Territory Definitions'!$B$5:$B$14,0),IF(ISNA(_xlpm.t),"NO TERRITORY",IF(INDEX('[1]Territory Definitions'!$D$5:$M$14,_xlpm.t,MATCH(I$4,'[1]Territory Definitions'!$D$4:$M$4,0))&lt;&gt;1,"NOT IN TERRITORY",IF(COUNTIFS('[1]Blackout Brand Fam Areas (Enc)'!$B$6:$B$998,$A51,'[1]Blackout Brand Fam Areas (Enc)'!$C$6:$C$998,I$4,'[1]Blackout Brand Fam Areas (Enc)'!$D$6:$D$998,"Inactive")&gt;0,"BLOCKED","CAN SELL")))))</f>
        <v>CAN SELL</v>
      </c>
      <c r="J51" s="11" t="str">
        <f>IF($A51="","",_xlfn.LET(_xlpm.t,MATCH($B51,'[1]Territory Definitions'!$B$5:$B$14,0),IF(ISNA(_xlpm.t),"NO TERRITORY",IF(INDEX('[1]Territory Definitions'!$D$5:$M$14,_xlpm.t,MATCH(J$4,'[1]Territory Definitions'!$D$4:$M$4,0))&lt;&gt;1,"NOT IN TERRITORY",IF(COUNTIFS('[1]Blackout Brand Fam Areas (Enc)'!$B$6:$B$998,$A51,'[1]Blackout Brand Fam Areas (Enc)'!$C$6:$C$998,J$4,'[1]Blackout Brand Fam Areas (Enc)'!$D$6:$D$998,"Inactive")&gt;0,"BLOCKED","CAN SELL")))))</f>
        <v>CAN SELL</v>
      </c>
      <c r="K51" s="11" t="str">
        <f>IF($A51="","",_xlfn.LET(_xlpm.t,MATCH($B51,'[1]Territory Definitions'!$B$5:$B$14,0),IF(ISNA(_xlpm.t),"NO TERRITORY",IF(INDEX('[1]Territory Definitions'!$D$5:$M$14,_xlpm.t,MATCH(K$4,'[1]Territory Definitions'!$D$4:$M$4,0))&lt;&gt;1,"NOT IN TERRITORY",IF(COUNTIFS('[1]Blackout Brand Fam Areas (Enc)'!$B$6:$B$998,$A51,'[1]Blackout Brand Fam Areas (Enc)'!$C$6:$C$998,K$4,'[1]Blackout Brand Fam Areas (Enc)'!$D$6:$D$998,"Inactive")&gt;0,"BLOCKED","CAN SELL")))))</f>
        <v>CAN SELL</v>
      </c>
      <c r="L51" s="11" t="str">
        <f>IF($A51="","",_xlfn.LET(_xlpm.t,MATCH($B51,'[1]Territory Definitions'!$B$5:$B$14,0),IF(ISNA(_xlpm.t),"NO TERRITORY",IF(INDEX('[1]Territory Definitions'!$D$5:$M$14,_xlpm.t,MATCH(L$4,'[1]Territory Definitions'!$D$4:$M$4,0))&lt;&gt;1,"NOT IN TERRITORY",IF(COUNTIFS('[1]Blackout Brand Fam Areas (Enc)'!$B$6:$B$998,$A51,'[1]Blackout Brand Fam Areas (Enc)'!$C$6:$C$998,L$4,'[1]Blackout Brand Fam Areas (Enc)'!$D$6:$D$998,"Inactive")&gt;0,"BLOCKED","CAN SELL")))))</f>
        <v>CAN SELL</v>
      </c>
      <c r="M51" s="12">
        <f>IF($A51="","",COUNTIF($C51:$L51,"CAN SELL"))</f>
        <v>10</v>
      </c>
      <c r="N51" s="13" cm="1">
        <f t="array" ref="N51">IF($A51="","",SUMPRODUCT(($C51:$L51="CAN SELL")*$C$3:$L$3))</f>
        <v>2306</v>
      </c>
      <c r="O51" s="14" t="str">
        <f>IF($A51="","",IF(COUNTIF($A$5:$A$299,$A51)&gt;1,"DUPLICATE - two different territories assigned",IF($B51="** NO TERRITORY SET **","No territory on Brand Family Territory (Enc)","")))</f>
        <v/>
      </c>
      <c r="P51" s="18" t="str">
        <f>IF($A51="","",IFERROR(INDEX([1]Products!$H$4:$H$4801,MATCH($A51,[1]Products!$G$4:$G$4801,0)),"(no products)"))</f>
        <v>Primos Imports LLC</v>
      </c>
      <c r="Q51" s="19">
        <f>IF($A51="","",COUNTIFS([1]Products!$G$4:$G$4801,$A51,[1]Products!$L$4:$L$4801,"Yes"))</f>
        <v>1</v>
      </c>
      <c r="R51" s="19">
        <f>IF($A51="","",COUNTIFS([1]Products!$G$4:$G$4801,$A51,[1]Products!$L$4:$L$4801,"Yes",[1]Products!$K$4:$K$4801,"Draft"))</f>
        <v>0</v>
      </c>
      <c r="S51" s="19">
        <f>IF($A51="","",COUNTIFS([1]Products!$G$4:$G$4801,$A51,[1]Products!$L$4:$L$4801,"Yes",[1]Products!$K$4:$K$4801,"Package"))</f>
        <v>1</v>
      </c>
      <c r="T51" s="20" t="str" cm="1">
        <f t="array" ref="T51">IF($A51="","",_xlfn.IFS($Q51=0,"NO ACTIVE SKUs",AND($R51&gt;0,$S51&gt;0),"Draft &amp; Package",$R51&gt;0,"Draft only",TRUE,"Package only"))</f>
        <v>Package only</v>
      </c>
    </row>
    <row r="52" spans="1:20" x14ac:dyDescent="0.2">
      <c r="A52" s="9" t="str">
        <v>Chateau Diana</v>
      </c>
      <c r="B52" s="10" t="str">
        <f>IF($A52="","",_xlfn.XLOOKUP($A52,'[1]Brand Family Territory (Enc)'!$A:$A,'[1]Brand Family Territory (Enc)'!$B:$B,"** NO TERRITORY SET **"))</f>
        <v>All Counties</v>
      </c>
      <c r="C52" s="11" t="str">
        <f>IF($A52="","",_xlfn.LET(_xlpm.t,MATCH($B52,'[1]Territory Definitions'!$B$5:$B$14,0),IF(ISNA(_xlpm.t),"NO TERRITORY",IF(INDEX('[1]Territory Definitions'!$D$5:$M$14,_xlpm.t,MATCH(C$4,'[1]Territory Definitions'!$D$4:$M$4,0))&lt;&gt;1,"NOT IN TERRITORY",IF(COUNTIFS('[1]Blackout Brand Fam Areas (Enc)'!$B$6:$B$998,$A52,'[1]Blackout Brand Fam Areas (Enc)'!$C$6:$C$998,C$4,'[1]Blackout Brand Fam Areas (Enc)'!$D$6:$D$998,"Inactive")&gt;0,"BLOCKED","CAN SELL")))))</f>
        <v>CAN SELL</v>
      </c>
      <c r="D52" s="11" t="str">
        <f>IF($A52="","",_xlfn.LET(_xlpm.t,MATCH($B52,'[1]Territory Definitions'!$B$5:$B$14,0),IF(ISNA(_xlpm.t),"NO TERRITORY",IF(INDEX('[1]Territory Definitions'!$D$5:$M$14,_xlpm.t,MATCH(D$4,'[1]Territory Definitions'!$D$4:$M$4,0))&lt;&gt;1,"NOT IN TERRITORY",IF(COUNTIFS('[1]Blackout Brand Fam Areas (Enc)'!$B$6:$B$998,$A52,'[1]Blackout Brand Fam Areas (Enc)'!$C$6:$C$998,D$4,'[1]Blackout Brand Fam Areas (Enc)'!$D$6:$D$998,"Inactive")&gt;0,"BLOCKED","CAN SELL")))))</f>
        <v>CAN SELL</v>
      </c>
      <c r="E52" s="11" t="str">
        <f>IF($A52="","",_xlfn.LET(_xlpm.t,MATCH($B52,'[1]Territory Definitions'!$B$5:$B$14,0),IF(ISNA(_xlpm.t),"NO TERRITORY",IF(INDEX('[1]Territory Definitions'!$D$5:$M$14,_xlpm.t,MATCH(E$4,'[1]Territory Definitions'!$D$4:$M$4,0))&lt;&gt;1,"NOT IN TERRITORY",IF(COUNTIFS('[1]Blackout Brand Fam Areas (Enc)'!$B$6:$B$998,$A52,'[1]Blackout Brand Fam Areas (Enc)'!$C$6:$C$998,E$4,'[1]Blackout Brand Fam Areas (Enc)'!$D$6:$D$998,"Inactive")&gt;0,"BLOCKED","CAN SELL")))))</f>
        <v>CAN SELL</v>
      </c>
      <c r="F52" s="11" t="str">
        <f>IF($A52="","",_xlfn.LET(_xlpm.t,MATCH($B52,'[1]Territory Definitions'!$B$5:$B$14,0),IF(ISNA(_xlpm.t),"NO TERRITORY",IF(INDEX('[1]Territory Definitions'!$D$5:$M$14,_xlpm.t,MATCH(F$4,'[1]Territory Definitions'!$D$4:$M$4,0))&lt;&gt;1,"NOT IN TERRITORY",IF(COUNTIFS('[1]Blackout Brand Fam Areas (Enc)'!$B$6:$B$998,$A52,'[1]Blackout Brand Fam Areas (Enc)'!$C$6:$C$998,F$4,'[1]Blackout Brand Fam Areas (Enc)'!$D$6:$D$998,"Inactive")&gt;0,"BLOCKED","CAN SELL")))))</f>
        <v>CAN SELL</v>
      </c>
      <c r="G52" s="11" t="str">
        <f>IF($A52="","",_xlfn.LET(_xlpm.t,MATCH($B52,'[1]Territory Definitions'!$B$5:$B$14,0),IF(ISNA(_xlpm.t),"NO TERRITORY",IF(INDEX('[1]Territory Definitions'!$D$5:$M$14,_xlpm.t,MATCH(G$4,'[1]Territory Definitions'!$D$4:$M$4,0))&lt;&gt;1,"NOT IN TERRITORY",IF(COUNTIFS('[1]Blackout Brand Fam Areas (Enc)'!$B$6:$B$998,$A52,'[1]Blackout Brand Fam Areas (Enc)'!$C$6:$C$998,G$4,'[1]Blackout Brand Fam Areas (Enc)'!$D$6:$D$998,"Inactive")&gt;0,"BLOCKED","CAN SELL")))))</f>
        <v>CAN SELL</v>
      </c>
      <c r="H52" s="11" t="str">
        <f>IF($A52="","",_xlfn.LET(_xlpm.t,MATCH($B52,'[1]Territory Definitions'!$B$5:$B$14,0),IF(ISNA(_xlpm.t),"NO TERRITORY",IF(INDEX('[1]Territory Definitions'!$D$5:$M$14,_xlpm.t,MATCH(H$4,'[1]Territory Definitions'!$D$4:$M$4,0))&lt;&gt;1,"NOT IN TERRITORY",IF(COUNTIFS('[1]Blackout Brand Fam Areas (Enc)'!$B$6:$B$998,$A52,'[1]Blackout Brand Fam Areas (Enc)'!$C$6:$C$998,H$4,'[1]Blackout Brand Fam Areas (Enc)'!$D$6:$D$998,"Inactive")&gt;0,"BLOCKED","CAN SELL")))))</f>
        <v>CAN SELL</v>
      </c>
      <c r="I52" s="11" t="str">
        <f>IF($A52="","",_xlfn.LET(_xlpm.t,MATCH($B52,'[1]Territory Definitions'!$B$5:$B$14,0),IF(ISNA(_xlpm.t),"NO TERRITORY",IF(INDEX('[1]Territory Definitions'!$D$5:$M$14,_xlpm.t,MATCH(I$4,'[1]Territory Definitions'!$D$4:$M$4,0))&lt;&gt;1,"NOT IN TERRITORY",IF(COUNTIFS('[1]Blackout Brand Fam Areas (Enc)'!$B$6:$B$998,$A52,'[1]Blackout Brand Fam Areas (Enc)'!$C$6:$C$998,I$4,'[1]Blackout Brand Fam Areas (Enc)'!$D$6:$D$998,"Inactive")&gt;0,"BLOCKED","CAN SELL")))))</f>
        <v>CAN SELL</v>
      </c>
      <c r="J52" s="11" t="str">
        <f>IF($A52="","",_xlfn.LET(_xlpm.t,MATCH($B52,'[1]Territory Definitions'!$B$5:$B$14,0),IF(ISNA(_xlpm.t),"NO TERRITORY",IF(INDEX('[1]Territory Definitions'!$D$5:$M$14,_xlpm.t,MATCH(J$4,'[1]Territory Definitions'!$D$4:$M$4,0))&lt;&gt;1,"NOT IN TERRITORY",IF(COUNTIFS('[1]Blackout Brand Fam Areas (Enc)'!$B$6:$B$998,$A52,'[1]Blackout Brand Fam Areas (Enc)'!$C$6:$C$998,J$4,'[1]Blackout Brand Fam Areas (Enc)'!$D$6:$D$998,"Inactive")&gt;0,"BLOCKED","CAN SELL")))))</f>
        <v>CAN SELL</v>
      </c>
      <c r="K52" s="11" t="str">
        <f>IF($A52="","",_xlfn.LET(_xlpm.t,MATCH($B52,'[1]Territory Definitions'!$B$5:$B$14,0),IF(ISNA(_xlpm.t),"NO TERRITORY",IF(INDEX('[1]Territory Definitions'!$D$5:$M$14,_xlpm.t,MATCH(K$4,'[1]Territory Definitions'!$D$4:$M$4,0))&lt;&gt;1,"NOT IN TERRITORY",IF(COUNTIFS('[1]Blackout Brand Fam Areas (Enc)'!$B$6:$B$998,$A52,'[1]Blackout Brand Fam Areas (Enc)'!$C$6:$C$998,K$4,'[1]Blackout Brand Fam Areas (Enc)'!$D$6:$D$998,"Inactive")&gt;0,"BLOCKED","CAN SELL")))))</f>
        <v>CAN SELL</v>
      </c>
      <c r="L52" s="11" t="str">
        <f>IF($A52="","",_xlfn.LET(_xlpm.t,MATCH($B52,'[1]Territory Definitions'!$B$5:$B$14,0),IF(ISNA(_xlpm.t),"NO TERRITORY",IF(INDEX('[1]Territory Definitions'!$D$5:$M$14,_xlpm.t,MATCH(L$4,'[1]Territory Definitions'!$D$4:$M$4,0))&lt;&gt;1,"NOT IN TERRITORY",IF(COUNTIFS('[1]Blackout Brand Fam Areas (Enc)'!$B$6:$B$998,$A52,'[1]Blackout Brand Fam Areas (Enc)'!$C$6:$C$998,L$4,'[1]Blackout Brand Fam Areas (Enc)'!$D$6:$D$998,"Inactive")&gt;0,"BLOCKED","CAN SELL")))))</f>
        <v>CAN SELL</v>
      </c>
      <c r="M52" s="12">
        <f>IF($A52="","",COUNTIF($C52:$L52,"CAN SELL"))</f>
        <v>10</v>
      </c>
      <c r="N52" s="13" cm="1">
        <f t="array" ref="N52">IF($A52="","",SUMPRODUCT(($C52:$L52="CAN SELL")*$C$3:$L$3))</f>
        <v>2306</v>
      </c>
      <c r="O52" s="14" t="str">
        <f>IF($A52="","",IF(COUNTIF($A$5:$A$299,$A52)&gt;1,"DUPLICATE - two different territories assigned",IF($B52="** NO TERRITORY SET **","No territory on Brand Family Territory (Enc)","")))</f>
        <v/>
      </c>
      <c r="P52" s="18" t="str">
        <f>IF($A52="","",IFERROR(INDEX([1]Products!$H$4:$H$4801,MATCH($A52,[1]Products!$G$4:$G$4801,0)),"(no products)"))</f>
        <v>Chateau Diana Winery</v>
      </c>
      <c r="Q52" s="19">
        <f>IF($A52="","",COUNTIFS([1]Products!$G$4:$G$4801,$A52,[1]Products!$L$4:$L$4801,"Yes"))</f>
        <v>15</v>
      </c>
      <c r="R52" s="19">
        <f>IF($A52="","",COUNTIFS([1]Products!$G$4:$G$4801,$A52,[1]Products!$L$4:$L$4801,"Yes",[1]Products!$K$4:$K$4801,"Draft"))</f>
        <v>0</v>
      </c>
      <c r="S52" s="19">
        <f>IF($A52="","",COUNTIFS([1]Products!$G$4:$G$4801,$A52,[1]Products!$L$4:$L$4801,"Yes",[1]Products!$K$4:$K$4801,"Package"))</f>
        <v>0</v>
      </c>
      <c r="T52" s="20" t="str" cm="1">
        <f t="array" ref="T52">IF($A52="","",_xlfn.IFS($Q52=0,"NO ACTIVE SKUs",AND($R52&gt;0,$S52&gt;0),"Draft &amp; Package",$R52&gt;0,"Draft only",TRUE,"Package only"))</f>
        <v>Package only</v>
      </c>
    </row>
    <row r="53" spans="1:20" x14ac:dyDescent="0.2">
      <c r="A53" s="9" t="str">
        <v>Citizen Cider</v>
      </c>
      <c r="B53" s="10" t="str">
        <f>IF($A53="","",_xlfn.XLOOKUP($A53,'[1]Brand Family Territory (Enc)'!$A:$A,'[1]Brand Family Territory (Enc)'!$B:$B,"** NO TERRITORY SET **"))</f>
        <v>Bergen/Passaic/Hudson/Essex</v>
      </c>
      <c r="C53" s="11" t="str">
        <f>IF($A53="","",_xlfn.LET(_xlpm.t,MATCH($B53,'[1]Territory Definitions'!$B$5:$B$14,0),IF(ISNA(_xlpm.t),"NO TERRITORY",IF(INDEX('[1]Territory Definitions'!$D$5:$M$14,_xlpm.t,MATCH(C$4,'[1]Territory Definitions'!$D$4:$M$4,0))&lt;&gt;1,"NOT IN TERRITORY",IF(COUNTIFS('[1]Blackout Brand Fam Areas (Enc)'!$B$6:$B$998,$A53,'[1]Blackout Brand Fam Areas (Enc)'!$C$6:$C$998,C$4,'[1]Blackout Brand Fam Areas (Enc)'!$D$6:$D$998,"Inactive")&gt;0,"BLOCKED","CAN SELL")))))</f>
        <v>CAN SELL</v>
      </c>
      <c r="D53" s="11" t="str">
        <f>IF($A53="","",_xlfn.LET(_xlpm.t,MATCH($B53,'[1]Territory Definitions'!$B$5:$B$14,0),IF(ISNA(_xlpm.t),"NO TERRITORY",IF(INDEX('[1]Territory Definitions'!$D$5:$M$14,_xlpm.t,MATCH(D$4,'[1]Territory Definitions'!$D$4:$M$4,0))&lt;&gt;1,"NOT IN TERRITORY",IF(COUNTIFS('[1]Blackout Brand Fam Areas (Enc)'!$B$6:$B$998,$A53,'[1]Blackout Brand Fam Areas (Enc)'!$C$6:$C$998,D$4,'[1]Blackout Brand Fam Areas (Enc)'!$D$6:$D$998,"Inactive")&gt;0,"BLOCKED","CAN SELL")))))</f>
        <v>CAN SELL</v>
      </c>
      <c r="E53" s="11" t="str">
        <f>IF($A53="","",_xlfn.LET(_xlpm.t,MATCH($B53,'[1]Territory Definitions'!$B$5:$B$14,0),IF(ISNA(_xlpm.t),"NO TERRITORY",IF(INDEX('[1]Territory Definitions'!$D$5:$M$14,_xlpm.t,MATCH(E$4,'[1]Territory Definitions'!$D$4:$M$4,0))&lt;&gt;1,"NOT IN TERRITORY",IF(COUNTIFS('[1]Blackout Brand Fam Areas (Enc)'!$B$6:$B$998,$A53,'[1]Blackout Brand Fam Areas (Enc)'!$C$6:$C$998,E$4,'[1]Blackout Brand Fam Areas (Enc)'!$D$6:$D$998,"Inactive")&gt;0,"BLOCKED","CAN SELL")))))</f>
        <v>CAN SELL</v>
      </c>
      <c r="F53" s="11" t="str">
        <f>IF($A53="","",_xlfn.LET(_xlpm.t,MATCH($B53,'[1]Territory Definitions'!$B$5:$B$14,0),IF(ISNA(_xlpm.t),"NO TERRITORY",IF(INDEX('[1]Territory Definitions'!$D$5:$M$14,_xlpm.t,MATCH(F$4,'[1]Territory Definitions'!$D$4:$M$4,0))&lt;&gt;1,"NOT IN TERRITORY",IF(COUNTIFS('[1]Blackout Brand Fam Areas (Enc)'!$B$6:$B$998,$A53,'[1]Blackout Brand Fam Areas (Enc)'!$C$6:$C$998,F$4,'[1]Blackout Brand Fam Areas (Enc)'!$D$6:$D$998,"Inactive")&gt;0,"BLOCKED","CAN SELL")))))</f>
        <v>CAN SELL</v>
      </c>
      <c r="G53" s="11" t="str">
        <f>IF($A53="","",_xlfn.LET(_xlpm.t,MATCH($B53,'[1]Territory Definitions'!$B$5:$B$14,0),IF(ISNA(_xlpm.t),"NO TERRITORY",IF(INDEX('[1]Territory Definitions'!$D$5:$M$14,_xlpm.t,MATCH(G$4,'[1]Territory Definitions'!$D$4:$M$4,0))&lt;&gt;1,"NOT IN TERRITORY",IF(COUNTIFS('[1]Blackout Brand Fam Areas (Enc)'!$B$6:$B$998,$A53,'[1]Blackout Brand Fam Areas (Enc)'!$C$6:$C$998,G$4,'[1]Blackout Brand Fam Areas (Enc)'!$D$6:$D$998,"Inactive")&gt;0,"BLOCKED","CAN SELL")))))</f>
        <v>CAN SELL</v>
      </c>
      <c r="H53" s="11" t="str">
        <f>IF($A53="","",_xlfn.LET(_xlpm.t,MATCH($B53,'[1]Territory Definitions'!$B$5:$B$14,0),IF(ISNA(_xlpm.t),"NO TERRITORY",IF(INDEX('[1]Territory Definitions'!$D$5:$M$14,_xlpm.t,MATCH(H$4,'[1]Territory Definitions'!$D$4:$M$4,0))&lt;&gt;1,"NOT IN TERRITORY",IF(COUNTIFS('[1]Blackout Brand Fam Areas (Enc)'!$B$6:$B$998,$A53,'[1]Blackout Brand Fam Areas (Enc)'!$C$6:$C$998,H$4,'[1]Blackout Brand Fam Areas (Enc)'!$D$6:$D$998,"Inactive")&gt;0,"BLOCKED","CAN SELL")))))</f>
        <v>NOT IN TERRITORY</v>
      </c>
      <c r="I53" s="11" t="str">
        <f>IF($A53="","",_xlfn.LET(_xlpm.t,MATCH($B53,'[1]Territory Definitions'!$B$5:$B$14,0),IF(ISNA(_xlpm.t),"NO TERRITORY",IF(INDEX('[1]Territory Definitions'!$D$5:$M$14,_xlpm.t,MATCH(I$4,'[1]Territory Definitions'!$D$4:$M$4,0))&lt;&gt;1,"NOT IN TERRITORY",IF(COUNTIFS('[1]Blackout Brand Fam Areas (Enc)'!$B$6:$B$998,$A53,'[1]Blackout Brand Fam Areas (Enc)'!$C$6:$C$998,I$4,'[1]Blackout Brand Fam Areas (Enc)'!$D$6:$D$998,"Inactive")&gt;0,"BLOCKED","CAN SELL")))))</f>
        <v>NOT IN TERRITORY</v>
      </c>
      <c r="J53" s="11" t="str">
        <f>IF($A53="","",_xlfn.LET(_xlpm.t,MATCH($B53,'[1]Territory Definitions'!$B$5:$B$14,0),IF(ISNA(_xlpm.t),"NO TERRITORY",IF(INDEX('[1]Territory Definitions'!$D$5:$M$14,_xlpm.t,MATCH(J$4,'[1]Territory Definitions'!$D$4:$M$4,0))&lt;&gt;1,"NOT IN TERRITORY",IF(COUNTIFS('[1]Blackout Brand Fam Areas (Enc)'!$B$6:$B$998,$A53,'[1]Blackout Brand Fam Areas (Enc)'!$C$6:$C$998,J$4,'[1]Blackout Brand Fam Areas (Enc)'!$D$6:$D$998,"Inactive")&gt;0,"BLOCKED","CAN SELL")))))</f>
        <v>NOT IN TERRITORY</v>
      </c>
      <c r="K53" s="11" t="str">
        <f>IF($A53="","",_xlfn.LET(_xlpm.t,MATCH($B53,'[1]Territory Definitions'!$B$5:$B$14,0),IF(ISNA(_xlpm.t),"NO TERRITORY",IF(INDEX('[1]Territory Definitions'!$D$5:$M$14,_xlpm.t,MATCH(K$4,'[1]Territory Definitions'!$D$4:$M$4,0))&lt;&gt;1,"NOT IN TERRITORY",IF(COUNTIFS('[1]Blackout Brand Fam Areas (Enc)'!$B$6:$B$998,$A53,'[1]Blackout Brand Fam Areas (Enc)'!$C$6:$C$998,K$4,'[1]Blackout Brand Fam Areas (Enc)'!$D$6:$D$998,"Inactive")&gt;0,"BLOCKED","CAN SELL")))))</f>
        <v>NOT IN TERRITORY</v>
      </c>
      <c r="L53" s="11" t="str">
        <f>IF($A53="","",_xlfn.LET(_xlpm.t,MATCH($B53,'[1]Territory Definitions'!$B$5:$B$14,0),IF(ISNA(_xlpm.t),"NO TERRITORY",IF(INDEX('[1]Territory Definitions'!$D$5:$M$14,_xlpm.t,MATCH(L$4,'[1]Territory Definitions'!$D$4:$M$4,0))&lt;&gt;1,"NOT IN TERRITORY",IF(COUNTIFS('[1]Blackout Brand Fam Areas (Enc)'!$B$6:$B$998,$A53,'[1]Blackout Brand Fam Areas (Enc)'!$C$6:$C$998,L$4,'[1]Blackout Brand Fam Areas (Enc)'!$D$6:$D$998,"Inactive")&gt;0,"BLOCKED","CAN SELL")))))</f>
        <v>NOT IN TERRITORY</v>
      </c>
      <c r="M53" s="12">
        <f>IF($A53="","",COUNTIF($C53:$L53,"CAN SELL"))</f>
        <v>5</v>
      </c>
      <c r="N53" s="13" cm="1">
        <f t="array" ref="N53">IF($A53="","",SUMPRODUCT(($C53:$L53="CAN SELL")*$C$3:$L$3))</f>
        <v>1859</v>
      </c>
      <c r="O53" s="14" t="str">
        <f>IF($A53="","",IF(COUNTIF($A$5:$A$299,$A53)&gt;1,"DUPLICATE - two different territories assigned",IF($B53="** NO TERRITORY SET **","No territory on Brand Family Territory (Enc)","")))</f>
        <v/>
      </c>
      <c r="P53" s="18" t="str">
        <f>IF($A53="","",IFERROR(INDEX([1]Products!$H$4:$H$4801,MATCH($A53,[1]Products!$G$4:$G$4801,0)),"(no products)"))</f>
        <v>Citizen Cider</v>
      </c>
      <c r="Q53" s="19">
        <f>IF($A53="","",COUNTIFS([1]Products!$G$4:$G$4801,$A53,[1]Products!$L$4:$L$4801,"Yes"))</f>
        <v>1</v>
      </c>
      <c r="R53" s="19">
        <f>IF($A53="","",COUNTIFS([1]Products!$G$4:$G$4801,$A53,[1]Products!$L$4:$L$4801,"Yes",[1]Products!$K$4:$K$4801,"Draft"))</f>
        <v>0</v>
      </c>
      <c r="S53" s="19">
        <f>IF($A53="","",COUNTIFS([1]Products!$G$4:$G$4801,$A53,[1]Products!$L$4:$L$4801,"Yes",[1]Products!$K$4:$K$4801,"Package"))</f>
        <v>1</v>
      </c>
      <c r="T53" s="20" t="str" cm="1">
        <f t="array" ref="T53">IF($A53="","",_xlfn.IFS($Q53=0,"NO ACTIVE SKUs",AND($R53&gt;0,$S53&gt;0),"Draft &amp; Package",$R53&gt;0,"Draft only",TRUE,"Package only"))</f>
        <v>Package only</v>
      </c>
    </row>
    <row r="54" spans="1:20" x14ac:dyDescent="0.2">
      <c r="A54" s="9" t="str">
        <v>Clausthaler</v>
      </c>
      <c r="B54" s="10" t="str">
        <f>IF($A54="","",_xlfn.XLOOKUP($A54,'[1]Brand Family Territory (Enc)'!$A:$A,'[1]Brand Family Territory (Enc)'!$B:$B,"** NO TERRITORY SET **"))</f>
        <v>All Counties</v>
      </c>
      <c r="C54" s="11" t="str">
        <f>IF($A54="","",_xlfn.LET(_xlpm.t,MATCH($B54,'[1]Territory Definitions'!$B$5:$B$14,0),IF(ISNA(_xlpm.t),"NO TERRITORY",IF(INDEX('[1]Territory Definitions'!$D$5:$M$14,_xlpm.t,MATCH(C$4,'[1]Territory Definitions'!$D$4:$M$4,0))&lt;&gt;1,"NOT IN TERRITORY",IF(COUNTIFS('[1]Blackout Brand Fam Areas (Enc)'!$B$6:$B$998,$A54,'[1]Blackout Brand Fam Areas (Enc)'!$C$6:$C$998,C$4,'[1]Blackout Brand Fam Areas (Enc)'!$D$6:$D$998,"Inactive")&gt;0,"BLOCKED","CAN SELL")))))</f>
        <v>CAN SELL</v>
      </c>
      <c r="D54" s="11" t="str">
        <f>IF($A54="","",_xlfn.LET(_xlpm.t,MATCH($B54,'[1]Territory Definitions'!$B$5:$B$14,0),IF(ISNA(_xlpm.t),"NO TERRITORY",IF(INDEX('[1]Territory Definitions'!$D$5:$M$14,_xlpm.t,MATCH(D$4,'[1]Territory Definitions'!$D$4:$M$4,0))&lt;&gt;1,"NOT IN TERRITORY",IF(COUNTIFS('[1]Blackout Brand Fam Areas (Enc)'!$B$6:$B$998,$A54,'[1]Blackout Brand Fam Areas (Enc)'!$C$6:$C$998,D$4,'[1]Blackout Brand Fam Areas (Enc)'!$D$6:$D$998,"Inactive")&gt;0,"BLOCKED","CAN SELL")))))</f>
        <v>CAN SELL</v>
      </c>
      <c r="E54" s="11" t="str">
        <f>IF($A54="","",_xlfn.LET(_xlpm.t,MATCH($B54,'[1]Territory Definitions'!$B$5:$B$14,0),IF(ISNA(_xlpm.t),"NO TERRITORY",IF(INDEX('[1]Territory Definitions'!$D$5:$M$14,_xlpm.t,MATCH(E$4,'[1]Territory Definitions'!$D$4:$M$4,0))&lt;&gt;1,"NOT IN TERRITORY",IF(COUNTIFS('[1]Blackout Brand Fam Areas (Enc)'!$B$6:$B$998,$A54,'[1]Blackout Brand Fam Areas (Enc)'!$C$6:$C$998,E$4,'[1]Blackout Brand Fam Areas (Enc)'!$D$6:$D$998,"Inactive")&gt;0,"BLOCKED","CAN SELL")))))</f>
        <v>CAN SELL</v>
      </c>
      <c r="F54" s="11" t="str">
        <f>IF($A54="","",_xlfn.LET(_xlpm.t,MATCH($B54,'[1]Territory Definitions'!$B$5:$B$14,0),IF(ISNA(_xlpm.t),"NO TERRITORY",IF(INDEX('[1]Territory Definitions'!$D$5:$M$14,_xlpm.t,MATCH(F$4,'[1]Territory Definitions'!$D$4:$M$4,0))&lt;&gt;1,"NOT IN TERRITORY",IF(COUNTIFS('[1]Blackout Brand Fam Areas (Enc)'!$B$6:$B$998,$A54,'[1]Blackout Brand Fam Areas (Enc)'!$C$6:$C$998,F$4,'[1]Blackout Brand Fam Areas (Enc)'!$D$6:$D$998,"Inactive")&gt;0,"BLOCKED","CAN SELL")))))</f>
        <v>CAN SELL</v>
      </c>
      <c r="G54" s="11" t="str">
        <f>IF($A54="","",_xlfn.LET(_xlpm.t,MATCH($B54,'[1]Territory Definitions'!$B$5:$B$14,0),IF(ISNA(_xlpm.t),"NO TERRITORY",IF(INDEX('[1]Territory Definitions'!$D$5:$M$14,_xlpm.t,MATCH(G$4,'[1]Territory Definitions'!$D$4:$M$4,0))&lt;&gt;1,"NOT IN TERRITORY",IF(COUNTIFS('[1]Blackout Brand Fam Areas (Enc)'!$B$6:$B$998,$A54,'[1]Blackout Brand Fam Areas (Enc)'!$C$6:$C$998,G$4,'[1]Blackout Brand Fam Areas (Enc)'!$D$6:$D$998,"Inactive")&gt;0,"BLOCKED","CAN SELL")))))</f>
        <v>CAN SELL</v>
      </c>
      <c r="H54" s="11" t="str">
        <f>IF($A54="","",_xlfn.LET(_xlpm.t,MATCH($B54,'[1]Territory Definitions'!$B$5:$B$14,0),IF(ISNA(_xlpm.t),"NO TERRITORY",IF(INDEX('[1]Territory Definitions'!$D$5:$M$14,_xlpm.t,MATCH(H$4,'[1]Territory Definitions'!$D$4:$M$4,0))&lt;&gt;1,"NOT IN TERRITORY",IF(COUNTIFS('[1]Blackout Brand Fam Areas (Enc)'!$B$6:$B$998,$A54,'[1]Blackout Brand Fam Areas (Enc)'!$C$6:$C$998,H$4,'[1]Blackout Brand Fam Areas (Enc)'!$D$6:$D$998,"Inactive")&gt;0,"BLOCKED","CAN SELL")))))</f>
        <v>CAN SELL</v>
      </c>
      <c r="I54" s="11" t="str">
        <f>IF($A54="","",_xlfn.LET(_xlpm.t,MATCH($B54,'[1]Territory Definitions'!$B$5:$B$14,0),IF(ISNA(_xlpm.t),"NO TERRITORY",IF(INDEX('[1]Territory Definitions'!$D$5:$M$14,_xlpm.t,MATCH(I$4,'[1]Territory Definitions'!$D$4:$M$4,0))&lt;&gt;1,"NOT IN TERRITORY",IF(COUNTIFS('[1]Blackout Brand Fam Areas (Enc)'!$B$6:$B$998,$A54,'[1]Blackout Brand Fam Areas (Enc)'!$C$6:$C$998,I$4,'[1]Blackout Brand Fam Areas (Enc)'!$D$6:$D$998,"Inactive")&gt;0,"BLOCKED","CAN SELL")))))</f>
        <v>CAN SELL</v>
      </c>
      <c r="J54" s="11" t="str">
        <f>IF($A54="","",_xlfn.LET(_xlpm.t,MATCH($B54,'[1]Territory Definitions'!$B$5:$B$14,0),IF(ISNA(_xlpm.t),"NO TERRITORY",IF(INDEX('[1]Territory Definitions'!$D$5:$M$14,_xlpm.t,MATCH(J$4,'[1]Territory Definitions'!$D$4:$M$4,0))&lt;&gt;1,"NOT IN TERRITORY",IF(COUNTIFS('[1]Blackout Brand Fam Areas (Enc)'!$B$6:$B$998,$A54,'[1]Blackout Brand Fam Areas (Enc)'!$C$6:$C$998,J$4,'[1]Blackout Brand Fam Areas (Enc)'!$D$6:$D$998,"Inactive")&gt;0,"BLOCKED","CAN SELL")))))</f>
        <v>CAN SELL</v>
      </c>
      <c r="K54" s="11" t="str">
        <f>IF($A54="","",_xlfn.LET(_xlpm.t,MATCH($B54,'[1]Territory Definitions'!$B$5:$B$14,0),IF(ISNA(_xlpm.t),"NO TERRITORY",IF(INDEX('[1]Territory Definitions'!$D$5:$M$14,_xlpm.t,MATCH(K$4,'[1]Territory Definitions'!$D$4:$M$4,0))&lt;&gt;1,"NOT IN TERRITORY",IF(COUNTIFS('[1]Blackout Brand Fam Areas (Enc)'!$B$6:$B$998,$A54,'[1]Blackout Brand Fam Areas (Enc)'!$C$6:$C$998,K$4,'[1]Blackout Brand Fam Areas (Enc)'!$D$6:$D$998,"Inactive")&gt;0,"BLOCKED","CAN SELL")))))</f>
        <v>CAN SELL</v>
      </c>
      <c r="L54" s="11" t="str">
        <f>IF($A54="","",_xlfn.LET(_xlpm.t,MATCH($B54,'[1]Territory Definitions'!$B$5:$B$14,0),IF(ISNA(_xlpm.t),"NO TERRITORY",IF(INDEX('[1]Territory Definitions'!$D$5:$M$14,_xlpm.t,MATCH(L$4,'[1]Territory Definitions'!$D$4:$M$4,0))&lt;&gt;1,"NOT IN TERRITORY",IF(COUNTIFS('[1]Blackout Brand Fam Areas (Enc)'!$B$6:$B$998,$A54,'[1]Blackout Brand Fam Areas (Enc)'!$C$6:$C$998,L$4,'[1]Blackout Brand Fam Areas (Enc)'!$D$6:$D$998,"Inactive")&gt;0,"BLOCKED","CAN SELL")))))</f>
        <v>CAN SELL</v>
      </c>
      <c r="M54" s="12">
        <f>IF($A54="","",COUNTIF($C54:$L54,"CAN SELL"))</f>
        <v>10</v>
      </c>
      <c r="N54" s="13" cm="1">
        <f t="array" ref="N54">IF($A54="","",SUMPRODUCT(($C54:$L54="CAN SELL")*$C$3:$L$3))</f>
        <v>2306</v>
      </c>
      <c r="O54" s="14" t="str">
        <f>IF($A54="","",IF(COUNTIF($A$5:$A$299,$A54)&gt;1,"DUPLICATE - two different territories assigned",IF($B54="** NO TERRITORY SET **","No territory on Brand Family Territory (Enc)","")))</f>
        <v/>
      </c>
      <c r="P54" s="18" t="str">
        <f>IF($A54="","",IFERROR(INDEX([1]Products!$H$4:$H$4801,MATCH($A54,[1]Products!$G$4:$G$4801,0)),"(no products)"))</f>
        <v>Radeberger USA</v>
      </c>
      <c r="Q54" s="19">
        <f>IF($A54="","",COUNTIFS([1]Products!$G$4:$G$4801,$A54,[1]Products!$L$4:$L$4801,"Yes"))</f>
        <v>4</v>
      </c>
      <c r="R54" s="19">
        <f>IF($A54="","",COUNTIFS([1]Products!$G$4:$G$4801,$A54,[1]Products!$L$4:$L$4801,"Yes",[1]Products!$K$4:$K$4801,"Draft"))</f>
        <v>0</v>
      </c>
      <c r="S54" s="19">
        <f>IF($A54="","",COUNTIFS([1]Products!$G$4:$G$4801,$A54,[1]Products!$L$4:$L$4801,"Yes",[1]Products!$K$4:$K$4801,"Package"))</f>
        <v>4</v>
      </c>
      <c r="T54" s="20" t="str" cm="1">
        <f t="array" ref="T54">IF($A54="","",_xlfn.IFS($Q54=0,"NO ACTIVE SKUs",AND($R54&gt;0,$S54&gt;0),"Draft &amp; Package",$R54&gt;0,"Draft only",TRUE,"Package only"))</f>
        <v>Package only</v>
      </c>
    </row>
    <row r="55" spans="1:20" x14ac:dyDescent="0.2">
      <c r="A55" s="9" t="str">
        <v>Coastal Cocktails</v>
      </c>
      <c r="B55" s="10" t="str">
        <f>IF($A55="","",_xlfn.XLOOKUP($A55,'[1]Brand Family Territory (Enc)'!$A:$A,'[1]Brand Family Territory (Enc)'!$B:$B,"** NO TERRITORY SET **"))</f>
        <v>All Counties</v>
      </c>
      <c r="C55" s="11" t="str">
        <f>IF($A55="","",_xlfn.LET(_xlpm.t,MATCH($B55,'[1]Territory Definitions'!$B$5:$B$14,0),IF(ISNA(_xlpm.t),"NO TERRITORY",IF(INDEX('[1]Territory Definitions'!$D$5:$M$14,_xlpm.t,MATCH(C$4,'[1]Territory Definitions'!$D$4:$M$4,0))&lt;&gt;1,"NOT IN TERRITORY",IF(COUNTIFS('[1]Blackout Brand Fam Areas (Enc)'!$B$6:$B$998,$A55,'[1]Blackout Brand Fam Areas (Enc)'!$C$6:$C$998,C$4,'[1]Blackout Brand Fam Areas (Enc)'!$D$6:$D$998,"Inactive")&gt;0,"BLOCKED","CAN SELL")))))</f>
        <v>CAN SELL</v>
      </c>
      <c r="D55" s="11" t="str">
        <f>IF($A55="","",_xlfn.LET(_xlpm.t,MATCH($B55,'[1]Territory Definitions'!$B$5:$B$14,0),IF(ISNA(_xlpm.t),"NO TERRITORY",IF(INDEX('[1]Territory Definitions'!$D$5:$M$14,_xlpm.t,MATCH(D$4,'[1]Territory Definitions'!$D$4:$M$4,0))&lt;&gt;1,"NOT IN TERRITORY",IF(COUNTIFS('[1]Blackout Brand Fam Areas (Enc)'!$B$6:$B$998,$A55,'[1]Blackout Brand Fam Areas (Enc)'!$C$6:$C$998,D$4,'[1]Blackout Brand Fam Areas (Enc)'!$D$6:$D$998,"Inactive")&gt;0,"BLOCKED","CAN SELL")))))</f>
        <v>CAN SELL</v>
      </c>
      <c r="E55" s="11" t="str">
        <f>IF($A55="","",_xlfn.LET(_xlpm.t,MATCH($B55,'[1]Territory Definitions'!$B$5:$B$14,0),IF(ISNA(_xlpm.t),"NO TERRITORY",IF(INDEX('[1]Territory Definitions'!$D$5:$M$14,_xlpm.t,MATCH(E$4,'[1]Territory Definitions'!$D$4:$M$4,0))&lt;&gt;1,"NOT IN TERRITORY",IF(COUNTIFS('[1]Blackout Brand Fam Areas (Enc)'!$B$6:$B$998,$A55,'[1]Blackout Brand Fam Areas (Enc)'!$C$6:$C$998,E$4,'[1]Blackout Brand Fam Areas (Enc)'!$D$6:$D$998,"Inactive")&gt;0,"BLOCKED","CAN SELL")))))</f>
        <v>CAN SELL</v>
      </c>
      <c r="F55" s="11" t="str">
        <f>IF($A55="","",_xlfn.LET(_xlpm.t,MATCH($B55,'[1]Territory Definitions'!$B$5:$B$14,0),IF(ISNA(_xlpm.t),"NO TERRITORY",IF(INDEX('[1]Territory Definitions'!$D$5:$M$14,_xlpm.t,MATCH(F$4,'[1]Territory Definitions'!$D$4:$M$4,0))&lt;&gt;1,"NOT IN TERRITORY",IF(COUNTIFS('[1]Blackout Brand Fam Areas (Enc)'!$B$6:$B$998,$A55,'[1]Blackout Brand Fam Areas (Enc)'!$C$6:$C$998,F$4,'[1]Blackout Brand Fam Areas (Enc)'!$D$6:$D$998,"Inactive")&gt;0,"BLOCKED","CAN SELL")))))</f>
        <v>CAN SELL</v>
      </c>
      <c r="G55" s="11" t="str">
        <f>IF($A55="","",_xlfn.LET(_xlpm.t,MATCH($B55,'[1]Territory Definitions'!$B$5:$B$14,0),IF(ISNA(_xlpm.t),"NO TERRITORY",IF(INDEX('[1]Territory Definitions'!$D$5:$M$14,_xlpm.t,MATCH(G$4,'[1]Territory Definitions'!$D$4:$M$4,0))&lt;&gt;1,"NOT IN TERRITORY",IF(COUNTIFS('[1]Blackout Brand Fam Areas (Enc)'!$B$6:$B$998,$A55,'[1]Blackout Brand Fam Areas (Enc)'!$C$6:$C$998,G$4,'[1]Blackout Brand Fam Areas (Enc)'!$D$6:$D$998,"Inactive")&gt;0,"BLOCKED","CAN SELL")))))</f>
        <v>CAN SELL</v>
      </c>
      <c r="H55" s="11" t="str">
        <f>IF($A55="","",_xlfn.LET(_xlpm.t,MATCH($B55,'[1]Territory Definitions'!$B$5:$B$14,0),IF(ISNA(_xlpm.t),"NO TERRITORY",IF(INDEX('[1]Territory Definitions'!$D$5:$M$14,_xlpm.t,MATCH(H$4,'[1]Territory Definitions'!$D$4:$M$4,0))&lt;&gt;1,"NOT IN TERRITORY",IF(COUNTIFS('[1]Blackout Brand Fam Areas (Enc)'!$B$6:$B$998,$A55,'[1]Blackout Brand Fam Areas (Enc)'!$C$6:$C$998,H$4,'[1]Blackout Brand Fam Areas (Enc)'!$D$6:$D$998,"Inactive")&gt;0,"BLOCKED","CAN SELL")))))</f>
        <v>CAN SELL</v>
      </c>
      <c r="I55" s="11" t="str">
        <f>IF($A55="","",_xlfn.LET(_xlpm.t,MATCH($B55,'[1]Territory Definitions'!$B$5:$B$14,0),IF(ISNA(_xlpm.t),"NO TERRITORY",IF(INDEX('[1]Territory Definitions'!$D$5:$M$14,_xlpm.t,MATCH(I$4,'[1]Territory Definitions'!$D$4:$M$4,0))&lt;&gt;1,"NOT IN TERRITORY",IF(COUNTIFS('[1]Blackout Brand Fam Areas (Enc)'!$B$6:$B$998,$A55,'[1]Blackout Brand Fam Areas (Enc)'!$C$6:$C$998,I$4,'[1]Blackout Brand Fam Areas (Enc)'!$D$6:$D$998,"Inactive")&gt;0,"BLOCKED","CAN SELL")))))</f>
        <v>CAN SELL</v>
      </c>
      <c r="J55" s="11" t="str">
        <f>IF($A55="","",_xlfn.LET(_xlpm.t,MATCH($B55,'[1]Territory Definitions'!$B$5:$B$14,0),IF(ISNA(_xlpm.t),"NO TERRITORY",IF(INDEX('[1]Territory Definitions'!$D$5:$M$14,_xlpm.t,MATCH(J$4,'[1]Territory Definitions'!$D$4:$M$4,0))&lt;&gt;1,"NOT IN TERRITORY",IF(COUNTIFS('[1]Blackout Brand Fam Areas (Enc)'!$B$6:$B$998,$A55,'[1]Blackout Brand Fam Areas (Enc)'!$C$6:$C$998,J$4,'[1]Blackout Brand Fam Areas (Enc)'!$D$6:$D$998,"Inactive")&gt;0,"BLOCKED","CAN SELL")))))</f>
        <v>CAN SELL</v>
      </c>
      <c r="K55" s="11" t="str">
        <f>IF($A55="","",_xlfn.LET(_xlpm.t,MATCH($B55,'[1]Territory Definitions'!$B$5:$B$14,0),IF(ISNA(_xlpm.t),"NO TERRITORY",IF(INDEX('[1]Territory Definitions'!$D$5:$M$14,_xlpm.t,MATCH(K$4,'[1]Territory Definitions'!$D$4:$M$4,0))&lt;&gt;1,"NOT IN TERRITORY",IF(COUNTIFS('[1]Blackout Brand Fam Areas (Enc)'!$B$6:$B$998,$A55,'[1]Blackout Brand Fam Areas (Enc)'!$C$6:$C$998,K$4,'[1]Blackout Brand Fam Areas (Enc)'!$D$6:$D$998,"Inactive")&gt;0,"BLOCKED","CAN SELL")))))</f>
        <v>CAN SELL</v>
      </c>
      <c r="L55" s="11" t="str">
        <f>IF($A55="","",_xlfn.LET(_xlpm.t,MATCH($B55,'[1]Territory Definitions'!$B$5:$B$14,0),IF(ISNA(_xlpm.t),"NO TERRITORY",IF(INDEX('[1]Territory Definitions'!$D$5:$M$14,_xlpm.t,MATCH(L$4,'[1]Territory Definitions'!$D$4:$M$4,0))&lt;&gt;1,"NOT IN TERRITORY",IF(COUNTIFS('[1]Blackout Brand Fam Areas (Enc)'!$B$6:$B$998,$A55,'[1]Blackout Brand Fam Areas (Enc)'!$C$6:$C$998,L$4,'[1]Blackout Brand Fam Areas (Enc)'!$D$6:$D$998,"Inactive")&gt;0,"BLOCKED","CAN SELL")))))</f>
        <v>CAN SELL</v>
      </c>
      <c r="M55" s="12">
        <f>IF($A55="","",COUNTIF($C55:$L55,"CAN SELL"))</f>
        <v>10</v>
      </c>
      <c r="N55" s="13" cm="1">
        <f t="array" ref="N55">IF($A55="","",SUMPRODUCT(($C55:$L55="CAN SELL")*$C$3:$L$3))</f>
        <v>2306</v>
      </c>
      <c r="O55" s="14" t="str">
        <f>IF($A55="","",IF(COUNTIF($A$5:$A$299,$A55)&gt;1,"DUPLICATE - two different territories assigned",IF($B55="** NO TERRITORY SET **","No territory on Brand Family Territory (Enc)","")))</f>
        <v/>
      </c>
      <c r="P55" s="18" t="str">
        <f>IF($A55="","",IFERROR(INDEX([1]Products!$H$4:$H$4801,MATCH($A55,[1]Products!$G$4:$G$4801,0)),"(no products)"))</f>
        <v>Cavalier Ventures, LLC</v>
      </c>
      <c r="Q55" s="19">
        <f>IF($A55="","",COUNTIFS([1]Products!$G$4:$G$4801,$A55,[1]Products!$L$4:$L$4801,"Yes"))</f>
        <v>6</v>
      </c>
      <c r="R55" s="19">
        <f>IF($A55="","",COUNTIFS([1]Products!$G$4:$G$4801,$A55,[1]Products!$L$4:$L$4801,"Yes",[1]Products!$K$4:$K$4801,"Draft"))</f>
        <v>0</v>
      </c>
      <c r="S55" s="19">
        <f>IF($A55="","",COUNTIFS([1]Products!$G$4:$G$4801,$A55,[1]Products!$L$4:$L$4801,"Yes",[1]Products!$K$4:$K$4801,"Package"))</f>
        <v>0</v>
      </c>
      <c r="T55" s="20" t="str" cm="1">
        <f t="array" ref="T55">IF($A55="","",_xlfn.IFS($Q55=0,"NO ACTIVE SKUs",AND($R55&gt;0,$S55&gt;0),"Draft &amp; Package",$R55&gt;0,"Draft only",TRUE,"Package only"))</f>
        <v>Package only</v>
      </c>
    </row>
    <row r="56" spans="1:20" x14ac:dyDescent="0.2">
      <c r="A56" s="9" t="str">
        <v>Colt 45</v>
      </c>
      <c r="B56" s="10" t="str">
        <f>IF($A56="","",_xlfn.XLOOKUP($A56,'[1]Brand Family Territory (Enc)'!$A:$A,'[1]Brand Family Territory (Enc)'!$B:$B,"** NO TERRITORY SET **"))</f>
        <v>All Counties</v>
      </c>
      <c r="C56" s="11" t="str">
        <f>IF($A56="","",_xlfn.LET(_xlpm.t,MATCH($B56,'[1]Territory Definitions'!$B$5:$B$14,0),IF(ISNA(_xlpm.t),"NO TERRITORY",IF(INDEX('[1]Territory Definitions'!$D$5:$M$14,_xlpm.t,MATCH(C$4,'[1]Territory Definitions'!$D$4:$M$4,0))&lt;&gt;1,"NOT IN TERRITORY",IF(COUNTIFS('[1]Blackout Brand Fam Areas (Enc)'!$B$6:$B$998,$A56,'[1]Blackout Brand Fam Areas (Enc)'!$C$6:$C$998,C$4,'[1]Blackout Brand Fam Areas (Enc)'!$D$6:$D$998,"Inactive")&gt;0,"BLOCKED","CAN SELL")))))</f>
        <v>CAN SELL</v>
      </c>
      <c r="D56" s="11" t="str">
        <f>IF($A56="","",_xlfn.LET(_xlpm.t,MATCH($B56,'[1]Territory Definitions'!$B$5:$B$14,0),IF(ISNA(_xlpm.t),"NO TERRITORY",IF(INDEX('[1]Territory Definitions'!$D$5:$M$14,_xlpm.t,MATCH(D$4,'[1]Territory Definitions'!$D$4:$M$4,0))&lt;&gt;1,"NOT IN TERRITORY",IF(COUNTIFS('[1]Blackout Brand Fam Areas (Enc)'!$B$6:$B$998,$A56,'[1]Blackout Brand Fam Areas (Enc)'!$C$6:$C$998,D$4,'[1]Blackout Brand Fam Areas (Enc)'!$D$6:$D$998,"Inactive")&gt;0,"BLOCKED","CAN SELL")))))</f>
        <v>CAN SELL</v>
      </c>
      <c r="E56" s="11" t="str">
        <f>IF($A56="","",_xlfn.LET(_xlpm.t,MATCH($B56,'[1]Territory Definitions'!$B$5:$B$14,0),IF(ISNA(_xlpm.t),"NO TERRITORY",IF(INDEX('[1]Territory Definitions'!$D$5:$M$14,_xlpm.t,MATCH(E$4,'[1]Territory Definitions'!$D$4:$M$4,0))&lt;&gt;1,"NOT IN TERRITORY",IF(COUNTIFS('[1]Blackout Brand Fam Areas (Enc)'!$B$6:$B$998,$A56,'[1]Blackout Brand Fam Areas (Enc)'!$C$6:$C$998,E$4,'[1]Blackout Brand Fam Areas (Enc)'!$D$6:$D$998,"Inactive")&gt;0,"BLOCKED","CAN SELL")))))</f>
        <v>CAN SELL</v>
      </c>
      <c r="F56" s="11" t="str">
        <f>IF($A56="","",_xlfn.LET(_xlpm.t,MATCH($B56,'[1]Territory Definitions'!$B$5:$B$14,0),IF(ISNA(_xlpm.t),"NO TERRITORY",IF(INDEX('[1]Territory Definitions'!$D$5:$M$14,_xlpm.t,MATCH(F$4,'[1]Territory Definitions'!$D$4:$M$4,0))&lt;&gt;1,"NOT IN TERRITORY",IF(COUNTIFS('[1]Blackout Brand Fam Areas (Enc)'!$B$6:$B$998,$A56,'[1]Blackout Brand Fam Areas (Enc)'!$C$6:$C$998,F$4,'[1]Blackout Brand Fam Areas (Enc)'!$D$6:$D$998,"Inactive")&gt;0,"BLOCKED","CAN SELL")))))</f>
        <v>CAN SELL</v>
      </c>
      <c r="G56" s="11" t="str">
        <f>IF($A56="","",_xlfn.LET(_xlpm.t,MATCH($B56,'[1]Territory Definitions'!$B$5:$B$14,0),IF(ISNA(_xlpm.t),"NO TERRITORY",IF(INDEX('[1]Territory Definitions'!$D$5:$M$14,_xlpm.t,MATCH(G$4,'[1]Territory Definitions'!$D$4:$M$4,0))&lt;&gt;1,"NOT IN TERRITORY",IF(COUNTIFS('[1]Blackout Brand Fam Areas (Enc)'!$B$6:$B$998,$A56,'[1]Blackout Brand Fam Areas (Enc)'!$C$6:$C$998,G$4,'[1]Blackout Brand Fam Areas (Enc)'!$D$6:$D$998,"Inactive")&gt;0,"BLOCKED","CAN SELL")))))</f>
        <v>CAN SELL</v>
      </c>
      <c r="H56" s="11" t="str">
        <f>IF($A56="","",_xlfn.LET(_xlpm.t,MATCH($B56,'[1]Territory Definitions'!$B$5:$B$14,0),IF(ISNA(_xlpm.t),"NO TERRITORY",IF(INDEX('[1]Territory Definitions'!$D$5:$M$14,_xlpm.t,MATCH(H$4,'[1]Territory Definitions'!$D$4:$M$4,0))&lt;&gt;1,"NOT IN TERRITORY",IF(COUNTIFS('[1]Blackout Brand Fam Areas (Enc)'!$B$6:$B$998,$A56,'[1]Blackout Brand Fam Areas (Enc)'!$C$6:$C$998,H$4,'[1]Blackout Brand Fam Areas (Enc)'!$D$6:$D$998,"Inactive")&gt;0,"BLOCKED","CAN SELL")))))</f>
        <v>CAN SELL</v>
      </c>
      <c r="I56" s="11" t="str">
        <f>IF($A56="","",_xlfn.LET(_xlpm.t,MATCH($B56,'[1]Territory Definitions'!$B$5:$B$14,0),IF(ISNA(_xlpm.t),"NO TERRITORY",IF(INDEX('[1]Territory Definitions'!$D$5:$M$14,_xlpm.t,MATCH(I$4,'[1]Territory Definitions'!$D$4:$M$4,0))&lt;&gt;1,"NOT IN TERRITORY",IF(COUNTIFS('[1]Blackout Brand Fam Areas (Enc)'!$B$6:$B$998,$A56,'[1]Blackout Brand Fam Areas (Enc)'!$C$6:$C$998,I$4,'[1]Blackout Brand Fam Areas (Enc)'!$D$6:$D$998,"Inactive")&gt;0,"BLOCKED","CAN SELL")))))</f>
        <v>CAN SELL</v>
      </c>
      <c r="J56" s="11" t="str">
        <f>IF($A56="","",_xlfn.LET(_xlpm.t,MATCH($B56,'[1]Territory Definitions'!$B$5:$B$14,0),IF(ISNA(_xlpm.t),"NO TERRITORY",IF(INDEX('[1]Territory Definitions'!$D$5:$M$14,_xlpm.t,MATCH(J$4,'[1]Territory Definitions'!$D$4:$M$4,0))&lt;&gt;1,"NOT IN TERRITORY",IF(COUNTIFS('[1]Blackout Brand Fam Areas (Enc)'!$B$6:$B$998,$A56,'[1]Blackout Brand Fam Areas (Enc)'!$C$6:$C$998,J$4,'[1]Blackout Brand Fam Areas (Enc)'!$D$6:$D$998,"Inactive")&gt;0,"BLOCKED","CAN SELL")))))</f>
        <v>CAN SELL</v>
      </c>
      <c r="K56" s="11" t="str">
        <f>IF($A56="","",_xlfn.LET(_xlpm.t,MATCH($B56,'[1]Territory Definitions'!$B$5:$B$14,0),IF(ISNA(_xlpm.t),"NO TERRITORY",IF(INDEX('[1]Territory Definitions'!$D$5:$M$14,_xlpm.t,MATCH(K$4,'[1]Territory Definitions'!$D$4:$M$4,0))&lt;&gt;1,"NOT IN TERRITORY",IF(COUNTIFS('[1]Blackout Brand Fam Areas (Enc)'!$B$6:$B$998,$A56,'[1]Blackout Brand Fam Areas (Enc)'!$C$6:$C$998,K$4,'[1]Blackout Brand Fam Areas (Enc)'!$D$6:$D$998,"Inactive")&gt;0,"BLOCKED","CAN SELL")))))</f>
        <v>CAN SELL</v>
      </c>
      <c r="L56" s="11" t="str">
        <f>IF($A56="","",_xlfn.LET(_xlpm.t,MATCH($B56,'[1]Territory Definitions'!$B$5:$B$14,0),IF(ISNA(_xlpm.t),"NO TERRITORY",IF(INDEX('[1]Territory Definitions'!$D$5:$M$14,_xlpm.t,MATCH(L$4,'[1]Territory Definitions'!$D$4:$M$4,0))&lt;&gt;1,"NOT IN TERRITORY",IF(COUNTIFS('[1]Blackout Brand Fam Areas (Enc)'!$B$6:$B$998,$A56,'[1]Blackout Brand Fam Areas (Enc)'!$C$6:$C$998,L$4,'[1]Blackout Brand Fam Areas (Enc)'!$D$6:$D$998,"Inactive")&gt;0,"BLOCKED","CAN SELL")))))</f>
        <v>CAN SELL</v>
      </c>
      <c r="M56" s="12">
        <f>IF($A56="","",COUNTIF($C56:$L56,"CAN SELL"))</f>
        <v>10</v>
      </c>
      <c r="N56" s="13" cm="1">
        <f t="array" ref="N56">IF($A56="","",SUMPRODUCT(($C56:$L56="CAN SELL")*$C$3:$L$3))</f>
        <v>2306</v>
      </c>
      <c r="O56" s="14" t="str">
        <f>IF($A56="","",IF(COUNTIF($A$5:$A$299,$A56)&gt;1,"DUPLICATE - two different territories assigned",IF($B56="** NO TERRITORY SET **","No territory on Brand Family Territory (Enc)","")))</f>
        <v/>
      </c>
      <c r="P56" s="18" t="str">
        <f>IF($A56="","",IFERROR(INDEX([1]Products!$H$4:$H$4801,MATCH($A56,[1]Products!$G$4:$G$4801,0)),"(no products)"))</f>
        <v>Pabst Brewing Company</v>
      </c>
      <c r="Q56" s="19">
        <f>IF($A56="","",COUNTIFS([1]Products!$G$4:$G$4801,$A56,[1]Products!$L$4:$L$4801,"Yes"))</f>
        <v>6</v>
      </c>
      <c r="R56" s="19">
        <f>IF($A56="","",COUNTIFS([1]Products!$G$4:$G$4801,$A56,[1]Products!$L$4:$L$4801,"Yes",[1]Products!$K$4:$K$4801,"Draft"))</f>
        <v>0</v>
      </c>
      <c r="S56" s="19">
        <f>IF($A56="","",COUNTIFS([1]Products!$G$4:$G$4801,$A56,[1]Products!$L$4:$L$4801,"Yes",[1]Products!$K$4:$K$4801,"Package"))</f>
        <v>6</v>
      </c>
      <c r="T56" s="20" t="str" cm="1">
        <f t="array" ref="T56">IF($A56="","",_xlfn.IFS($Q56=0,"NO ACTIVE SKUs",AND($R56&gt;0,$S56&gt;0),"Draft &amp; Package",$R56&gt;0,"Draft only",TRUE,"Package only"))</f>
        <v>Package only</v>
      </c>
    </row>
    <row r="57" spans="1:20" x14ac:dyDescent="0.2">
      <c r="A57" s="9" t="str">
        <v>Coors</v>
      </c>
      <c r="B57" s="10" t="str">
        <f>IF($A57="","",_xlfn.XLOOKUP($A57,'[1]Brand Family Territory (Enc)'!$A:$A,'[1]Brand Family Territory (Enc)'!$B:$B,"** NO TERRITORY SET **"))</f>
        <v>Core Market</v>
      </c>
      <c r="C57" s="11" t="str">
        <f>IF($A57="","",_xlfn.LET(_xlpm.t,MATCH($B57,'[1]Territory Definitions'!$B$5:$B$14,0),IF(ISNA(_xlpm.t),"NO TERRITORY",IF(INDEX('[1]Territory Definitions'!$D$5:$M$14,_xlpm.t,MATCH(C$4,'[1]Territory Definitions'!$D$4:$M$4,0))&lt;&gt;1,"NOT IN TERRITORY",IF(COUNTIFS('[1]Blackout Brand Fam Areas (Enc)'!$B$6:$B$998,$A57,'[1]Blackout Brand Fam Areas (Enc)'!$C$6:$C$998,C$4,'[1]Blackout Brand Fam Areas (Enc)'!$D$6:$D$998,"Inactive")&gt;0,"BLOCKED","CAN SELL")))))</f>
        <v>CAN SELL</v>
      </c>
      <c r="D57" s="11" t="str">
        <f>IF($A57="","",_xlfn.LET(_xlpm.t,MATCH($B57,'[1]Territory Definitions'!$B$5:$B$14,0),IF(ISNA(_xlpm.t),"NO TERRITORY",IF(INDEX('[1]Territory Definitions'!$D$5:$M$14,_xlpm.t,MATCH(D$4,'[1]Territory Definitions'!$D$4:$M$4,0))&lt;&gt;1,"NOT IN TERRITORY",IF(COUNTIFS('[1]Blackout Brand Fam Areas (Enc)'!$B$6:$B$998,$A57,'[1]Blackout Brand Fam Areas (Enc)'!$C$6:$C$998,D$4,'[1]Blackout Brand Fam Areas (Enc)'!$D$6:$D$998,"Inactive")&gt;0,"BLOCKED","CAN SELL")))))</f>
        <v>CAN SELL</v>
      </c>
      <c r="E57" s="11" t="str">
        <f>IF($A57="","",_xlfn.LET(_xlpm.t,MATCH($B57,'[1]Territory Definitions'!$B$5:$B$14,0),IF(ISNA(_xlpm.t),"NO TERRITORY",IF(INDEX('[1]Territory Definitions'!$D$5:$M$14,_xlpm.t,MATCH(E$4,'[1]Territory Definitions'!$D$4:$M$4,0))&lt;&gt;1,"NOT IN TERRITORY",IF(COUNTIFS('[1]Blackout Brand Fam Areas (Enc)'!$B$6:$B$998,$A57,'[1]Blackout Brand Fam Areas (Enc)'!$C$6:$C$998,E$4,'[1]Blackout Brand Fam Areas (Enc)'!$D$6:$D$998,"Inactive")&gt;0,"BLOCKED","CAN SELL")))))</f>
        <v>CAN SELL</v>
      </c>
      <c r="F57" s="11" t="str">
        <f>IF($A57="","",_xlfn.LET(_xlpm.t,MATCH($B57,'[1]Territory Definitions'!$B$5:$B$14,0),IF(ISNA(_xlpm.t),"NO TERRITORY",IF(INDEX('[1]Territory Definitions'!$D$5:$M$14,_xlpm.t,MATCH(F$4,'[1]Territory Definitions'!$D$4:$M$4,0))&lt;&gt;1,"NOT IN TERRITORY",IF(COUNTIFS('[1]Blackout Brand Fam Areas (Enc)'!$B$6:$B$998,$A57,'[1]Blackout Brand Fam Areas (Enc)'!$C$6:$C$998,F$4,'[1]Blackout Brand Fam Areas (Enc)'!$D$6:$D$998,"Inactive")&gt;0,"BLOCKED","CAN SELL")))))</f>
        <v>NOT IN TERRITORY</v>
      </c>
      <c r="G57" s="11" t="str">
        <f>IF($A57="","",_xlfn.LET(_xlpm.t,MATCH($B57,'[1]Territory Definitions'!$B$5:$B$14,0),IF(ISNA(_xlpm.t),"NO TERRITORY",IF(INDEX('[1]Territory Definitions'!$D$5:$M$14,_xlpm.t,MATCH(G$4,'[1]Territory Definitions'!$D$4:$M$4,0))&lt;&gt;1,"NOT IN TERRITORY",IF(COUNTIFS('[1]Blackout Brand Fam Areas (Enc)'!$B$6:$B$998,$A57,'[1]Blackout Brand Fam Areas (Enc)'!$C$6:$C$998,G$4,'[1]Blackout Brand Fam Areas (Enc)'!$D$6:$D$998,"Inactive")&gt;0,"BLOCKED","CAN SELL")))))</f>
        <v>NOT IN TERRITORY</v>
      </c>
      <c r="H57" s="11" t="str">
        <f>IF($A57="","",_xlfn.LET(_xlpm.t,MATCH($B57,'[1]Territory Definitions'!$B$5:$B$14,0),IF(ISNA(_xlpm.t),"NO TERRITORY",IF(INDEX('[1]Territory Definitions'!$D$5:$M$14,_xlpm.t,MATCH(H$4,'[1]Territory Definitions'!$D$4:$M$4,0))&lt;&gt;1,"NOT IN TERRITORY",IF(COUNTIFS('[1]Blackout Brand Fam Areas (Enc)'!$B$6:$B$998,$A57,'[1]Blackout Brand Fam Areas (Enc)'!$C$6:$C$998,H$4,'[1]Blackout Brand Fam Areas (Enc)'!$D$6:$D$998,"Inactive")&gt;0,"BLOCKED","CAN SELL")))))</f>
        <v>NOT IN TERRITORY</v>
      </c>
      <c r="I57" s="11" t="str">
        <f>IF($A57="","",_xlfn.LET(_xlpm.t,MATCH($B57,'[1]Territory Definitions'!$B$5:$B$14,0),IF(ISNA(_xlpm.t),"NO TERRITORY",IF(INDEX('[1]Territory Definitions'!$D$5:$M$14,_xlpm.t,MATCH(I$4,'[1]Territory Definitions'!$D$4:$M$4,0))&lt;&gt;1,"NOT IN TERRITORY",IF(COUNTIFS('[1]Blackout Brand Fam Areas (Enc)'!$B$6:$B$998,$A57,'[1]Blackout Brand Fam Areas (Enc)'!$C$6:$C$998,I$4,'[1]Blackout Brand Fam Areas (Enc)'!$D$6:$D$998,"Inactive")&gt;0,"BLOCKED","CAN SELL")))))</f>
        <v>CAN SELL</v>
      </c>
      <c r="J57" s="11" t="str">
        <f>IF($A57="","",_xlfn.LET(_xlpm.t,MATCH($B57,'[1]Territory Definitions'!$B$5:$B$14,0),IF(ISNA(_xlpm.t),"NO TERRITORY",IF(INDEX('[1]Territory Definitions'!$D$5:$M$14,_xlpm.t,MATCH(J$4,'[1]Territory Definitions'!$D$4:$M$4,0))&lt;&gt;1,"NOT IN TERRITORY",IF(COUNTIFS('[1]Blackout Brand Fam Areas (Enc)'!$B$6:$B$998,$A57,'[1]Blackout Brand Fam Areas (Enc)'!$C$6:$C$998,J$4,'[1]Blackout Brand Fam Areas (Enc)'!$D$6:$D$998,"Inactive")&gt;0,"BLOCKED","CAN SELL")))))</f>
        <v>CAN SELL</v>
      </c>
      <c r="K57" s="11" t="str">
        <f>IF($A57="","",_xlfn.LET(_xlpm.t,MATCH($B57,'[1]Territory Definitions'!$B$5:$B$14,0),IF(ISNA(_xlpm.t),"NO TERRITORY",IF(INDEX('[1]Territory Definitions'!$D$5:$M$14,_xlpm.t,MATCH(K$4,'[1]Territory Definitions'!$D$4:$M$4,0))&lt;&gt;1,"NOT IN TERRITORY",IF(COUNTIFS('[1]Blackout Brand Fam Areas (Enc)'!$B$6:$B$998,$A57,'[1]Blackout Brand Fam Areas (Enc)'!$C$6:$C$998,K$4,'[1]Blackout Brand Fam Areas (Enc)'!$D$6:$D$998,"Inactive")&gt;0,"BLOCKED","CAN SELL")))))</f>
        <v>NOT IN TERRITORY</v>
      </c>
      <c r="L57" s="11" t="str">
        <f>IF($A57="","",_xlfn.LET(_xlpm.t,MATCH($B57,'[1]Territory Definitions'!$B$5:$B$14,0),IF(ISNA(_xlpm.t),"NO TERRITORY",IF(INDEX('[1]Territory Definitions'!$D$5:$M$14,_xlpm.t,MATCH(L$4,'[1]Territory Definitions'!$D$4:$M$4,0))&lt;&gt;1,"NOT IN TERRITORY",IF(COUNTIFS('[1]Blackout Brand Fam Areas (Enc)'!$B$6:$B$998,$A57,'[1]Blackout Brand Fam Areas (Enc)'!$C$6:$C$998,L$4,'[1]Blackout Brand Fam Areas (Enc)'!$D$6:$D$998,"Inactive")&gt;0,"BLOCKED","CAN SELL")))))</f>
        <v>CAN SELL</v>
      </c>
      <c r="M57" s="12">
        <f>IF($A57="","",COUNTIF($C57:$L57,"CAN SELL"))</f>
        <v>6</v>
      </c>
      <c r="N57" s="13" cm="1">
        <f t="array" ref="N57">IF($A57="","",SUMPRODUCT(($C57:$L57="CAN SELL")*$C$3:$L$3))</f>
        <v>1596</v>
      </c>
      <c r="O57" s="14" t="str">
        <f>IF($A57="","",IF(COUNTIF($A$5:$A$299,$A57)&gt;1,"DUPLICATE - two different territories assigned",IF($B57="** NO TERRITORY SET **","No territory on Brand Family Territory (Enc)","")))</f>
        <v/>
      </c>
      <c r="P57" s="18" t="str">
        <f>IF($A57="","",IFERROR(INDEX([1]Products!$H$4:$H$4801,MATCH($A57,[1]Products!$G$4:$G$4801,0)),"(no products)"))</f>
        <v>MolsonCoors Beverage Company</v>
      </c>
      <c r="Q57" s="19">
        <f>IF($A57="","",COUNTIFS([1]Products!$G$4:$G$4801,$A57,[1]Products!$L$4:$L$4801,"Yes"))</f>
        <v>11</v>
      </c>
      <c r="R57" s="19">
        <f>IF($A57="","",COUNTIFS([1]Products!$G$4:$G$4801,$A57,[1]Products!$L$4:$L$4801,"Yes",[1]Products!$K$4:$K$4801,"Draft"))</f>
        <v>1</v>
      </c>
      <c r="S57" s="19">
        <f>IF($A57="","",COUNTIFS([1]Products!$G$4:$G$4801,$A57,[1]Products!$L$4:$L$4801,"Yes",[1]Products!$K$4:$K$4801,"Package"))</f>
        <v>10</v>
      </c>
      <c r="T57" s="20" t="str" cm="1">
        <f t="array" ref="T57">IF($A57="","",_xlfn.IFS($Q57=0,"NO ACTIVE SKUs",AND($R57&gt;0,$S57&gt;0),"Draft &amp; Package",$R57&gt;0,"Draft only",TRUE,"Package only"))</f>
        <v>Draft &amp; Package</v>
      </c>
    </row>
    <row r="58" spans="1:20" x14ac:dyDescent="0.2">
      <c r="A58" s="9" t="str">
        <v>Coors Edge</v>
      </c>
      <c r="B58" s="10" t="str">
        <f>IF($A58="","",_xlfn.XLOOKUP($A58,'[1]Brand Family Territory (Enc)'!$A:$A,'[1]Brand Family Territory (Enc)'!$B:$B,"** NO TERRITORY SET **"))</f>
        <v>Core Market</v>
      </c>
      <c r="C58" s="11" t="str">
        <f>IF($A58="","",_xlfn.LET(_xlpm.t,MATCH($B58,'[1]Territory Definitions'!$B$5:$B$14,0),IF(ISNA(_xlpm.t),"NO TERRITORY",IF(INDEX('[1]Territory Definitions'!$D$5:$M$14,_xlpm.t,MATCH(C$4,'[1]Territory Definitions'!$D$4:$M$4,0))&lt;&gt;1,"NOT IN TERRITORY",IF(COUNTIFS('[1]Blackout Brand Fam Areas (Enc)'!$B$6:$B$998,$A58,'[1]Blackout Brand Fam Areas (Enc)'!$C$6:$C$998,C$4,'[1]Blackout Brand Fam Areas (Enc)'!$D$6:$D$998,"Inactive")&gt;0,"BLOCKED","CAN SELL")))))</f>
        <v>CAN SELL</v>
      </c>
      <c r="D58" s="11" t="str">
        <f>IF($A58="","",_xlfn.LET(_xlpm.t,MATCH($B58,'[1]Territory Definitions'!$B$5:$B$14,0),IF(ISNA(_xlpm.t),"NO TERRITORY",IF(INDEX('[1]Territory Definitions'!$D$5:$M$14,_xlpm.t,MATCH(D$4,'[1]Territory Definitions'!$D$4:$M$4,0))&lt;&gt;1,"NOT IN TERRITORY",IF(COUNTIFS('[1]Blackout Brand Fam Areas (Enc)'!$B$6:$B$998,$A58,'[1]Blackout Brand Fam Areas (Enc)'!$C$6:$C$998,D$4,'[1]Blackout Brand Fam Areas (Enc)'!$D$6:$D$998,"Inactive")&gt;0,"BLOCKED","CAN SELL")))))</f>
        <v>CAN SELL</v>
      </c>
      <c r="E58" s="11" t="str">
        <f>IF($A58="","",_xlfn.LET(_xlpm.t,MATCH($B58,'[1]Territory Definitions'!$B$5:$B$14,0),IF(ISNA(_xlpm.t),"NO TERRITORY",IF(INDEX('[1]Territory Definitions'!$D$5:$M$14,_xlpm.t,MATCH(E$4,'[1]Territory Definitions'!$D$4:$M$4,0))&lt;&gt;1,"NOT IN TERRITORY",IF(COUNTIFS('[1]Blackout Brand Fam Areas (Enc)'!$B$6:$B$998,$A58,'[1]Blackout Brand Fam Areas (Enc)'!$C$6:$C$998,E$4,'[1]Blackout Brand Fam Areas (Enc)'!$D$6:$D$998,"Inactive")&gt;0,"BLOCKED","CAN SELL")))))</f>
        <v>CAN SELL</v>
      </c>
      <c r="F58" s="11" t="str">
        <f>IF($A58="","",_xlfn.LET(_xlpm.t,MATCH($B58,'[1]Territory Definitions'!$B$5:$B$14,0),IF(ISNA(_xlpm.t),"NO TERRITORY",IF(INDEX('[1]Territory Definitions'!$D$5:$M$14,_xlpm.t,MATCH(F$4,'[1]Territory Definitions'!$D$4:$M$4,0))&lt;&gt;1,"NOT IN TERRITORY",IF(COUNTIFS('[1]Blackout Brand Fam Areas (Enc)'!$B$6:$B$998,$A58,'[1]Blackout Brand Fam Areas (Enc)'!$C$6:$C$998,F$4,'[1]Blackout Brand Fam Areas (Enc)'!$D$6:$D$998,"Inactive")&gt;0,"BLOCKED","CAN SELL")))))</f>
        <v>NOT IN TERRITORY</v>
      </c>
      <c r="G58" s="11" t="str">
        <f>IF($A58="","",_xlfn.LET(_xlpm.t,MATCH($B58,'[1]Territory Definitions'!$B$5:$B$14,0),IF(ISNA(_xlpm.t),"NO TERRITORY",IF(INDEX('[1]Territory Definitions'!$D$5:$M$14,_xlpm.t,MATCH(G$4,'[1]Territory Definitions'!$D$4:$M$4,0))&lt;&gt;1,"NOT IN TERRITORY",IF(COUNTIFS('[1]Blackout Brand Fam Areas (Enc)'!$B$6:$B$998,$A58,'[1]Blackout Brand Fam Areas (Enc)'!$C$6:$C$998,G$4,'[1]Blackout Brand Fam Areas (Enc)'!$D$6:$D$998,"Inactive")&gt;0,"BLOCKED","CAN SELL")))))</f>
        <v>NOT IN TERRITORY</v>
      </c>
      <c r="H58" s="11" t="str">
        <f>IF($A58="","",_xlfn.LET(_xlpm.t,MATCH($B58,'[1]Territory Definitions'!$B$5:$B$14,0),IF(ISNA(_xlpm.t),"NO TERRITORY",IF(INDEX('[1]Territory Definitions'!$D$5:$M$14,_xlpm.t,MATCH(H$4,'[1]Territory Definitions'!$D$4:$M$4,0))&lt;&gt;1,"NOT IN TERRITORY",IF(COUNTIFS('[1]Blackout Brand Fam Areas (Enc)'!$B$6:$B$998,$A58,'[1]Blackout Brand Fam Areas (Enc)'!$C$6:$C$998,H$4,'[1]Blackout Brand Fam Areas (Enc)'!$D$6:$D$998,"Inactive")&gt;0,"BLOCKED","CAN SELL")))))</f>
        <v>NOT IN TERRITORY</v>
      </c>
      <c r="I58" s="11" t="str">
        <f>IF($A58="","",_xlfn.LET(_xlpm.t,MATCH($B58,'[1]Territory Definitions'!$B$5:$B$14,0),IF(ISNA(_xlpm.t),"NO TERRITORY",IF(INDEX('[1]Territory Definitions'!$D$5:$M$14,_xlpm.t,MATCH(I$4,'[1]Territory Definitions'!$D$4:$M$4,0))&lt;&gt;1,"NOT IN TERRITORY",IF(COUNTIFS('[1]Blackout Brand Fam Areas (Enc)'!$B$6:$B$998,$A58,'[1]Blackout Brand Fam Areas (Enc)'!$C$6:$C$998,I$4,'[1]Blackout Brand Fam Areas (Enc)'!$D$6:$D$998,"Inactive")&gt;0,"BLOCKED","CAN SELL")))))</f>
        <v>CAN SELL</v>
      </c>
      <c r="J58" s="11" t="str">
        <f>IF($A58="","",_xlfn.LET(_xlpm.t,MATCH($B58,'[1]Territory Definitions'!$B$5:$B$14,0),IF(ISNA(_xlpm.t),"NO TERRITORY",IF(INDEX('[1]Territory Definitions'!$D$5:$M$14,_xlpm.t,MATCH(J$4,'[1]Territory Definitions'!$D$4:$M$4,0))&lt;&gt;1,"NOT IN TERRITORY",IF(COUNTIFS('[1]Blackout Brand Fam Areas (Enc)'!$B$6:$B$998,$A58,'[1]Blackout Brand Fam Areas (Enc)'!$C$6:$C$998,J$4,'[1]Blackout Brand Fam Areas (Enc)'!$D$6:$D$998,"Inactive")&gt;0,"BLOCKED","CAN SELL")))))</f>
        <v>CAN SELL</v>
      </c>
      <c r="K58" s="11" t="str">
        <f>IF($A58="","",_xlfn.LET(_xlpm.t,MATCH($B58,'[1]Territory Definitions'!$B$5:$B$14,0),IF(ISNA(_xlpm.t),"NO TERRITORY",IF(INDEX('[1]Territory Definitions'!$D$5:$M$14,_xlpm.t,MATCH(K$4,'[1]Territory Definitions'!$D$4:$M$4,0))&lt;&gt;1,"NOT IN TERRITORY",IF(COUNTIFS('[1]Blackout Brand Fam Areas (Enc)'!$B$6:$B$998,$A58,'[1]Blackout Brand Fam Areas (Enc)'!$C$6:$C$998,K$4,'[1]Blackout Brand Fam Areas (Enc)'!$D$6:$D$998,"Inactive")&gt;0,"BLOCKED","CAN SELL")))))</f>
        <v>NOT IN TERRITORY</v>
      </c>
      <c r="L58" s="11" t="str">
        <f>IF($A58="","",_xlfn.LET(_xlpm.t,MATCH($B58,'[1]Territory Definitions'!$B$5:$B$14,0),IF(ISNA(_xlpm.t),"NO TERRITORY",IF(INDEX('[1]Territory Definitions'!$D$5:$M$14,_xlpm.t,MATCH(L$4,'[1]Territory Definitions'!$D$4:$M$4,0))&lt;&gt;1,"NOT IN TERRITORY",IF(COUNTIFS('[1]Blackout Brand Fam Areas (Enc)'!$B$6:$B$998,$A58,'[1]Blackout Brand Fam Areas (Enc)'!$C$6:$C$998,L$4,'[1]Blackout Brand Fam Areas (Enc)'!$D$6:$D$998,"Inactive")&gt;0,"BLOCKED","CAN SELL")))))</f>
        <v>CAN SELL</v>
      </c>
      <c r="M58" s="12">
        <f>IF($A58="","",COUNTIF($C58:$L58,"CAN SELL"))</f>
        <v>6</v>
      </c>
      <c r="N58" s="13" cm="1">
        <f t="array" ref="N58">IF($A58="","",SUMPRODUCT(($C58:$L58="CAN SELL")*$C$3:$L$3))</f>
        <v>1596</v>
      </c>
      <c r="O58" s="14" t="str">
        <f>IF($A58="","",IF(COUNTIF($A$5:$A$299,$A58)&gt;1,"DUPLICATE - two different territories assigned",IF($B58="** NO TERRITORY SET **","No territory on Brand Family Territory (Enc)","")))</f>
        <v/>
      </c>
      <c r="P58" s="18" t="str">
        <f>IF($A58="","",IFERROR(INDEX([1]Products!$H$4:$H$4801,MATCH($A58,[1]Products!$G$4:$G$4801,0)),"(no products)"))</f>
        <v>MolsonCoors Beverage Company</v>
      </c>
      <c r="Q58" s="19">
        <f>IF($A58="","",COUNTIFS([1]Products!$G$4:$G$4801,$A58,[1]Products!$L$4:$L$4801,"Yes"))</f>
        <v>1</v>
      </c>
      <c r="R58" s="19">
        <f>IF($A58="","",COUNTIFS([1]Products!$G$4:$G$4801,$A58,[1]Products!$L$4:$L$4801,"Yes",[1]Products!$K$4:$K$4801,"Draft"))</f>
        <v>0</v>
      </c>
      <c r="S58" s="19">
        <f>IF($A58="","",COUNTIFS([1]Products!$G$4:$G$4801,$A58,[1]Products!$L$4:$L$4801,"Yes",[1]Products!$K$4:$K$4801,"Package"))</f>
        <v>1</v>
      </c>
      <c r="T58" s="20" t="str" cm="1">
        <f t="array" ref="T58">IF($A58="","",_xlfn.IFS($Q58=0,"NO ACTIVE SKUs",AND($R58&gt;0,$S58&gt;0),"Draft &amp; Package",$R58&gt;0,"Draft only",TRUE,"Package only"))</f>
        <v>Package only</v>
      </c>
    </row>
    <row r="59" spans="1:20" x14ac:dyDescent="0.2">
      <c r="A59" s="9" t="str">
        <v>Coors Light</v>
      </c>
      <c r="B59" s="10" t="str">
        <f>IF($A59="","",_xlfn.XLOOKUP($A59,'[1]Brand Family Territory (Enc)'!$A:$A,'[1]Brand Family Territory (Enc)'!$B:$B,"** NO TERRITORY SET **"))</f>
        <v>Core Market</v>
      </c>
      <c r="C59" s="11" t="str">
        <f>IF($A59="","",_xlfn.LET(_xlpm.t,MATCH($B59,'[1]Territory Definitions'!$B$5:$B$14,0),IF(ISNA(_xlpm.t),"NO TERRITORY",IF(INDEX('[1]Territory Definitions'!$D$5:$M$14,_xlpm.t,MATCH(C$4,'[1]Territory Definitions'!$D$4:$M$4,0))&lt;&gt;1,"NOT IN TERRITORY",IF(COUNTIFS('[1]Blackout Brand Fam Areas (Enc)'!$B$6:$B$998,$A59,'[1]Blackout Brand Fam Areas (Enc)'!$C$6:$C$998,C$4,'[1]Blackout Brand Fam Areas (Enc)'!$D$6:$D$998,"Inactive")&gt;0,"BLOCKED","CAN SELL")))))</f>
        <v>CAN SELL</v>
      </c>
      <c r="D59" s="11" t="str">
        <f>IF($A59="","",_xlfn.LET(_xlpm.t,MATCH($B59,'[1]Territory Definitions'!$B$5:$B$14,0),IF(ISNA(_xlpm.t),"NO TERRITORY",IF(INDEX('[1]Territory Definitions'!$D$5:$M$14,_xlpm.t,MATCH(D$4,'[1]Territory Definitions'!$D$4:$M$4,0))&lt;&gt;1,"NOT IN TERRITORY",IF(COUNTIFS('[1]Blackout Brand Fam Areas (Enc)'!$B$6:$B$998,$A59,'[1]Blackout Brand Fam Areas (Enc)'!$C$6:$C$998,D$4,'[1]Blackout Brand Fam Areas (Enc)'!$D$6:$D$998,"Inactive")&gt;0,"BLOCKED","CAN SELL")))))</f>
        <v>CAN SELL</v>
      </c>
      <c r="E59" s="11" t="str">
        <f>IF($A59="","",_xlfn.LET(_xlpm.t,MATCH($B59,'[1]Territory Definitions'!$B$5:$B$14,0),IF(ISNA(_xlpm.t),"NO TERRITORY",IF(INDEX('[1]Territory Definitions'!$D$5:$M$14,_xlpm.t,MATCH(E$4,'[1]Territory Definitions'!$D$4:$M$4,0))&lt;&gt;1,"NOT IN TERRITORY",IF(COUNTIFS('[1]Blackout Brand Fam Areas (Enc)'!$B$6:$B$998,$A59,'[1]Blackout Brand Fam Areas (Enc)'!$C$6:$C$998,E$4,'[1]Blackout Brand Fam Areas (Enc)'!$D$6:$D$998,"Inactive")&gt;0,"BLOCKED","CAN SELL")))))</f>
        <v>CAN SELL</v>
      </c>
      <c r="F59" s="11" t="str">
        <f>IF($A59="","",_xlfn.LET(_xlpm.t,MATCH($B59,'[1]Territory Definitions'!$B$5:$B$14,0),IF(ISNA(_xlpm.t),"NO TERRITORY",IF(INDEX('[1]Territory Definitions'!$D$5:$M$14,_xlpm.t,MATCH(F$4,'[1]Territory Definitions'!$D$4:$M$4,0))&lt;&gt;1,"NOT IN TERRITORY",IF(COUNTIFS('[1]Blackout Brand Fam Areas (Enc)'!$B$6:$B$998,$A59,'[1]Blackout Brand Fam Areas (Enc)'!$C$6:$C$998,F$4,'[1]Blackout Brand Fam Areas (Enc)'!$D$6:$D$998,"Inactive")&gt;0,"BLOCKED","CAN SELL")))))</f>
        <v>NOT IN TERRITORY</v>
      </c>
      <c r="G59" s="11" t="str">
        <f>IF($A59="","",_xlfn.LET(_xlpm.t,MATCH($B59,'[1]Territory Definitions'!$B$5:$B$14,0),IF(ISNA(_xlpm.t),"NO TERRITORY",IF(INDEX('[1]Territory Definitions'!$D$5:$M$14,_xlpm.t,MATCH(G$4,'[1]Territory Definitions'!$D$4:$M$4,0))&lt;&gt;1,"NOT IN TERRITORY",IF(COUNTIFS('[1]Blackout Brand Fam Areas (Enc)'!$B$6:$B$998,$A59,'[1]Blackout Brand Fam Areas (Enc)'!$C$6:$C$998,G$4,'[1]Blackout Brand Fam Areas (Enc)'!$D$6:$D$998,"Inactive")&gt;0,"BLOCKED","CAN SELL")))))</f>
        <v>NOT IN TERRITORY</v>
      </c>
      <c r="H59" s="11" t="str">
        <f>IF($A59="","",_xlfn.LET(_xlpm.t,MATCH($B59,'[1]Territory Definitions'!$B$5:$B$14,0),IF(ISNA(_xlpm.t),"NO TERRITORY",IF(INDEX('[1]Territory Definitions'!$D$5:$M$14,_xlpm.t,MATCH(H$4,'[1]Territory Definitions'!$D$4:$M$4,0))&lt;&gt;1,"NOT IN TERRITORY",IF(COUNTIFS('[1]Blackout Brand Fam Areas (Enc)'!$B$6:$B$998,$A59,'[1]Blackout Brand Fam Areas (Enc)'!$C$6:$C$998,H$4,'[1]Blackout Brand Fam Areas (Enc)'!$D$6:$D$998,"Inactive")&gt;0,"BLOCKED","CAN SELL")))))</f>
        <v>NOT IN TERRITORY</v>
      </c>
      <c r="I59" s="11" t="str">
        <f>IF($A59="","",_xlfn.LET(_xlpm.t,MATCH($B59,'[1]Territory Definitions'!$B$5:$B$14,0),IF(ISNA(_xlpm.t),"NO TERRITORY",IF(INDEX('[1]Territory Definitions'!$D$5:$M$14,_xlpm.t,MATCH(I$4,'[1]Territory Definitions'!$D$4:$M$4,0))&lt;&gt;1,"NOT IN TERRITORY",IF(COUNTIFS('[1]Blackout Brand Fam Areas (Enc)'!$B$6:$B$998,$A59,'[1]Blackout Brand Fam Areas (Enc)'!$C$6:$C$998,I$4,'[1]Blackout Brand Fam Areas (Enc)'!$D$6:$D$998,"Inactive")&gt;0,"BLOCKED","CAN SELL")))))</f>
        <v>CAN SELL</v>
      </c>
      <c r="J59" s="11" t="str">
        <f>IF($A59="","",_xlfn.LET(_xlpm.t,MATCH($B59,'[1]Territory Definitions'!$B$5:$B$14,0),IF(ISNA(_xlpm.t),"NO TERRITORY",IF(INDEX('[1]Territory Definitions'!$D$5:$M$14,_xlpm.t,MATCH(J$4,'[1]Territory Definitions'!$D$4:$M$4,0))&lt;&gt;1,"NOT IN TERRITORY",IF(COUNTIFS('[1]Blackout Brand Fam Areas (Enc)'!$B$6:$B$998,$A59,'[1]Blackout Brand Fam Areas (Enc)'!$C$6:$C$998,J$4,'[1]Blackout Brand Fam Areas (Enc)'!$D$6:$D$998,"Inactive")&gt;0,"BLOCKED","CAN SELL")))))</f>
        <v>CAN SELL</v>
      </c>
      <c r="K59" s="11" t="str">
        <f>IF($A59="","",_xlfn.LET(_xlpm.t,MATCH($B59,'[1]Territory Definitions'!$B$5:$B$14,0),IF(ISNA(_xlpm.t),"NO TERRITORY",IF(INDEX('[1]Territory Definitions'!$D$5:$M$14,_xlpm.t,MATCH(K$4,'[1]Territory Definitions'!$D$4:$M$4,0))&lt;&gt;1,"NOT IN TERRITORY",IF(COUNTIFS('[1]Blackout Brand Fam Areas (Enc)'!$B$6:$B$998,$A59,'[1]Blackout Brand Fam Areas (Enc)'!$C$6:$C$998,K$4,'[1]Blackout Brand Fam Areas (Enc)'!$D$6:$D$998,"Inactive")&gt;0,"BLOCKED","CAN SELL")))))</f>
        <v>NOT IN TERRITORY</v>
      </c>
      <c r="L59" s="11" t="str">
        <f>IF($A59="","",_xlfn.LET(_xlpm.t,MATCH($B59,'[1]Territory Definitions'!$B$5:$B$14,0),IF(ISNA(_xlpm.t),"NO TERRITORY",IF(INDEX('[1]Territory Definitions'!$D$5:$M$14,_xlpm.t,MATCH(L$4,'[1]Territory Definitions'!$D$4:$M$4,0))&lt;&gt;1,"NOT IN TERRITORY",IF(COUNTIFS('[1]Blackout Brand Fam Areas (Enc)'!$B$6:$B$998,$A59,'[1]Blackout Brand Fam Areas (Enc)'!$C$6:$C$998,L$4,'[1]Blackout Brand Fam Areas (Enc)'!$D$6:$D$998,"Inactive")&gt;0,"BLOCKED","CAN SELL")))))</f>
        <v>CAN SELL</v>
      </c>
      <c r="M59" s="12">
        <f>IF($A59="","",COUNTIF($C59:$L59,"CAN SELL"))</f>
        <v>6</v>
      </c>
      <c r="N59" s="13" cm="1">
        <f t="array" ref="N59">IF($A59="","",SUMPRODUCT(($C59:$L59="CAN SELL")*$C$3:$L$3))</f>
        <v>1596</v>
      </c>
      <c r="O59" s="14" t="str">
        <f>IF($A59="","",IF(COUNTIF($A$5:$A$299,$A59)&gt;1,"DUPLICATE - two different territories assigned",IF($B59="** NO TERRITORY SET **","No territory on Brand Family Territory (Enc)","")))</f>
        <v/>
      </c>
      <c r="P59" s="18" t="str">
        <f>IF($A59="","",IFERROR(INDEX([1]Products!$H$4:$H$4801,MATCH($A59,[1]Products!$G$4:$G$4801,0)),"(no products)"))</f>
        <v>MolsonCoors Beverage Company</v>
      </c>
      <c r="Q59" s="19">
        <f>IF($A59="","",COUNTIFS([1]Products!$G$4:$G$4801,$A59,[1]Products!$L$4:$L$4801,"Yes"))</f>
        <v>22</v>
      </c>
      <c r="R59" s="19">
        <f>IF($A59="","",COUNTIFS([1]Products!$G$4:$G$4801,$A59,[1]Products!$L$4:$L$4801,"Yes",[1]Products!$K$4:$K$4801,"Draft"))</f>
        <v>2</v>
      </c>
      <c r="S59" s="19">
        <f>IF($A59="","",COUNTIFS([1]Products!$G$4:$G$4801,$A59,[1]Products!$L$4:$L$4801,"Yes",[1]Products!$K$4:$K$4801,"Package"))</f>
        <v>20</v>
      </c>
      <c r="T59" s="20" t="str" cm="1">
        <f t="array" ref="T59">IF($A59="","",_xlfn.IFS($Q59=0,"NO ACTIVE SKUs",AND($R59&gt;0,$S59&gt;0),"Draft &amp; Package",$R59&gt;0,"Draft only",TRUE,"Package only"))</f>
        <v>Draft &amp; Package</v>
      </c>
    </row>
    <row r="60" spans="1:20" x14ac:dyDescent="0.2">
      <c r="A60" s="9" t="str">
        <v>Corona Extra</v>
      </c>
      <c r="B60" s="10" t="str">
        <f>IF($A60="","",_xlfn.XLOOKUP($A60,'[1]Brand Family Territory (Enc)'!$A:$A,'[1]Brand Family Territory (Enc)'!$B:$B,"** NO TERRITORY SET **"))</f>
        <v>Core Market</v>
      </c>
      <c r="C60" s="11" t="str">
        <f>IF($A60="","",_xlfn.LET(_xlpm.t,MATCH($B60,'[1]Territory Definitions'!$B$5:$B$14,0),IF(ISNA(_xlpm.t),"NO TERRITORY",IF(INDEX('[1]Territory Definitions'!$D$5:$M$14,_xlpm.t,MATCH(C$4,'[1]Territory Definitions'!$D$4:$M$4,0))&lt;&gt;1,"NOT IN TERRITORY",IF(COUNTIFS('[1]Blackout Brand Fam Areas (Enc)'!$B$6:$B$998,$A60,'[1]Blackout Brand Fam Areas (Enc)'!$C$6:$C$998,C$4,'[1]Blackout Brand Fam Areas (Enc)'!$D$6:$D$998,"Inactive")&gt;0,"BLOCKED","CAN SELL")))))</f>
        <v>CAN SELL</v>
      </c>
      <c r="D60" s="11" t="str">
        <f>IF($A60="","",_xlfn.LET(_xlpm.t,MATCH($B60,'[1]Territory Definitions'!$B$5:$B$14,0),IF(ISNA(_xlpm.t),"NO TERRITORY",IF(INDEX('[1]Territory Definitions'!$D$5:$M$14,_xlpm.t,MATCH(D$4,'[1]Territory Definitions'!$D$4:$M$4,0))&lt;&gt;1,"NOT IN TERRITORY",IF(COUNTIFS('[1]Blackout Brand Fam Areas (Enc)'!$B$6:$B$998,$A60,'[1]Blackout Brand Fam Areas (Enc)'!$C$6:$C$998,D$4,'[1]Blackout Brand Fam Areas (Enc)'!$D$6:$D$998,"Inactive")&gt;0,"BLOCKED","CAN SELL")))))</f>
        <v>CAN SELL</v>
      </c>
      <c r="E60" s="11" t="str">
        <f>IF($A60="","",_xlfn.LET(_xlpm.t,MATCH($B60,'[1]Territory Definitions'!$B$5:$B$14,0),IF(ISNA(_xlpm.t),"NO TERRITORY",IF(INDEX('[1]Territory Definitions'!$D$5:$M$14,_xlpm.t,MATCH(E$4,'[1]Territory Definitions'!$D$4:$M$4,0))&lt;&gt;1,"NOT IN TERRITORY",IF(COUNTIFS('[1]Blackout Brand Fam Areas (Enc)'!$B$6:$B$998,$A60,'[1]Blackout Brand Fam Areas (Enc)'!$C$6:$C$998,E$4,'[1]Blackout Brand Fam Areas (Enc)'!$D$6:$D$998,"Inactive")&gt;0,"BLOCKED","CAN SELL")))))</f>
        <v>CAN SELL</v>
      </c>
      <c r="F60" s="11" t="str">
        <f>IF($A60="","",_xlfn.LET(_xlpm.t,MATCH($B60,'[1]Territory Definitions'!$B$5:$B$14,0),IF(ISNA(_xlpm.t),"NO TERRITORY",IF(INDEX('[1]Territory Definitions'!$D$5:$M$14,_xlpm.t,MATCH(F$4,'[1]Territory Definitions'!$D$4:$M$4,0))&lt;&gt;1,"NOT IN TERRITORY",IF(COUNTIFS('[1]Blackout Brand Fam Areas (Enc)'!$B$6:$B$998,$A60,'[1]Blackout Brand Fam Areas (Enc)'!$C$6:$C$998,F$4,'[1]Blackout Brand Fam Areas (Enc)'!$D$6:$D$998,"Inactive")&gt;0,"BLOCKED","CAN SELL")))))</f>
        <v>NOT IN TERRITORY</v>
      </c>
      <c r="G60" s="11" t="str">
        <f>IF($A60="","",_xlfn.LET(_xlpm.t,MATCH($B60,'[1]Territory Definitions'!$B$5:$B$14,0),IF(ISNA(_xlpm.t),"NO TERRITORY",IF(INDEX('[1]Territory Definitions'!$D$5:$M$14,_xlpm.t,MATCH(G$4,'[1]Territory Definitions'!$D$4:$M$4,0))&lt;&gt;1,"NOT IN TERRITORY",IF(COUNTIFS('[1]Blackout Brand Fam Areas (Enc)'!$B$6:$B$998,$A60,'[1]Blackout Brand Fam Areas (Enc)'!$C$6:$C$998,G$4,'[1]Blackout Brand Fam Areas (Enc)'!$D$6:$D$998,"Inactive")&gt;0,"BLOCKED","CAN SELL")))))</f>
        <v>NOT IN TERRITORY</v>
      </c>
      <c r="H60" s="11" t="str">
        <f>IF($A60="","",_xlfn.LET(_xlpm.t,MATCH($B60,'[1]Territory Definitions'!$B$5:$B$14,0),IF(ISNA(_xlpm.t),"NO TERRITORY",IF(INDEX('[1]Territory Definitions'!$D$5:$M$14,_xlpm.t,MATCH(H$4,'[1]Territory Definitions'!$D$4:$M$4,0))&lt;&gt;1,"NOT IN TERRITORY",IF(COUNTIFS('[1]Blackout Brand Fam Areas (Enc)'!$B$6:$B$998,$A60,'[1]Blackout Brand Fam Areas (Enc)'!$C$6:$C$998,H$4,'[1]Blackout Brand Fam Areas (Enc)'!$D$6:$D$998,"Inactive")&gt;0,"BLOCKED","CAN SELL")))))</f>
        <v>NOT IN TERRITORY</v>
      </c>
      <c r="I60" s="11" t="str">
        <f>IF($A60="","",_xlfn.LET(_xlpm.t,MATCH($B60,'[1]Territory Definitions'!$B$5:$B$14,0),IF(ISNA(_xlpm.t),"NO TERRITORY",IF(INDEX('[1]Territory Definitions'!$D$5:$M$14,_xlpm.t,MATCH(I$4,'[1]Territory Definitions'!$D$4:$M$4,0))&lt;&gt;1,"NOT IN TERRITORY",IF(COUNTIFS('[1]Blackout Brand Fam Areas (Enc)'!$B$6:$B$998,$A60,'[1]Blackout Brand Fam Areas (Enc)'!$C$6:$C$998,I$4,'[1]Blackout Brand Fam Areas (Enc)'!$D$6:$D$998,"Inactive")&gt;0,"BLOCKED","CAN SELL")))))</f>
        <v>CAN SELL</v>
      </c>
      <c r="J60" s="11" t="str">
        <f>IF($A60="","",_xlfn.LET(_xlpm.t,MATCH($B60,'[1]Territory Definitions'!$B$5:$B$14,0),IF(ISNA(_xlpm.t),"NO TERRITORY",IF(INDEX('[1]Territory Definitions'!$D$5:$M$14,_xlpm.t,MATCH(J$4,'[1]Territory Definitions'!$D$4:$M$4,0))&lt;&gt;1,"NOT IN TERRITORY",IF(COUNTIFS('[1]Blackout Brand Fam Areas (Enc)'!$B$6:$B$998,$A60,'[1]Blackout Brand Fam Areas (Enc)'!$C$6:$C$998,J$4,'[1]Blackout Brand Fam Areas (Enc)'!$D$6:$D$998,"Inactive")&gt;0,"BLOCKED","CAN SELL")))))</f>
        <v>CAN SELL</v>
      </c>
      <c r="K60" s="11" t="str">
        <f>IF($A60="","",_xlfn.LET(_xlpm.t,MATCH($B60,'[1]Territory Definitions'!$B$5:$B$14,0),IF(ISNA(_xlpm.t),"NO TERRITORY",IF(INDEX('[1]Territory Definitions'!$D$5:$M$14,_xlpm.t,MATCH(K$4,'[1]Territory Definitions'!$D$4:$M$4,0))&lt;&gt;1,"NOT IN TERRITORY",IF(COUNTIFS('[1]Blackout Brand Fam Areas (Enc)'!$B$6:$B$998,$A60,'[1]Blackout Brand Fam Areas (Enc)'!$C$6:$C$998,K$4,'[1]Blackout Brand Fam Areas (Enc)'!$D$6:$D$998,"Inactive")&gt;0,"BLOCKED","CAN SELL")))))</f>
        <v>NOT IN TERRITORY</v>
      </c>
      <c r="L60" s="11" t="str">
        <f>IF($A60="","",_xlfn.LET(_xlpm.t,MATCH($B60,'[1]Territory Definitions'!$B$5:$B$14,0),IF(ISNA(_xlpm.t),"NO TERRITORY",IF(INDEX('[1]Territory Definitions'!$D$5:$M$14,_xlpm.t,MATCH(L$4,'[1]Territory Definitions'!$D$4:$M$4,0))&lt;&gt;1,"NOT IN TERRITORY",IF(COUNTIFS('[1]Blackout Brand Fam Areas (Enc)'!$B$6:$B$998,$A60,'[1]Blackout Brand Fam Areas (Enc)'!$C$6:$C$998,L$4,'[1]Blackout Brand Fam Areas (Enc)'!$D$6:$D$998,"Inactive")&gt;0,"BLOCKED","CAN SELL")))))</f>
        <v>CAN SELL</v>
      </c>
      <c r="M60" s="12">
        <f>IF($A60="","",COUNTIF($C60:$L60,"CAN SELL"))</f>
        <v>6</v>
      </c>
      <c r="N60" s="13" cm="1">
        <f t="array" ref="N60">IF($A60="","",SUMPRODUCT(($C60:$L60="CAN SELL")*$C$3:$L$3))</f>
        <v>1596</v>
      </c>
      <c r="O60" s="14" t="str">
        <f>IF($A60="","",IF(COUNTIF($A$5:$A$299,$A60)&gt;1,"DUPLICATE - two different territories assigned",IF($B60="** NO TERRITORY SET **","No territory on Brand Family Territory (Enc)","")))</f>
        <v/>
      </c>
      <c r="P60" s="18" t="str">
        <f>IF($A60="","",IFERROR(INDEX([1]Products!$H$4:$H$4801,MATCH($A60,[1]Products!$G$4:$G$4801,0)),"(no products)"))</f>
        <v>Constellation Brands</v>
      </c>
      <c r="Q60" s="19">
        <f>IF($A60="","",COUNTIFS([1]Products!$G$4:$G$4801,$A60,[1]Products!$L$4:$L$4801,"Yes"))</f>
        <v>14</v>
      </c>
      <c r="R60" s="19">
        <f>IF($A60="","",COUNTIFS([1]Products!$G$4:$G$4801,$A60,[1]Products!$L$4:$L$4801,"Yes",[1]Products!$K$4:$K$4801,"Draft"))</f>
        <v>1</v>
      </c>
      <c r="S60" s="19">
        <f>IF($A60="","",COUNTIFS([1]Products!$G$4:$G$4801,$A60,[1]Products!$L$4:$L$4801,"Yes",[1]Products!$K$4:$K$4801,"Package"))</f>
        <v>13</v>
      </c>
      <c r="T60" s="20" t="str" cm="1">
        <f t="array" ref="T60">IF($A60="","",_xlfn.IFS($Q60=0,"NO ACTIVE SKUs",AND($R60&gt;0,$S60&gt;0),"Draft &amp; Package",$R60&gt;0,"Draft only",TRUE,"Package only"))</f>
        <v>Draft &amp; Package</v>
      </c>
    </row>
    <row r="61" spans="1:20" x14ac:dyDescent="0.2">
      <c r="A61" s="9" t="str">
        <v>Corona Familiar</v>
      </c>
      <c r="B61" s="10" t="str">
        <f>IF($A61="","",_xlfn.XLOOKUP($A61,'[1]Brand Family Territory (Enc)'!$A:$A,'[1]Brand Family Territory (Enc)'!$B:$B,"** NO TERRITORY SET **"))</f>
        <v>Core Market</v>
      </c>
      <c r="C61" s="11" t="str">
        <f>IF($A61="","",_xlfn.LET(_xlpm.t,MATCH($B61,'[1]Territory Definitions'!$B$5:$B$14,0),IF(ISNA(_xlpm.t),"NO TERRITORY",IF(INDEX('[1]Territory Definitions'!$D$5:$M$14,_xlpm.t,MATCH(C$4,'[1]Territory Definitions'!$D$4:$M$4,0))&lt;&gt;1,"NOT IN TERRITORY",IF(COUNTIFS('[1]Blackout Brand Fam Areas (Enc)'!$B$6:$B$998,$A61,'[1]Blackout Brand Fam Areas (Enc)'!$C$6:$C$998,C$4,'[1]Blackout Brand Fam Areas (Enc)'!$D$6:$D$998,"Inactive")&gt;0,"BLOCKED","CAN SELL")))))</f>
        <v>CAN SELL</v>
      </c>
      <c r="D61" s="11" t="str">
        <f>IF($A61="","",_xlfn.LET(_xlpm.t,MATCH($B61,'[1]Territory Definitions'!$B$5:$B$14,0),IF(ISNA(_xlpm.t),"NO TERRITORY",IF(INDEX('[1]Territory Definitions'!$D$5:$M$14,_xlpm.t,MATCH(D$4,'[1]Territory Definitions'!$D$4:$M$4,0))&lt;&gt;1,"NOT IN TERRITORY",IF(COUNTIFS('[1]Blackout Brand Fam Areas (Enc)'!$B$6:$B$998,$A61,'[1]Blackout Brand Fam Areas (Enc)'!$C$6:$C$998,D$4,'[1]Blackout Brand Fam Areas (Enc)'!$D$6:$D$998,"Inactive")&gt;0,"BLOCKED","CAN SELL")))))</f>
        <v>CAN SELL</v>
      </c>
      <c r="E61" s="11" t="str">
        <f>IF($A61="","",_xlfn.LET(_xlpm.t,MATCH($B61,'[1]Territory Definitions'!$B$5:$B$14,0),IF(ISNA(_xlpm.t),"NO TERRITORY",IF(INDEX('[1]Territory Definitions'!$D$5:$M$14,_xlpm.t,MATCH(E$4,'[1]Territory Definitions'!$D$4:$M$4,0))&lt;&gt;1,"NOT IN TERRITORY",IF(COUNTIFS('[1]Blackout Brand Fam Areas (Enc)'!$B$6:$B$998,$A61,'[1]Blackout Brand Fam Areas (Enc)'!$C$6:$C$998,E$4,'[1]Blackout Brand Fam Areas (Enc)'!$D$6:$D$998,"Inactive")&gt;0,"BLOCKED","CAN SELL")))))</f>
        <v>CAN SELL</v>
      </c>
      <c r="F61" s="11" t="str">
        <f>IF($A61="","",_xlfn.LET(_xlpm.t,MATCH($B61,'[1]Territory Definitions'!$B$5:$B$14,0),IF(ISNA(_xlpm.t),"NO TERRITORY",IF(INDEX('[1]Territory Definitions'!$D$5:$M$14,_xlpm.t,MATCH(F$4,'[1]Territory Definitions'!$D$4:$M$4,0))&lt;&gt;1,"NOT IN TERRITORY",IF(COUNTIFS('[1]Blackout Brand Fam Areas (Enc)'!$B$6:$B$998,$A61,'[1]Blackout Brand Fam Areas (Enc)'!$C$6:$C$998,F$4,'[1]Blackout Brand Fam Areas (Enc)'!$D$6:$D$998,"Inactive")&gt;0,"BLOCKED","CAN SELL")))))</f>
        <v>NOT IN TERRITORY</v>
      </c>
      <c r="G61" s="11" t="str">
        <f>IF($A61="","",_xlfn.LET(_xlpm.t,MATCH($B61,'[1]Territory Definitions'!$B$5:$B$14,0),IF(ISNA(_xlpm.t),"NO TERRITORY",IF(INDEX('[1]Territory Definitions'!$D$5:$M$14,_xlpm.t,MATCH(G$4,'[1]Territory Definitions'!$D$4:$M$4,0))&lt;&gt;1,"NOT IN TERRITORY",IF(COUNTIFS('[1]Blackout Brand Fam Areas (Enc)'!$B$6:$B$998,$A61,'[1]Blackout Brand Fam Areas (Enc)'!$C$6:$C$998,G$4,'[1]Blackout Brand Fam Areas (Enc)'!$D$6:$D$998,"Inactive")&gt;0,"BLOCKED","CAN SELL")))))</f>
        <v>NOT IN TERRITORY</v>
      </c>
      <c r="H61" s="11" t="str">
        <f>IF($A61="","",_xlfn.LET(_xlpm.t,MATCH($B61,'[1]Territory Definitions'!$B$5:$B$14,0),IF(ISNA(_xlpm.t),"NO TERRITORY",IF(INDEX('[1]Territory Definitions'!$D$5:$M$14,_xlpm.t,MATCH(H$4,'[1]Territory Definitions'!$D$4:$M$4,0))&lt;&gt;1,"NOT IN TERRITORY",IF(COUNTIFS('[1]Blackout Brand Fam Areas (Enc)'!$B$6:$B$998,$A61,'[1]Blackout Brand Fam Areas (Enc)'!$C$6:$C$998,H$4,'[1]Blackout Brand Fam Areas (Enc)'!$D$6:$D$998,"Inactive")&gt;0,"BLOCKED","CAN SELL")))))</f>
        <v>NOT IN TERRITORY</v>
      </c>
      <c r="I61" s="11" t="str">
        <f>IF($A61="","",_xlfn.LET(_xlpm.t,MATCH($B61,'[1]Territory Definitions'!$B$5:$B$14,0),IF(ISNA(_xlpm.t),"NO TERRITORY",IF(INDEX('[1]Territory Definitions'!$D$5:$M$14,_xlpm.t,MATCH(I$4,'[1]Territory Definitions'!$D$4:$M$4,0))&lt;&gt;1,"NOT IN TERRITORY",IF(COUNTIFS('[1]Blackout Brand Fam Areas (Enc)'!$B$6:$B$998,$A61,'[1]Blackout Brand Fam Areas (Enc)'!$C$6:$C$998,I$4,'[1]Blackout Brand Fam Areas (Enc)'!$D$6:$D$998,"Inactive")&gt;0,"BLOCKED","CAN SELL")))))</f>
        <v>CAN SELL</v>
      </c>
      <c r="J61" s="11" t="str">
        <f>IF($A61="","",_xlfn.LET(_xlpm.t,MATCH($B61,'[1]Territory Definitions'!$B$5:$B$14,0),IF(ISNA(_xlpm.t),"NO TERRITORY",IF(INDEX('[1]Territory Definitions'!$D$5:$M$14,_xlpm.t,MATCH(J$4,'[1]Territory Definitions'!$D$4:$M$4,0))&lt;&gt;1,"NOT IN TERRITORY",IF(COUNTIFS('[1]Blackout Brand Fam Areas (Enc)'!$B$6:$B$998,$A61,'[1]Blackout Brand Fam Areas (Enc)'!$C$6:$C$998,J$4,'[1]Blackout Brand Fam Areas (Enc)'!$D$6:$D$998,"Inactive")&gt;0,"BLOCKED","CAN SELL")))))</f>
        <v>CAN SELL</v>
      </c>
      <c r="K61" s="11" t="str">
        <f>IF($A61="","",_xlfn.LET(_xlpm.t,MATCH($B61,'[1]Territory Definitions'!$B$5:$B$14,0),IF(ISNA(_xlpm.t),"NO TERRITORY",IF(INDEX('[1]Territory Definitions'!$D$5:$M$14,_xlpm.t,MATCH(K$4,'[1]Territory Definitions'!$D$4:$M$4,0))&lt;&gt;1,"NOT IN TERRITORY",IF(COUNTIFS('[1]Blackout Brand Fam Areas (Enc)'!$B$6:$B$998,$A61,'[1]Blackout Brand Fam Areas (Enc)'!$C$6:$C$998,K$4,'[1]Blackout Brand Fam Areas (Enc)'!$D$6:$D$998,"Inactive")&gt;0,"BLOCKED","CAN SELL")))))</f>
        <v>NOT IN TERRITORY</v>
      </c>
      <c r="L61" s="11" t="str">
        <f>IF($A61="","",_xlfn.LET(_xlpm.t,MATCH($B61,'[1]Territory Definitions'!$B$5:$B$14,0),IF(ISNA(_xlpm.t),"NO TERRITORY",IF(INDEX('[1]Territory Definitions'!$D$5:$M$14,_xlpm.t,MATCH(L$4,'[1]Territory Definitions'!$D$4:$M$4,0))&lt;&gt;1,"NOT IN TERRITORY",IF(COUNTIFS('[1]Blackout Brand Fam Areas (Enc)'!$B$6:$B$998,$A61,'[1]Blackout Brand Fam Areas (Enc)'!$C$6:$C$998,L$4,'[1]Blackout Brand Fam Areas (Enc)'!$D$6:$D$998,"Inactive")&gt;0,"BLOCKED","CAN SELL")))))</f>
        <v>CAN SELL</v>
      </c>
      <c r="M61" s="12">
        <f>IF($A61="","",COUNTIF($C61:$L61,"CAN SELL"))</f>
        <v>6</v>
      </c>
      <c r="N61" s="13" cm="1">
        <f t="array" ref="N61">IF($A61="","",SUMPRODUCT(($C61:$L61="CAN SELL")*$C$3:$L$3))</f>
        <v>1596</v>
      </c>
      <c r="O61" s="14" t="str">
        <f>IF($A61="","",IF(COUNTIF($A$5:$A$299,$A61)&gt;1,"DUPLICATE - two different territories assigned",IF($B61="** NO TERRITORY SET **","No territory on Brand Family Territory (Enc)","")))</f>
        <v/>
      </c>
      <c r="P61" s="18" t="str">
        <f>IF($A61="","",IFERROR(INDEX([1]Products!$H$4:$H$4801,MATCH($A61,[1]Products!$G$4:$G$4801,0)),"(no products)"))</f>
        <v>Constellation Brands</v>
      </c>
      <c r="Q61" s="19">
        <f>IF($A61="","",COUNTIFS([1]Products!$G$4:$G$4801,$A61,[1]Products!$L$4:$L$4801,"Yes"))</f>
        <v>4</v>
      </c>
      <c r="R61" s="19">
        <f>IF($A61="","",COUNTIFS([1]Products!$G$4:$G$4801,$A61,[1]Products!$L$4:$L$4801,"Yes",[1]Products!$K$4:$K$4801,"Draft"))</f>
        <v>0</v>
      </c>
      <c r="S61" s="19">
        <f>IF($A61="","",COUNTIFS([1]Products!$G$4:$G$4801,$A61,[1]Products!$L$4:$L$4801,"Yes",[1]Products!$K$4:$K$4801,"Package"))</f>
        <v>4</v>
      </c>
      <c r="T61" s="20" t="str" cm="1">
        <f t="array" ref="T61">IF($A61="","",_xlfn.IFS($Q61=0,"NO ACTIVE SKUs",AND($R61&gt;0,$S61&gt;0),"Draft &amp; Package",$R61&gt;0,"Draft only",TRUE,"Package only"))</f>
        <v>Package only</v>
      </c>
    </row>
    <row r="62" spans="1:20" x14ac:dyDescent="0.2">
      <c r="A62" s="9" t="str">
        <v>Corona Light</v>
      </c>
      <c r="B62" s="10" t="str">
        <f>IF($A62="","",_xlfn.XLOOKUP($A62,'[1]Brand Family Territory (Enc)'!$A:$A,'[1]Brand Family Territory (Enc)'!$B:$B,"** NO TERRITORY SET **"))</f>
        <v>Core Market</v>
      </c>
      <c r="C62" s="11" t="str">
        <f>IF($A62="","",_xlfn.LET(_xlpm.t,MATCH($B62,'[1]Territory Definitions'!$B$5:$B$14,0),IF(ISNA(_xlpm.t),"NO TERRITORY",IF(INDEX('[1]Territory Definitions'!$D$5:$M$14,_xlpm.t,MATCH(C$4,'[1]Territory Definitions'!$D$4:$M$4,0))&lt;&gt;1,"NOT IN TERRITORY",IF(COUNTIFS('[1]Blackout Brand Fam Areas (Enc)'!$B$6:$B$998,$A62,'[1]Blackout Brand Fam Areas (Enc)'!$C$6:$C$998,C$4,'[1]Blackout Brand Fam Areas (Enc)'!$D$6:$D$998,"Inactive")&gt;0,"BLOCKED","CAN SELL")))))</f>
        <v>CAN SELL</v>
      </c>
      <c r="D62" s="11" t="str">
        <f>IF($A62="","",_xlfn.LET(_xlpm.t,MATCH($B62,'[1]Territory Definitions'!$B$5:$B$14,0),IF(ISNA(_xlpm.t),"NO TERRITORY",IF(INDEX('[1]Territory Definitions'!$D$5:$M$14,_xlpm.t,MATCH(D$4,'[1]Territory Definitions'!$D$4:$M$4,0))&lt;&gt;1,"NOT IN TERRITORY",IF(COUNTIFS('[1]Blackout Brand Fam Areas (Enc)'!$B$6:$B$998,$A62,'[1]Blackout Brand Fam Areas (Enc)'!$C$6:$C$998,D$4,'[1]Blackout Brand Fam Areas (Enc)'!$D$6:$D$998,"Inactive")&gt;0,"BLOCKED","CAN SELL")))))</f>
        <v>CAN SELL</v>
      </c>
      <c r="E62" s="11" t="str">
        <f>IF($A62="","",_xlfn.LET(_xlpm.t,MATCH($B62,'[1]Territory Definitions'!$B$5:$B$14,0),IF(ISNA(_xlpm.t),"NO TERRITORY",IF(INDEX('[1]Territory Definitions'!$D$5:$M$14,_xlpm.t,MATCH(E$4,'[1]Territory Definitions'!$D$4:$M$4,0))&lt;&gt;1,"NOT IN TERRITORY",IF(COUNTIFS('[1]Blackout Brand Fam Areas (Enc)'!$B$6:$B$998,$A62,'[1]Blackout Brand Fam Areas (Enc)'!$C$6:$C$998,E$4,'[1]Blackout Brand Fam Areas (Enc)'!$D$6:$D$998,"Inactive")&gt;0,"BLOCKED","CAN SELL")))))</f>
        <v>CAN SELL</v>
      </c>
      <c r="F62" s="11" t="str">
        <f>IF($A62="","",_xlfn.LET(_xlpm.t,MATCH($B62,'[1]Territory Definitions'!$B$5:$B$14,0),IF(ISNA(_xlpm.t),"NO TERRITORY",IF(INDEX('[1]Territory Definitions'!$D$5:$M$14,_xlpm.t,MATCH(F$4,'[1]Territory Definitions'!$D$4:$M$4,0))&lt;&gt;1,"NOT IN TERRITORY",IF(COUNTIFS('[1]Blackout Brand Fam Areas (Enc)'!$B$6:$B$998,$A62,'[1]Blackout Brand Fam Areas (Enc)'!$C$6:$C$998,F$4,'[1]Blackout Brand Fam Areas (Enc)'!$D$6:$D$998,"Inactive")&gt;0,"BLOCKED","CAN SELL")))))</f>
        <v>NOT IN TERRITORY</v>
      </c>
      <c r="G62" s="11" t="str">
        <f>IF($A62="","",_xlfn.LET(_xlpm.t,MATCH($B62,'[1]Territory Definitions'!$B$5:$B$14,0),IF(ISNA(_xlpm.t),"NO TERRITORY",IF(INDEX('[1]Territory Definitions'!$D$5:$M$14,_xlpm.t,MATCH(G$4,'[1]Territory Definitions'!$D$4:$M$4,0))&lt;&gt;1,"NOT IN TERRITORY",IF(COUNTIFS('[1]Blackout Brand Fam Areas (Enc)'!$B$6:$B$998,$A62,'[1]Blackout Brand Fam Areas (Enc)'!$C$6:$C$998,G$4,'[1]Blackout Brand Fam Areas (Enc)'!$D$6:$D$998,"Inactive")&gt;0,"BLOCKED","CAN SELL")))))</f>
        <v>NOT IN TERRITORY</v>
      </c>
      <c r="H62" s="11" t="str">
        <f>IF($A62="","",_xlfn.LET(_xlpm.t,MATCH($B62,'[1]Territory Definitions'!$B$5:$B$14,0),IF(ISNA(_xlpm.t),"NO TERRITORY",IF(INDEX('[1]Territory Definitions'!$D$5:$M$14,_xlpm.t,MATCH(H$4,'[1]Territory Definitions'!$D$4:$M$4,0))&lt;&gt;1,"NOT IN TERRITORY",IF(COUNTIFS('[1]Blackout Brand Fam Areas (Enc)'!$B$6:$B$998,$A62,'[1]Blackout Brand Fam Areas (Enc)'!$C$6:$C$998,H$4,'[1]Blackout Brand Fam Areas (Enc)'!$D$6:$D$998,"Inactive")&gt;0,"BLOCKED","CAN SELL")))))</f>
        <v>NOT IN TERRITORY</v>
      </c>
      <c r="I62" s="11" t="str">
        <f>IF($A62="","",_xlfn.LET(_xlpm.t,MATCH($B62,'[1]Territory Definitions'!$B$5:$B$14,0),IF(ISNA(_xlpm.t),"NO TERRITORY",IF(INDEX('[1]Territory Definitions'!$D$5:$M$14,_xlpm.t,MATCH(I$4,'[1]Territory Definitions'!$D$4:$M$4,0))&lt;&gt;1,"NOT IN TERRITORY",IF(COUNTIFS('[1]Blackout Brand Fam Areas (Enc)'!$B$6:$B$998,$A62,'[1]Blackout Brand Fam Areas (Enc)'!$C$6:$C$998,I$4,'[1]Blackout Brand Fam Areas (Enc)'!$D$6:$D$998,"Inactive")&gt;0,"BLOCKED","CAN SELL")))))</f>
        <v>CAN SELL</v>
      </c>
      <c r="J62" s="11" t="str">
        <f>IF($A62="","",_xlfn.LET(_xlpm.t,MATCH($B62,'[1]Territory Definitions'!$B$5:$B$14,0),IF(ISNA(_xlpm.t),"NO TERRITORY",IF(INDEX('[1]Territory Definitions'!$D$5:$M$14,_xlpm.t,MATCH(J$4,'[1]Territory Definitions'!$D$4:$M$4,0))&lt;&gt;1,"NOT IN TERRITORY",IF(COUNTIFS('[1]Blackout Brand Fam Areas (Enc)'!$B$6:$B$998,$A62,'[1]Blackout Brand Fam Areas (Enc)'!$C$6:$C$998,J$4,'[1]Blackout Brand Fam Areas (Enc)'!$D$6:$D$998,"Inactive")&gt;0,"BLOCKED","CAN SELL")))))</f>
        <v>CAN SELL</v>
      </c>
      <c r="K62" s="11" t="str">
        <f>IF($A62="","",_xlfn.LET(_xlpm.t,MATCH($B62,'[1]Territory Definitions'!$B$5:$B$14,0),IF(ISNA(_xlpm.t),"NO TERRITORY",IF(INDEX('[1]Territory Definitions'!$D$5:$M$14,_xlpm.t,MATCH(K$4,'[1]Territory Definitions'!$D$4:$M$4,0))&lt;&gt;1,"NOT IN TERRITORY",IF(COUNTIFS('[1]Blackout Brand Fam Areas (Enc)'!$B$6:$B$998,$A62,'[1]Blackout Brand Fam Areas (Enc)'!$C$6:$C$998,K$4,'[1]Blackout Brand Fam Areas (Enc)'!$D$6:$D$998,"Inactive")&gt;0,"BLOCKED","CAN SELL")))))</f>
        <v>NOT IN TERRITORY</v>
      </c>
      <c r="L62" s="11" t="str">
        <f>IF($A62="","",_xlfn.LET(_xlpm.t,MATCH($B62,'[1]Territory Definitions'!$B$5:$B$14,0),IF(ISNA(_xlpm.t),"NO TERRITORY",IF(INDEX('[1]Territory Definitions'!$D$5:$M$14,_xlpm.t,MATCH(L$4,'[1]Territory Definitions'!$D$4:$M$4,0))&lt;&gt;1,"NOT IN TERRITORY",IF(COUNTIFS('[1]Blackout Brand Fam Areas (Enc)'!$B$6:$B$998,$A62,'[1]Blackout Brand Fam Areas (Enc)'!$C$6:$C$998,L$4,'[1]Blackout Brand Fam Areas (Enc)'!$D$6:$D$998,"Inactive")&gt;0,"BLOCKED","CAN SELL")))))</f>
        <v>CAN SELL</v>
      </c>
      <c r="M62" s="12">
        <f>IF($A62="","",COUNTIF($C62:$L62,"CAN SELL"))</f>
        <v>6</v>
      </c>
      <c r="N62" s="13" cm="1">
        <f t="array" ref="N62">IF($A62="","",SUMPRODUCT(($C62:$L62="CAN SELL")*$C$3:$L$3))</f>
        <v>1596</v>
      </c>
      <c r="O62" s="14" t="str">
        <f>IF($A62="","",IF(COUNTIF($A$5:$A$299,$A62)&gt;1,"DUPLICATE - two different territories assigned",IF($B62="** NO TERRITORY SET **","No territory on Brand Family Territory (Enc)","")))</f>
        <v/>
      </c>
      <c r="P62" s="18" t="str">
        <f>IF($A62="","",IFERROR(INDEX([1]Products!$H$4:$H$4801,MATCH($A62,[1]Products!$G$4:$G$4801,0)),"(no products)"))</f>
        <v>Constellation Brands</v>
      </c>
      <c r="Q62" s="19">
        <f>IF($A62="","",COUNTIFS([1]Products!$G$4:$G$4801,$A62,[1]Products!$L$4:$L$4801,"Yes"))</f>
        <v>7</v>
      </c>
      <c r="R62" s="19">
        <f>IF($A62="","",COUNTIFS([1]Products!$G$4:$G$4801,$A62,[1]Products!$L$4:$L$4801,"Yes",[1]Products!$K$4:$K$4801,"Draft"))</f>
        <v>2</v>
      </c>
      <c r="S62" s="19">
        <f>IF($A62="","",COUNTIFS([1]Products!$G$4:$G$4801,$A62,[1]Products!$L$4:$L$4801,"Yes",[1]Products!$K$4:$K$4801,"Package"))</f>
        <v>5</v>
      </c>
      <c r="T62" s="20" t="str" cm="1">
        <f t="array" ref="T62">IF($A62="","",_xlfn.IFS($Q62=0,"NO ACTIVE SKUs",AND($R62&gt;0,$S62&gt;0),"Draft &amp; Package",$R62&gt;0,"Draft only",TRUE,"Package only"))</f>
        <v>Draft &amp; Package</v>
      </c>
    </row>
    <row r="63" spans="1:20" x14ac:dyDescent="0.2">
      <c r="A63" s="9" t="str">
        <v>Corona NA</v>
      </c>
      <c r="B63" s="10" t="str">
        <f>IF($A63="","",_xlfn.XLOOKUP($A63,'[1]Brand Family Territory (Enc)'!$A:$A,'[1]Brand Family Territory (Enc)'!$B:$B,"** NO TERRITORY SET **"))</f>
        <v>Core Market</v>
      </c>
      <c r="C63" s="11" t="str">
        <f>IF($A63="","",_xlfn.LET(_xlpm.t,MATCH($B63,'[1]Territory Definitions'!$B$5:$B$14,0),IF(ISNA(_xlpm.t),"NO TERRITORY",IF(INDEX('[1]Territory Definitions'!$D$5:$M$14,_xlpm.t,MATCH(C$4,'[1]Territory Definitions'!$D$4:$M$4,0))&lt;&gt;1,"NOT IN TERRITORY",IF(COUNTIFS('[1]Blackout Brand Fam Areas (Enc)'!$B$6:$B$998,$A63,'[1]Blackout Brand Fam Areas (Enc)'!$C$6:$C$998,C$4,'[1]Blackout Brand Fam Areas (Enc)'!$D$6:$D$998,"Inactive")&gt;0,"BLOCKED","CAN SELL")))))</f>
        <v>CAN SELL</v>
      </c>
      <c r="D63" s="11" t="str">
        <f>IF($A63="","",_xlfn.LET(_xlpm.t,MATCH($B63,'[1]Territory Definitions'!$B$5:$B$14,0),IF(ISNA(_xlpm.t),"NO TERRITORY",IF(INDEX('[1]Territory Definitions'!$D$5:$M$14,_xlpm.t,MATCH(D$4,'[1]Territory Definitions'!$D$4:$M$4,0))&lt;&gt;1,"NOT IN TERRITORY",IF(COUNTIFS('[1]Blackout Brand Fam Areas (Enc)'!$B$6:$B$998,$A63,'[1]Blackout Brand Fam Areas (Enc)'!$C$6:$C$998,D$4,'[1]Blackout Brand Fam Areas (Enc)'!$D$6:$D$998,"Inactive")&gt;0,"BLOCKED","CAN SELL")))))</f>
        <v>CAN SELL</v>
      </c>
      <c r="E63" s="11" t="str">
        <f>IF($A63="","",_xlfn.LET(_xlpm.t,MATCH($B63,'[1]Territory Definitions'!$B$5:$B$14,0),IF(ISNA(_xlpm.t),"NO TERRITORY",IF(INDEX('[1]Territory Definitions'!$D$5:$M$14,_xlpm.t,MATCH(E$4,'[1]Territory Definitions'!$D$4:$M$4,0))&lt;&gt;1,"NOT IN TERRITORY",IF(COUNTIFS('[1]Blackout Brand Fam Areas (Enc)'!$B$6:$B$998,$A63,'[1]Blackout Brand Fam Areas (Enc)'!$C$6:$C$998,E$4,'[1]Blackout Brand Fam Areas (Enc)'!$D$6:$D$998,"Inactive")&gt;0,"BLOCKED","CAN SELL")))))</f>
        <v>CAN SELL</v>
      </c>
      <c r="F63" s="11" t="str">
        <f>IF($A63="","",_xlfn.LET(_xlpm.t,MATCH($B63,'[1]Territory Definitions'!$B$5:$B$14,0),IF(ISNA(_xlpm.t),"NO TERRITORY",IF(INDEX('[1]Territory Definitions'!$D$5:$M$14,_xlpm.t,MATCH(F$4,'[1]Territory Definitions'!$D$4:$M$4,0))&lt;&gt;1,"NOT IN TERRITORY",IF(COUNTIFS('[1]Blackout Brand Fam Areas (Enc)'!$B$6:$B$998,$A63,'[1]Blackout Brand Fam Areas (Enc)'!$C$6:$C$998,F$4,'[1]Blackout Brand Fam Areas (Enc)'!$D$6:$D$998,"Inactive")&gt;0,"BLOCKED","CAN SELL")))))</f>
        <v>NOT IN TERRITORY</v>
      </c>
      <c r="G63" s="11" t="str">
        <f>IF($A63="","",_xlfn.LET(_xlpm.t,MATCH($B63,'[1]Territory Definitions'!$B$5:$B$14,0),IF(ISNA(_xlpm.t),"NO TERRITORY",IF(INDEX('[1]Territory Definitions'!$D$5:$M$14,_xlpm.t,MATCH(G$4,'[1]Territory Definitions'!$D$4:$M$4,0))&lt;&gt;1,"NOT IN TERRITORY",IF(COUNTIFS('[1]Blackout Brand Fam Areas (Enc)'!$B$6:$B$998,$A63,'[1]Blackout Brand Fam Areas (Enc)'!$C$6:$C$998,G$4,'[1]Blackout Brand Fam Areas (Enc)'!$D$6:$D$998,"Inactive")&gt;0,"BLOCKED","CAN SELL")))))</f>
        <v>NOT IN TERRITORY</v>
      </c>
      <c r="H63" s="11" t="str">
        <f>IF($A63="","",_xlfn.LET(_xlpm.t,MATCH($B63,'[1]Territory Definitions'!$B$5:$B$14,0),IF(ISNA(_xlpm.t),"NO TERRITORY",IF(INDEX('[1]Territory Definitions'!$D$5:$M$14,_xlpm.t,MATCH(H$4,'[1]Territory Definitions'!$D$4:$M$4,0))&lt;&gt;1,"NOT IN TERRITORY",IF(COUNTIFS('[1]Blackout Brand Fam Areas (Enc)'!$B$6:$B$998,$A63,'[1]Blackout Brand Fam Areas (Enc)'!$C$6:$C$998,H$4,'[1]Blackout Brand Fam Areas (Enc)'!$D$6:$D$998,"Inactive")&gt;0,"BLOCKED","CAN SELL")))))</f>
        <v>NOT IN TERRITORY</v>
      </c>
      <c r="I63" s="11" t="str">
        <f>IF($A63="","",_xlfn.LET(_xlpm.t,MATCH($B63,'[1]Territory Definitions'!$B$5:$B$14,0),IF(ISNA(_xlpm.t),"NO TERRITORY",IF(INDEX('[1]Territory Definitions'!$D$5:$M$14,_xlpm.t,MATCH(I$4,'[1]Territory Definitions'!$D$4:$M$4,0))&lt;&gt;1,"NOT IN TERRITORY",IF(COUNTIFS('[1]Blackout Brand Fam Areas (Enc)'!$B$6:$B$998,$A63,'[1]Blackout Brand Fam Areas (Enc)'!$C$6:$C$998,I$4,'[1]Blackout Brand Fam Areas (Enc)'!$D$6:$D$998,"Inactive")&gt;0,"BLOCKED","CAN SELL")))))</f>
        <v>CAN SELL</v>
      </c>
      <c r="J63" s="11" t="str">
        <f>IF($A63="","",_xlfn.LET(_xlpm.t,MATCH($B63,'[1]Territory Definitions'!$B$5:$B$14,0),IF(ISNA(_xlpm.t),"NO TERRITORY",IF(INDEX('[1]Territory Definitions'!$D$5:$M$14,_xlpm.t,MATCH(J$4,'[1]Territory Definitions'!$D$4:$M$4,0))&lt;&gt;1,"NOT IN TERRITORY",IF(COUNTIFS('[1]Blackout Brand Fam Areas (Enc)'!$B$6:$B$998,$A63,'[1]Blackout Brand Fam Areas (Enc)'!$C$6:$C$998,J$4,'[1]Blackout Brand Fam Areas (Enc)'!$D$6:$D$998,"Inactive")&gt;0,"BLOCKED","CAN SELL")))))</f>
        <v>CAN SELL</v>
      </c>
      <c r="K63" s="11" t="str">
        <f>IF($A63="","",_xlfn.LET(_xlpm.t,MATCH($B63,'[1]Territory Definitions'!$B$5:$B$14,0),IF(ISNA(_xlpm.t),"NO TERRITORY",IF(INDEX('[1]Territory Definitions'!$D$5:$M$14,_xlpm.t,MATCH(K$4,'[1]Territory Definitions'!$D$4:$M$4,0))&lt;&gt;1,"NOT IN TERRITORY",IF(COUNTIFS('[1]Blackout Brand Fam Areas (Enc)'!$B$6:$B$998,$A63,'[1]Blackout Brand Fam Areas (Enc)'!$C$6:$C$998,K$4,'[1]Blackout Brand Fam Areas (Enc)'!$D$6:$D$998,"Inactive")&gt;0,"BLOCKED","CAN SELL")))))</f>
        <v>NOT IN TERRITORY</v>
      </c>
      <c r="L63" s="11" t="str">
        <f>IF($A63="","",_xlfn.LET(_xlpm.t,MATCH($B63,'[1]Territory Definitions'!$B$5:$B$14,0),IF(ISNA(_xlpm.t),"NO TERRITORY",IF(INDEX('[1]Territory Definitions'!$D$5:$M$14,_xlpm.t,MATCH(L$4,'[1]Territory Definitions'!$D$4:$M$4,0))&lt;&gt;1,"NOT IN TERRITORY",IF(COUNTIFS('[1]Blackout Brand Fam Areas (Enc)'!$B$6:$B$998,$A63,'[1]Blackout Brand Fam Areas (Enc)'!$C$6:$C$998,L$4,'[1]Blackout Brand Fam Areas (Enc)'!$D$6:$D$998,"Inactive")&gt;0,"BLOCKED","CAN SELL")))))</f>
        <v>CAN SELL</v>
      </c>
      <c r="M63" s="12">
        <f>IF($A63="","",COUNTIF($C63:$L63,"CAN SELL"))</f>
        <v>6</v>
      </c>
      <c r="N63" s="13" cm="1">
        <f t="array" ref="N63">IF($A63="","",SUMPRODUCT(($C63:$L63="CAN SELL")*$C$3:$L$3))</f>
        <v>1596</v>
      </c>
      <c r="O63" s="14" t="str">
        <f>IF($A63="","",IF(COUNTIF($A$5:$A$299,$A63)&gt;1,"DUPLICATE - two different territories assigned",IF($B63="** NO TERRITORY SET **","No territory on Brand Family Territory (Enc)","")))</f>
        <v/>
      </c>
      <c r="P63" s="18" t="str">
        <f>IF($A63="","",IFERROR(INDEX([1]Products!$H$4:$H$4801,MATCH($A63,[1]Products!$G$4:$G$4801,0)),"(no products)"))</f>
        <v>Constellation Brands</v>
      </c>
      <c r="Q63" s="19">
        <f>IF($A63="","",COUNTIFS([1]Products!$G$4:$G$4801,$A63,[1]Products!$L$4:$L$4801,"Yes"))</f>
        <v>3</v>
      </c>
      <c r="R63" s="19">
        <f>IF($A63="","",COUNTIFS([1]Products!$G$4:$G$4801,$A63,[1]Products!$L$4:$L$4801,"Yes",[1]Products!$K$4:$K$4801,"Draft"))</f>
        <v>0</v>
      </c>
      <c r="S63" s="19">
        <f>IF($A63="","",COUNTIFS([1]Products!$G$4:$G$4801,$A63,[1]Products!$L$4:$L$4801,"Yes",[1]Products!$K$4:$K$4801,"Package"))</f>
        <v>3</v>
      </c>
      <c r="T63" s="20" t="str" cm="1">
        <f t="array" ref="T63">IF($A63="","",_xlfn.IFS($Q63=0,"NO ACTIVE SKUs",AND($R63&gt;0,$S63&gt;0),"Draft &amp; Package",$R63&gt;0,"Draft only",TRUE,"Package only"))</f>
        <v>Package only</v>
      </c>
    </row>
    <row r="64" spans="1:20" x14ac:dyDescent="0.2">
      <c r="A64" s="9" t="str">
        <v>Corona Premier</v>
      </c>
      <c r="B64" s="10" t="str">
        <f>IF($A64="","",_xlfn.XLOOKUP($A64,'[1]Brand Family Territory (Enc)'!$A:$A,'[1]Brand Family Territory (Enc)'!$B:$B,"** NO TERRITORY SET **"))</f>
        <v>Core Market</v>
      </c>
      <c r="C64" s="11" t="str">
        <f>IF($A64="","",_xlfn.LET(_xlpm.t,MATCH($B64,'[1]Territory Definitions'!$B$5:$B$14,0),IF(ISNA(_xlpm.t),"NO TERRITORY",IF(INDEX('[1]Territory Definitions'!$D$5:$M$14,_xlpm.t,MATCH(C$4,'[1]Territory Definitions'!$D$4:$M$4,0))&lt;&gt;1,"NOT IN TERRITORY",IF(COUNTIFS('[1]Blackout Brand Fam Areas (Enc)'!$B$6:$B$998,$A64,'[1]Blackout Brand Fam Areas (Enc)'!$C$6:$C$998,C$4,'[1]Blackout Brand Fam Areas (Enc)'!$D$6:$D$998,"Inactive")&gt;0,"BLOCKED","CAN SELL")))))</f>
        <v>CAN SELL</v>
      </c>
      <c r="D64" s="11" t="str">
        <f>IF($A64="","",_xlfn.LET(_xlpm.t,MATCH($B64,'[1]Territory Definitions'!$B$5:$B$14,0),IF(ISNA(_xlpm.t),"NO TERRITORY",IF(INDEX('[1]Territory Definitions'!$D$5:$M$14,_xlpm.t,MATCH(D$4,'[1]Territory Definitions'!$D$4:$M$4,0))&lt;&gt;1,"NOT IN TERRITORY",IF(COUNTIFS('[1]Blackout Brand Fam Areas (Enc)'!$B$6:$B$998,$A64,'[1]Blackout Brand Fam Areas (Enc)'!$C$6:$C$998,D$4,'[1]Blackout Brand Fam Areas (Enc)'!$D$6:$D$998,"Inactive")&gt;0,"BLOCKED","CAN SELL")))))</f>
        <v>CAN SELL</v>
      </c>
      <c r="E64" s="11" t="str">
        <f>IF($A64="","",_xlfn.LET(_xlpm.t,MATCH($B64,'[1]Territory Definitions'!$B$5:$B$14,0),IF(ISNA(_xlpm.t),"NO TERRITORY",IF(INDEX('[1]Territory Definitions'!$D$5:$M$14,_xlpm.t,MATCH(E$4,'[1]Territory Definitions'!$D$4:$M$4,0))&lt;&gt;1,"NOT IN TERRITORY",IF(COUNTIFS('[1]Blackout Brand Fam Areas (Enc)'!$B$6:$B$998,$A64,'[1]Blackout Brand Fam Areas (Enc)'!$C$6:$C$998,E$4,'[1]Blackout Brand Fam Areas (Enc)'!$D$6:$D$998,"Inactive")&gt;0,"BLOCKED","CAN SELL")))))</f>
        <v>CAN SELL</v>
      </c>
      <c r="F64" s="11" t="str">
        <f>IF($A64="","",_xlfn.LET(_xlpm.t,MATCH($B64,'[1]Territory Definitions'!$B$5:$B$14,0),IF(ISNA(_xlpm.t),"NO TERRITORY",IF(INDEX('[1]Territory Definitions'!$D$5:$M$14,_xlpm.t,MATCH(F$4,'[1]Territory Definitions'!$D$4:$M$4,0))&lt;&gt;1,"NOT IN TERRITORY",IF(COUNTIFS('[1]Blackout Brand Fam Areas (Enc)'!$B$6:$B$998,$A64,'[1]Blackout Brand Fam Areas (Enc)'!$C$6:$C$998,F$4,'[1]Blackout Brand Fam Areas (Enc)'!$D$6:$D$998,"Inactive")&gt;0,"BLOCKED","CAN SELL")))))</f>
        <v>NOT IN TERRITORY</v>
      </c>
      <c r="G64" s="11" t="str">
        <f>IF($A64="","",_xlfn.LET(_xlpm.t,MATCH($B64,'[1]Territory Definitions'!$B$5:$B$14,0),IF(ISNA(_xlpm.t),"NO TERRITORY",IF(INDEX('[1]Territory Definitions'!$D$5:$M$14,_xlpm.t,MATCH(G$4,'[1]Territory Definitions'!$D$4:$M$4,0))&lt;&gt;1,"NOT IN TERRITORY",IF(COUNTIFS('[1]Blackout Brand Fam Areas (Enc)'!$B$6:$B$998,$A64,'[1]Blackout Brand Fam Areas (Enc)'!$C$6:$C$998,G$4,'[1]Blackout Brand Fam Areas (Enc)'!$D$6:$D$998,"Inactive")&gt;0,"BLOCKED","CAN SELL")))))</f>
        <v>NOT IN TERRITORY</v>
      </c>
      <c r="H64" s="11" t="str">
        <f>IF($A64="","",_xlfn.LET(_xlpm.t,MATCH($B64,'[1]Territory Definitions'!$B$5:$B$14,0),IF(ISNA(_xlpm.t),"NO TERRITORY",IF(INDEX('[1]Territory Definitions'!$D$5:$M$14,_xlpm.t,MATCH(H$4,'[1]Territory Definitions'!$D$4:$M$4,0))&lt;&gt;1,"NOT IN TERRITORY",IF(COUNTIFS('[1]Blackout Brand Fam Areas (Enc)'!$B$6:$B$998,$A64,'[1]Blackout Brand Fam Areas (Enc)'!$C$6:$C$998,H$4,'[1]Blackout Brand Fam Areas (Enc)'!$D$6:$D$998,"Inactive")&gt;0,"BLOCKED","CAN SELL")))))</f>
        <v>NOT IN TERRITORY</v>
      </c>
      <c r="I64" s="11" t="str">
        <f>IF($A64="","",_xlfn.LET(_xlpm.t,MATCH($B64,'[1]Territory Definitions'!$B$5:$B$14,0),IF(ISNA(_xlpm.t),"NO TERRITORY",IF(INDEX('[1]Territory Definitions'!$D$5:$M$14,_xlpm.t,MATCH(I$4,'[1]Territory Definitions'!$D$4:$M$4,0))&lt;&gt;1,"NOT IN TERRITORY",IF(COUNTIFS('[1]Blackout Brand Fam Areas (Enc)'!$B$6:$B$998,$A64,'[1]Blackout Brand Fam Areas (Enc)'!$C$6:$C$998,I$4,'[1]Blackout Brand Fam Areas (Enc)'!$D$6:$D$998,"Inactive")&gt;0,"BLOCKED","CAN SELL")))))</f>
        <v>CAN SELL</v>
      </c>
      <c r="J64" s="11" t="str">
        <f>IF($A64="","",_xlfn.LET(_xlpm.t,MATCH($B64,'[1]Territory Definitions'!$B$5:$B$14,0),IF(ISNA(_xlpm.t),"NO TERRITORY",IF(INDEX('[1]Territory Definitions'!$D$5:$M$14,_xlpm.t,MATCH(J$4,'[1]Territory Definitions'!$D$4:$M$4,0))&lt;&gt;1,"NOT IN TERRITORY",IF(COUNTIFS('[1]Blackout Brand Fam Areas (Enc)'!$B$6:$B$998,$A64,'[1]Blackout Brand Fam Areas (Enc)'!$C$6:$C$998,J$4,'[1]Blackout Brand Fam Areas (Enc)'!$D$6:$D$998,"Inactive")&gt;0,"BLOCKED","CAN SELL")))))</f>
        <v>CAN SELL</v>
      </c>
      <c r="K64" s="11" t="str">
        <f>IF($A64="","",_xlfn.LET(_xlpm.t,MATCH($B64,'[1]Territory Definitions'!$B$5:$B$14,0),IF(ISNA(_xlpm.t),"NO TERRITORY",IF(INDEX('[1]Territory Definitions'!$D$5:$M$14,_xlpm.t,MATCH(K$4,'[1]Territory Definitions'!$D$4:$M$4,0))&lt;&gt;1,"NOT IN TERRITORY",IF(COUNTIFS('[1]Blackout Brand Fam Areas (Enc)'!$B$6:$B$998,$A64,'[1]Blackout Brand Fam Areas (Enc)'!$C$6:$C$998,K$4,'[1]Blackout Brand Fam Areas (Enc)'!$D$6:$D$998,"Inactive")&gt;0,"BLOCKED","CAN SELL")))))</f>
        <v>NOT IN TERRITORY</v>
      </c>
      <c r="L64" s="11" t="str">
        <f>IF($A64="","",_xlfn.LET(_xlpm.t,MATCH($B64,'[1]Territory Definitions'!$B$5:$B$14,0),IF(ISNA(_xlpm.t),"NO TERRITORY",IF(INDEX('[1]Territory Definitions'!$D$5:$M$14,_xlpm.t,MATCH(L$4,'[1]Territory Definitions'!$D$4:$M$4,0))&lt;&gt;1,"NOT IN TERRITORY",IF(COUNTIFS('[1]Blackout Brand Fam Areas (Enc)'!$B$6:$B$998,$A64,'[1]Blackout Brand Fam Areas (Enc)'!$C$6:$C$998,L$4,'[1]Blackout Brand Fam Areas (Enc)'!$D$6:$D$998,"Inactive")&gt;0,"BLOCKED","CAN SELL")))))</f>
        <v>CAN SELL</v>
      </c>
      <c r="M64" s="12">
        <f>IF($A64="","",COUNTIF($C64:$L64,"CAN SELL"))</f>
        <v>6</v>
      </c>
      <c r="N64" s="13" cm="1">
        <f t="array" ref="N64">IF($A64="","",SUMPRODUCT(($C64:$L64="CAN SELL")*$C$3:$L$3))</f>
        <v>1596</v>
      </c>
      <c r="O64" s="14" t="str">
        <f>IF($A64="","",IF(COUNTIF($A$5:$A$299,$A64)&gt;1,"DUPLICATE - two different territories assigned",IF($B64="** NO TERRITORY SET **","No territory on Brand Family Territory (Enc)","")))</f>
        <v/>
      </c>
      <c r="P64" s="18" t="str">
        <f>IF($A64="","",IFERROR(INDEX([1]Products!$H$4:$H$4801,MATCH($A64,[1]Products!$G$4:$G$4801,0)),"(no products)"))</f>
        <v>Constellation Brands</v>
      </c>
      <c r="Q64" s="19">
        <f>IF($A64="","",COUNTIFS([1]Products!$G$4:$G$4801,$A64,[1]Products!$L$4:$L$4801,"Yes"))</f>
        <v>8</v>
      </c>
      <c r="R64" s="19">
        <f>IF($A64="","",COUNTIFS([1]Products!$G$4:$G$4801,$A64,[1]Products!$L$4:$L$4801,"Yes",[1]Products!$K$4:$K$4801,"Draft"))</f>
        <v>2</v>
      </c>
      <c r="S64" s="19">
        <f>IF($A64="","",COUNTIFS([1]Products!$G$4:$G$4801,$A64,[1]Products!$L$4:$L$4801,"Yes",[1]Products!$K$4:$K$4801,"Package"))</f>
        <v>6</v>
      </c>
      <c r="T64" s="20" t="str" cm="1">
        <f t="array" ref="T64">IF($A64="","",_xlfn.IFS($Q64=0,"NO ACTIVE SKUs",AND($R64&gt;0,$S64&gt;0),"Draft &amp; Package",$R64&gt;0,"Draft only",TRUE,"Package only"))</f>
        <v>Draft &amp; Package</v>
      </c>
    </row>
    <row r="65" spans="1:20" x14ac:dyDescent="0.2">
      <c r="A65" s="9" t="str">
        <v>Corona Refresca</v>
      </c>
      <c r="B65" s="10" t="str">
        <f>IF($A65="","",_xlfn.XLOOKUP($A65,'[1]Brand Family Territory (Enc)'!$A:$A,'[1]Brand Family Territory (Enc)'!$B:$B,"** NO TERRITORY SET **"))</f>
        <v>Core Market</v>
      </c>
      <c r="C65" s="11" t="str">
        <f>IF($A65="","",_xlfn.LET(_xlpm.t,MATCH($B65,'[1]Territory Definitions'!$B$5:$B$14,0),IF(ISNA(_xlpm.t),"NO TERRITORY",IF(INDEX('[1]Territory Definitions'!$D$5:$M$14,_xlpm.t,MATCH(C$4,'[1]Territory Definitions'!$D$4:$M$4,0))&lt;&gt;1,"NOT IN TERRITORY",IF(COUNTIFS('[1]Blackout Brand Fam Areas (Enc)'!$B$6:$B$998,$A65,'[1]Blackout Brand Fam Areas (Enc)'!$C$6:$C$998,C$4,'[1]Blackout Brand Fam Areas (Enc)'!$D$6:$D$998,"Inactive")&gt;0,"BLOCKED","CAN SELL")))))</f>
        <v>CAN SELL</v>
      </c>
      <c r="D65" s="11" t="str">
        <f>IF($A65="","",_xlfn.LET(_xlpm.t,MATCH($B65,'[1]Territory Definitions'!$B$5:$B$14,0),IF(ISNA(_xlpm.t),"NO TERRITORY",IF(INDEX('[1]Territory Definitions'!$D$5:$M$14,_xlpm.t,MATCH(D$4,'[1]Territory Definitions'!$D$4:$M$4,0))&lt;&gt;1,"NOT IN TERRITORY",IF(COUNTIFS('[1]Blackout Brand Fam Areas (Enc)'!$B$6:$B$998,$A65,'[1]Blackout Brand Fam Areas (Enc)'!$C$6:$C$998,D$4,'[1]Blackout Brand Fam Areas (Enc)'!$D$6:$D$998,"Inactive")&gt;0,"BLOCKED","CAN SELL")))))</f>
        <v>CAN SELL</v>
      </c>
      <c r="E65" s="11" t="str">
        <f>IF($A65="","",_xlfn.LET(_xlpm.t,MATCH($B65,'[1]Territory Definitions'!$B$5:$B$14,0),IF(ISNA(_xlpm.t),"NO TERRITORY",IF(INDEX('[1]Territory Definitions'!$D$5:$M$14,_xlpm.t,MATCH(E$4,'[1]Territory Definitions'!$D$4:$M$4,0))&lt;&gt;1,"NOT IN TERRITORY",IF(COUNTIFS('[1]Blackout Brand Fam Areas (Enc)'!$B$6:$B$998,$A65,'[1]Blackout Brand Fam Areas (Enc)'!$C$6:$C$998,E$4,'[1]Blackout Brand Fam Areas (Enc)'!$D$6:$D$998,"Inactive")&gt;0,"BLOCKED","CAN SELL")))))</f>
        <v>CAN SELL</v>
      </c>
      <c r="F65" s="11" t="str">
        <f>IF($A65="","",_xlfn.LET(_xlpm.t,MATCH($B65,'[1]Territory Definitions'!$B$5:$B$14,0),IF(ISNA(_xlpm.t),"NO TERRITORY",IF(INDEX('[1]Territory Definitions'!$D$5:$M$14,_xlpm.t,MATCH(F$4,'[1]Territory Definitions'!$D$4:$M$4,0))&lt;&gt;1,"NOT IN TERRITORY",IF(COUNTIFS('[1]Blackout Brand Fam Areas (Enc)'!$B$6:$B$998,$A65,'[1]Blackout Brand Fam Areas (Enc)'!$C$6:$C$998,F$4,'[1]Blackout Brand Fam Areas (Enc)'!$D$6:$D$998,"Inactive")&gt;0,"BLOCKED","CAN SELL")))))</f>
        <v>NOT IN TERRITORY</v>
      </c>
      <c r="G65" s="11" t="str">
        <f>IF($A65="","",_xlfn.LET(_xlpm.t,MATCH($B65,'[1]Territory Definitions'!$B$5:$B$14,0),IF(ISNA(_xlpm.t),"NO TERRITORY",IF(INDEX('[1]Territory Definitions'!$D$5:$M$14,_xlpm.t,MATCH(G$4,'[1]Territory Definitions'!$D$4:$M$4,0))&lt;&gt;1,"NOT IN TERRITORY",IF(COUNTIFS('[1]Blackout Brand Fam Areas (Enc)'!$B$6:$B$998,$A65,'[1]Blackout Brand Fam Areas (Enc)'!$C$6:$C$998,G$4,'[1]Blackout Brand Fam Areas (Enc)'!$D$6:$D$998,"Inactive")&gt;0,"BLOCKED","CAN SELL")))))</f>
        <v>NOT IN TERRITORY</v>
      </c>
      <c r="H65" s="11" t="str">
        <f>IF($A65="","",_xlfn.LET(_xlpm.t,MATCH($B65,'[1]Territory Definitions'!$B$5:$B$14,0),IF(ISNA(_xlpm.t),"NO TERRITORY",IF(INDEX('[1]Territory Definitions'!$D$5:$M$14,_xlpm.t,MATCH(H$4,'[1]Territory Definitions'!$D$4:$M$4,0))&lt;&gt;1,"NOT IN TERRITORY",IF(COUNTIFS('[1]Blackout Brand Fam Areas (Enc)'!$B$6:$B$998,$A65,'[1]Blackout Brand Fam Areas (Enc)'!$C$6:$C$998,H$4,'[1]Blackout Brand Fam Areas (Enc)'!$D$6:$D$998,"Inactive")&gt;0,"BLOCKED","CAN SELL")))))</f>
        <v>NOT IN TERRITORY</v>
      </c>
      <c r="I65" s="11" t="str">
        <f>IF($A65="","",_xlfn.LET(_xlpm.t,MATCH($B65,'[1]Territory Definitions'!$B$5:$B$14,0),IF(ISNA(_xlpm.t),"NO TERRITORY",IF(INDEX('[1]Territory Definitions'!$D$5:$M$14,_xlpm.t,MATCH(I$4,'[1]Territory Definitions'!$D$4:$M$4,0))&lt;&gt;1,"NOT IN TERRITORY",IF(COUNTIFS('[1]Blackout Brand Fam Areas (Enc)'!$B$6:$B$998,$A65,'[1]Blackout Brand Fam Areas (Enc)'!$C$6:$C$998,I$4,'[1]Blackout Brand Fam Areas (Enc)'!$D$6:$D$998,"Inactive")&gt;0,"BLOCKED","CAN SELL")))))</f>
        <v>CAN SELL</v>
      </c>
      <c r="J65" s="11" t="str">
        <f>IF($A65="","",_xlfn.LET(_xlpm.t,MATCH($B65,'[1]Territory Definitions'!$B$5:$B$14,0),IF(ISNA(_xlpm.t),"NO TERRITORY",IF(INDEX('[1]Territory Definitions'!$D$5:$M$14,_xlpm.t,MATCH(J$4,'[1]Territory Definitions'!$D$4:$M$4,0))&lt;&gt;1,"NOT IN TERRITORY",IF(COUNTIFS('[1]Blackout Brand Fam Areas (Enc)'!$B$6:$B$998,$A65,'[1]Blackout Brand Fam Areas (Enc)'!$C$6:$C$998,J$4,'[1]Blackout Brand Fam Areas (Enc)'!$D$6:$D$998,"Inactive")&gt;0,"BLOCKED","CAN SELL")))))</f>
        <v>CAN SELL</v>
      </c>
      <c r="K65" s="11" t="str">
        <f>IF($A65="","",_xlfn.LET(_xlpm.t,MATCH($B65,'[1]Territory Definitions'!$B$5:$B$14,0),IF(ISNA(_xlpm.t),"NO TERRITORY",IF(INDEX('[1]Territory Definitions'!$D$5:$M$14,_xlpm.t,MATCH(K$4,'[1]Territory Definitions'!$D$4:$M$4,0))&lt;&gt;1,"NOT IN TERRITORY",IF(COUNTIFS('[1]Blackout Brand Fam Areas (Enc)'!$B$6:$B$998,$A65,'[1]Blackout Brand Fam Areas (Enc)'!$C$6:$C$998,K$4,'[1]Blackout Brand Fam Areas (Enc)'!$D$6:$D$998,"Inactive")&gt;0,"BLOCKED","CAN SELL")))))</f>
        <v>NOT IN TERRITORY</v>
      </c>
      <c r="L65" s="11" t="str">
        <f>IF($A65="","",_xlfn.LET(_xlpm.t,MATCH($B65,'[1]Territory Definitions'!$B$5:$B$14,0),IF(ISNA(_xlpm.t),"NO TERRITORY",IF(INDEX('[1]Territory Definitions'!$D$5:$M$14,_xlpm.t,MATCH(L$4,'[1]Territory Definitions'!$D$4:$M$4,0))&lt;&gt;1,"NOT IN TERRITORY",IF(COUNTIFS('[1]Blackout Brand Fam Areas (Enc)'!$B$6:$B$998,$A65,'[1]Blackout Brand Fam Areas (Enc)'!$C$6:$C$998,L$4,'[1]Blackout Brand Fam Areas (Enc)'!$D$6:$D$998,"Inactive")&gt;0,"BLOCKED","CAN SELL")))))</f>
        <v>CAN SELL</v>
      </c>
      <c r="M65" s="12">
        <f>IF($A65="","",COUNTIF($C65:$L65,"CAN SELL"))</f>
        <v>6</v>
      </c>
      <c r="N65" s="13" cm="1">
        <f t="array" ref="N65">IF($A65="","",SUMPRODUCT(($C65:$L65="CAN SELL")*$C$3:$L$3))</f>
        <v>1596</v>
      </c>
      <c r="O65" s="14" t="str">
        <f>IF($A65="","",IF(COUNTIF($A$5:$A$299,$A65)&gt;1,"DUPLICATE - two different territories assigned",IF($B65="** NO TERRITORY SET **","No territory on Brand Family Territory (Enc)","")))</f>
        <v/>
      </c>
      <c r="P65" s="18" t="str">
        <f>IF($A65="","",IFERROR(INDEX([1]Products!$H$4:$H$4801,MATCH($A65,[1]Products!$G$4:$G$4801,0)),"(no products)"))</f>
        <v>(no products)</v>
      </c>
      <c r="Q65" s="19">
        <f>IF($A65="","",COUNTIFS([1]Products!$G$4:$G$4801,$A65,[1]Products!$L$4:$L$4801,"Yes"))</f>
        <v>0</v>
      </c>
      <c r="R65" s="19">
        <f>IF($A65="","",COUNTIFS([1]Products!$G$4:$G$4801,$A65,[1]Products!$L$4:$L$4801,"Yes",[1]Products!$K$4:$K$4801,"Draft"))</f>
        <v>0</v>
      </c>
      <c r="S65" s="19">
        <f>IF($A65="","",COUNTIFS([1]Products!$G$4:$G$4801,$A65,[1]Products!$L$4:$L$4801,"Yes",[1]Products!$K$4:$K$4801,"Package"))</f>
        <v>0</v>
      </c>
      <c r="T65" s="20" t="str" cm="1">
        <f t="array" ref="T65">IF($A65="","",_xlfn.IFS($Q65=0,"NO ACTIVE SKUs",AND($R65&gt;0,$S65&gt;0),"Draft &amp; Package",$R65&gt;0,"Draft only",TRUE,"Package only"))</f>
        <v>NO ACTIVE SKUs</v>
      </c>
    </row>
    <row r="66" spans="1:20" x14ac:dyDescent="0.2">
      <c r="A66" s="9" t="str">
        <v>Corona Sunbrew</v>
      </c>
      <c r="B66" s="10" t="str">
        <f>IF($A66="","",_xlfn.XLOOKUP($A66,'[1]Brand Family Territory (Enc)'!$A:$A,'[1]Brand Family Territory (Enc)'!$B:$B,"** NO TERRITORY SET **"))</f>
        <v>Core Market</v>
      </c>
      <c r="C66" s="11" t="str">
        <f>IF($A66="","",_xlfn.LET(_xlpm.t,MATCH($B66,'[1]Territory Definitions'!$B$5:$B$14,0),IF(ISNA(_xlpm.t),"NO TERRITORY",IF(INDEX('[1]Territory Definitions'!$D$5:$M$14,_xlpm.t,MATCH(C$4,'[1]Territory Definitions'!$D$4:$M$4,0))&lt;&gt;1,"NOT IN TERRITORY",IF(COUNTIFS('[1]Blackout Brand Fam Areas (Enc)'!$B$6:$B$998,$A66,'[1]Blackout Brand Fam Areas (Enc)'!$C$6:$C$998,C$4,'[1]Blackout Brand Fam Areas (Enc)'!$D$6:$D$998,"Inactive")&gt;0,"BLOCKED","CAN SELL")))))</f>
        <v>CAN SELL</v>
      </c>
      <c r="D66" s="11" t="str">
        <f>IF($A66="","",_xlfn.LET(_xlpm.t,MATCH($B66,'[1]Territory Definitions'!$B$5:$B$14,0),IF(ISNA(_xlpm.t),"NO TERRITORY",IF(INDEX('[1]Territory Definitions'!$D$5:$M$14,_xlpm.t,MATCH(D$4,'[1]Territory Definitions'!$D$4:$M$4,0))&lt;&gt;1,"NOT IN TERRITORY",IF(COUNTIFS('[1]Blackout Brand Fam Areas (Enc)'!$B$6:$B$998,$A66,'[1]Blackout Brand Fam Areas (Enc)'!$C$6:$C$998,D$4,'[1]Blackout Brand Fam Areas (Enc)'!$D$6:$D$998,"Inactive")&gt;0,"BLOCKED","CAN SELL")))))</f>
        <v>CAN SELL</v>
      </c>
      <c r="E66" s="11" t="str">
        <f>IF($A66="","",_xlfn.LET(_xlpm.t,MATCH($B66,'[1]Territory Definitions'!$B$5:$B$14,0),IF(ISNA(_xlpm.t),"NO TERRITORY",IF(INDEX('[1]Territory Definitions'!$D$5:$M$14,_xlpm.t,MATCH(E$4,'[1]Territory Definitions'!$D$4:$M$4,0))&lt;&gt;1,"NOT IN TERRITORY",IF(COUNTIFS('[1]Blackout Brand Fam Areas (Enc)'!$B$6:$B$998,$A66,'[1]Blackout Brand Fam Areas (Enc)'!$C$6:$C$998,E$4,'[1]Blackout Brand Fam Areas (Enc)'!$D$6:$D$998,"Inactive")&gt;0,"BLOCKED","CAN SELL")))))</f>
        <v>CAN SELL</v>
      </c>
      <c r="F66" s="11" t="str">
        <f>IF($A66="","",_xlfn.LET(_xlpm.t,MATCH($B66,'[1]Territory Definitions'!$B$5:$B$14,0),IF(ISNA(_xlpm.t),"NO TERRITORY",IF(INDEX('[1]Territory Definitions'!$D$5:$M$14,_xlpm.t,MATCH(F$4,'[1]Territory Definitions'!$D$4:$M$4,0))&lt;&gt;1,"NOT IN TERRITORY",IF(COUNTIFS('[1]Blackout Brand Fam Areas (Enc)'!$B$6:$B$998,$A66,'[1]Blackout Brand Fam Areas (Enc)'!$C$6:$C$998,F$4,'[1]Blackout Brand Fam Areas (Enc)'!$D$6:$D$998,"Inactive")&gt;0,"BLOCKED","CAN SELL")))))</f>
        <v>NOT IN TERRITORY</v>
      </c>
      <c r="G66" s="11" t="str">
        <f>IF($A66="","",_xlfn.LET(_xlpm.t,MATCH($B66,'[1]Territory Definitions'!$B$5:$B$14,0),IF(ISNA(_xlpm.t),"NO TERRITORY",IF(INDEX('[1]Territory Definitions'!$D$5:$M$14,_xlpm.t,MATCH(G$4,'[1]Territory Definitions'!$D$4:$M$4,0))&lt;&gt;1,"NOT IN TERRITORY",IF(COUNTIFS('[1]Blackout Brand Fam Areas (Enc)'!$B$6:$B$998,$A66,'[1]Blackout Brand Fam Areas (Enc)'!$C$6:$C$998,G$4,'[1]Blackout Brand Fam Areas (Enc)'!$D$6:$D$998,"Inactive")&gt;0,"BLOCKED","CAN SELL")))))</f>
        <v>NOT IN TERRITORY</v>
      </c>
      <c r="H66" s="11" t="str">
        <f>IF($A66="","",_xlfn.LET(_xlpm.t,MATCH($B66,'[1]Territory Definitions'!$B$5:$B$14,0),IF(ISNA(_xlpm.t),"NO TERRITORY",IF(INDEX('[1]Territory Definitions'!$D$5:$M$14,_xlpm.t,MATCH(H$4,'[1]Territory Definitions'!$D$4:$M$4,0))&lt;&gt;1,"NOT IN TERRITORY",IF(COUNTIFS('[1]Blackout Brand Fam Areas (Enc)'!$B$6:$B$998,$A66,'[1]Blackout Brand Fam Areas (Enc)'!$C$6:$C$998,H$4,'[1]Blackout Brand Fam Areas (Enc)'!$D$6:$D$998,"Inactive")&gt;0,"BLOCKED","CAN SELL")))))</f>
        <v>NOT IN TERRITORY</v>
      </c>
      <c r="I66" s="11" t="str">
        <f>IF($A66="","",_xlfn.LET(_xlpm.t,MATCH($B66,'[1]Territory Definitions'!$B$5:$B$14,0),IF(ISNA(_xlpm.t),"NO TERRITORY",IF(INDEX('[1]Territory Definitions'!$D$5:$M$14,_xlpm.t,MATCH(I$4,'[1]Territory Definitions'!$D$4:$M$4,0))&lt;&gt;1,"NOT IN TERRITORY",IF(COUNTIFS('[1]Blackout Brand Fam Areas (Enc)'!$B$6:$B$998,$A66,'[1]Blackout Brand Fam Areas (Enc)'!$C$6:$C$998,I$4,'[1]Blackout Brand Fam Areas (Enc)'!$D$6:$D$998,"Inactive")&gt;0,"BLOCKED","CAN SELL")))))</f>
        <v>CAN SELL</v>
      </c>
      <c r="J66" s="11" t="str">
        <f>IF($A66="","",_xlfn.LET(_xlpm.t,MATCH($B66,'[1]Territory Definitions'!$B$5:$B$14,0),IF(ISNA(_xlpm.t),"NO TERRITORY",IF(INDEX('[1]Territory Definitions'!$D$5:$M$14,_xlpm.t,MATCH(J$4,'[1]Territory Definitions'!$D$4:$M$4,0))&lt;&gt;1,"NOT IN TERRITORY",IF(COUNTIFS('[1]Blackout Brand Fam Areas (Enc)'!$B$6:$B$998,$A66,'[1]Blackout Brand Fam Areas (Enc)'!$C$6:$C$998,J$4,'[1]Blackout Brand Fam Areas (Enc)'!$D$6:$D$998,"Inactive")&gt;0,"BLOCKED","CAN SELL")))))</f>
        <v>CAN SELL</v>
      </c>
      <c r="K66" s="11" t="str">
        <f>IF($A66="","",_xlfn.LET(_xlpm.t,MATCH($B66,'[1]Territory Definitions'!$B$5:$B$14,0),IF(ISNA(_xlpm.t),"NO TERRITORY",IF(INDEX('[1]Territory Definitions'!$D$5:$M$14,_xlpm.t,MATCH(K$4,'[1]Territory Definitions'!$D$4:$M$4,0))&lt;&gt;1,"NOT IN TERRITORY",IF(COUNTIFS('[1]Blackout Brand Fam Areas (Enc)'!$B$6:$B$998,$A66,'[1]Blackout Brand Fam Areas (Enc)'!$C$6:$C$998,K$4,'[1]Blackout Brand Fam Areas (Enc)'!$D$6:$D$998,"Inactive")&gt;0,"BLOCKED","CAN SELL")))))</f>
        <v>NOT IN TERRITORY</v>
      </c>
      <c r="L66" s="11" t="str">
        <f>IF($A66="","",_xlfn.LET(_xlpm.t,MATCH($B66,'[1]Territory Definitions'!$B$5:$B$14,0),IF(ISNA(_xlpm.t),"NO TERRITORY",IF(INDEX('[1]Territory Definitions'!$D$5:$M$14,_xlpm.t,MATCH(L$4,'[1]Territory Definitions'!$D$4:$M$4,0))&lt;&gt;1,"NOT IN TERRITORY",IF(COUNTIFS('[1]Blackout Brand Fam Areas (Enc)'!$B$6:$B$998,$A66,'[1]Blackout Brand Fam Areas (Enc)'!$C$6:$C$998,L$4,'[1]Blackout Brand Fam Areas (Enc)'!$D$6:$D$998,"Inactive")&gt;0,"BLOCKED","CAN SELL")))))</f>
        <v>CAN SELL</v>
      </c>
      <c r="M66" s="12">
        <f>IF($A66="","",COUNTIF($C66:$L66,"CAN SELL"))</f>
        <v>6</v>
      </c>
      <c r="N66" s="13" cm="1">
        <f t="array" ref="N66">IF($A66="","",SUMPRODUCT(($C66:$L66="CAN SELL")*$C$3:$L$3))</f>
        <v>1596</v>
      </c>
      <c r="O66" s="14" t="str">
        <f>IF($A66="","",IF(COUNTIF($A$5:$A$299,$A66)&gt;1,"DUPLICATE - two different territories assigned",IF($B66="** NO TERRITORY SET **","No territory on Brand Family Territory (Enc)","")))</f>
        <v/>
      </c>
      <c r="P66" s="18" t="str">
        <f>IF($A66="","",IFERROR(INDEX([1]Products!$H$4:$H$4801,MATCH($A66,[1]Products!$G$4:$G$4801,0)),"(no products)"))</f>
        <v>Constellation Brands</v>
      </c>
      <c r="Q66" s="19">
        <f>IF($A66="","",COUNTIFS([1]Products!$G$4:$G$4801,$A66,[1]Products!$L$4:$L$4801,"Yes"))</f>
        <v>4</v>
      </c>
      <c r="R66" s="19">
        <f>IF($A66="","",COUNTIFS([1]Products!$G$4:$G$4801,$A66,[1]Products!$L$4:$L$4801,"Yes",[1]Products!$K$4:$K$4801,"Draft"))</f>
        <v>0</v>
      </c>
      <c r="S66" s="19">
        <f>IF($A66="","",COUNTIFS([1]Products!$G$4:$G$4801,$A66,[1]Products!$L$4:$L$4801,"Yes",[1]Products!$K$4:$K$4801,"Package"))</f>
        <v>4</v>
      </c>
      <c r="T66" s="20" t="str" cm="1">
        <f t="array" ref="T66">IF($A66="","",_xlfn.IFS($Q66=0,"NO ACTIVE SKUs",AND($R66&gt;0,$S66&gt;0),"Draft &amp; Package",$R66&gt;0,"Draft only",TRUE,"Package only"))</f>
        <v>Package only</v>
      </c>
    </row>
    <row r="67" spans="1:20" x14ac:dyDescent="0.2">
      <c r="A67" s="9" t="str">
        <v>Costenita</v>
      </c>
      <c r="B67" s="10" t="str">
        <f>IF($A67="","",_xlfn.XLOOKUP($A67,'[1]Brand Family Territory (Enc)'!$A:$A,'[1]Brand Family Territory (Enc)'!$B:$B,"** NO TERRITORY SET **"))</f>
        <v>All Counties</v>
      </c>
      <c r="C67" s="11" t="str">
        <f>IF($A67="","",_xlfn.LET(_xlpm.t,MATCH($B67,'[1]Territory Definitions'!$B$5:$B$14,0),IF(ISNA(_xlpm.t),"NO TERRITORY",IF(INDEX('[1]Territory Definitions'!$D$5:$M$14,_xlpm.t,MATCH(C$4,'[1]Territory Definitions'!$D$4:$M$4,0))&lt;&gt;1,"NOT IN TERRITORY",IF(COUNTIFS('[1]Blackout Brand Fam Areas (Enc)'!$B$6:$B$998,$A67,'[1]Blackout Brand Fam Areas (Enc)'!$C$6:$C$998,C$4,'[1]Blackout Brand Fam Areas (Enc)'!$D$6:$D$998,"Inactive")&gt;0,"BLOCKED","CAN SELL")))))</f>
        <v>CAN SELL</v>
      </c>
      <c r="D67" s="11" t="str">
        <f>IF($A67="","",_xlfn.LET(_xlpm.t,MATCH($B67,'[1]Territory Definitions'!$B$5:$B$14,0),IF(ISNA(_xlpm.t),"NO TERRITORY",IF(INDEX('[1]Territory Definitions'!$D$5:$M$14,_xlpm.t,MATCH(D$4,'[1]Territory Definitions'!$D$4:$M$4,0))&lt;&gt;1,"NOT IN TERRITORY",IF(COUNTIFS('[1]Blackout Brand Fam Areas (Enc)'!$B$6:$B$998,$A67,'[1]Blackout Brand Fam Areas (Enc)'!$C$6:$C$998,D$4,'[1]Blackout Brand Fam Areas (Enc)'!$D$6:$D$998,"Inactive")&gt;0,"BLOCKED","CAN SELL")))))</f>
        <v>CAN SELL</v>
      </c>
      <c r="E67" s="11" t="str">
        <f>IF($A67="","",_xlfn.LET(_xlpm.t,MATCH($B67,'[1]Territory Definitions'!$B$5:$B$14,0),IF(ISNA(_xlpm.t),"NO TERRITORY",IF(INDEX('[1]Territory Definitions'!$D$5:$M$14,_xlpm.t,MATCH(E$4,'[1]Territory Definitions'!$D$4:$M$4,0))&lt;&gt;1,"NOT IN TERRITORY",IF(COUNTIFS('[1]Blackout Brand Fam Areas (Enc)'!$B$6:$B$998,$A67,'[1]Blackout Brand Fam Areas (Enc)'!$C$6:$C$998,E$4,'[1]Blackout Brand Fam Areas (Enc)'!$D$6:$D$998,"Inactive")&gt;0,"BLOCKED","CAN SELL")))))</f>
        <v>CAN SELL</v>
      </c>
      <c r="F67" s="11" t="str">
        <f>IF($A67="","",_xlfn.LET(_xlpm.t,MATCH($B67,'[1]Territory Definitions'!$B$5:$B$14,0),IF(ISNA(_xlpm.t),"NO TERRITORY",IF(INDEX('[1]Territory Definitions'!$D$5:$M$14,_xlpm.t,MATCH(F$4,'[1]Territory Definitions'!$D$4:$M$4,0))&lt;&gt;1,"NOT IN TERRITORY",IF(COUNTIFS('[1]Blackout Brand Fam Areas (Enc)'!$B$6:$B$998,$A67,'[1]Blackout Brand Fam Areas (Enc)'!$C$6:$C$998,F$4,'[1]Blackout Brand Fam Areas (Enc)'!$D$6:$D$998,"Inactive")&gt;0,"BLOCKED","CAN SELL")))))</f>
        <v>CAN SELL</v>
      </c>
      <c r="G67" s="11" t="str">
        <f>IF($A67="","",_xlfn.LET(_xlpm.t,MATCH($B67,'[1]Territory Definitions'!$B$5:$B$14,0),IF(ISNA(_xlpm.t),"NO TERRITORY",IF(INDEX('[1]Territory Definitions'!$D$5:$M$14,_xlpm.t,MATCH(G$4,'[1]Territory Definitions'!$D$4:$M$4,0))&lt;&gt;1,"NOT IN TERRITORY",IF(COUNTIFS('[1]Blackout Brand Fam Areas (Enc)'!$B$6:$B$998,$A67,'[1]Blackout Brand Fam Areas (Enc)'!$C$6:$C$998,G$4,'[1]Blackout Brand Fam Areas (Enc)'!$D$6:$D$998,"Inactive")&gt;0,"BLOCKED","CAN SELL")))))</f>
        <v>CAN SELL</v>
      </c>
      <c r="H67" s="11" t="str">
        <f>IF($A67="","",_xlfn.LET(_xlpm.t,MATCH($B67,'[1]Territory Definitions'!$B$5:$B$14,0),IF(ISNA(_xlpm.t),"NO TERRITORY",IF(INDEX('[1]Territory Definitions'!$D$5:$M$14,_xlpm.t,MATCH(H$4,'[1]Territory Definitions'!$D$4:$M$4,0))&lt;&gt;1,"NOT IN TERRITORY",IF(COUNTIFS('[1]Blackout Brand Fam Areas (Enc)'!$B$6:$B$998,$A67,'[1]Blackout Brand Fam Areas (Enc)'!$C$6:$C$998,H$4,'[1]Blackout Brand Fam Areas (Enc)'!$D$6:$D$998,"Inactive")&gt;0,"BLOCKED","CAN SELL")))))</f>
        <v>CAN SELL</v>
      </c>
      <c r="I67" s="11" t="str">
        <f>IF($A67="","",_xlfn.LET(_xlpm.t,MATCH($B67,'[1]Territory Definitions'!$B$5:$B$14,0),IF(ISNA(_xlpm.t),"NO TERRITORY",IF(INDEX('[1]Territory Definitions'!$D$5:$M$14,_xlpm.t,MATCH(I$4,'[1]Territory Definitions'!$D$4:$M$4,0))&lt;&gt;1,"NOT IN TERRITORY",IF(COUNTIFS('[1]Blackout Brand Fam Areas (Enc)'!$B$6:$B$998,$A67,'[1]Blackout Brand Fam Areas (Enc)'!$C$6:$C$998,I$4,'[1]Blackout Brand Fam Areas (Enc)'!$D$6:$D$998,"Inactive")&gt;0,"BLOCKED","CAN SELL")))))</f>
        <v>CAN SELL</v>
      </c>
      <c r="J67" s="11" t="str">
        <f>IF($A67="","",_xlfn.LET(_xlpm.t,MATCH($B67,'[1]Territory Definitions'!$B$5:$B$14,0),IF(ISNA(_xlpm.t),"NO TERRITORY",IF(INDEX('[1]Territory Definitions'!$D$5:$M$14,_xlpm.t,MATCH(J$4,'[1]Territory Definitions'!$D$4:$M$4,0))&lt;&gt;1,"NOT IN TERRITORY",IF(COUNTIFS('[1]Blackout Brand Fam Areas (Enc)'!$B$6:$B$998,$A67,'[1]Blackout Brand Fam Areas (Enc)'!$C$6:$C$998,J$4,'[1]Blackout Brand Fam Areas (Enc)'!$D$6:$D$998,"Inactive")&gt;0,"BLOCKED","CAN SELL")))))</f>
        <v>CAN SELL</v>
      </c>
      <c r="K67" s="11" t="str">
        <f>IF($A67="","",_xlfn.LET(_xlpm.t,MATCH($B67,'[1]Territory Definitions'!$B$5:$B$14,0),IF(ISNA(_xlpm.t),"NO TERRITORY",IF(INDEX('[1]Territory Definitions'!$D$5:$M$14,_xlpm.t,MATCH(K$4,'[1]Territory Definitions'!$D$4:$M$4,0))&lt;&gt;1,"NOT IN TERRITORY",IF(COUNTIFS('[1]Blackout Brand Fam Areas (Enc)'!$B$6:$B$998,$A67,'[1]Blackout Brand Fam Areas (Enc)'!$C$6:$C$998,K$4,'[1]Blackout Brand Fam Areas (Enc)'!$D$6:$D$998,"Inactive")&gt;0,"BLOCKED","CAN SELL")))))</f>
        <v>CAN SELL</v>
      </c>
      <c r="L67" s="11" t="str">
        <f>IF($A67="","",_xlfn.LET(_xlpm.t,MATCH($B67,'[1]Territory Definitions'!$B$5:$B$14,0),IF(ISNA(_xlpm.t),"NO TERRITORY",IF(INDEX('[1]Territory Definitions'!$D$5:$M$14,_xlpm.t,MATCH(L$4,'[1]Territory Definitions'!$D$4:$M$4,0))&lt;&gt;1,"NOT IN TERRITORY",IF(COUNTIFS('[1]Blackout Brand Fam Areas (Enc)'!$B$6:$B$998,$A67,'[1]Blackout Brand Fam Areas (Enc)'!$C$6:$C$998,L$4,'[1]Blackout Brand Fam Areas (Enc)'!$D$6:$D$998,"Inactive")&gt;0,"BLOCKED","CAN SELL")))))</f>
        <v>CAN SELL</v>
      </c>
      <c r="M67" s="12">
        <f>IF($A67="","",COUNTIF($C67:$L67,"CAN SELL"))</f>
        <v>10</v>
      </c>
      <c r="N67" s="13" cm="1">
        <f t="array" ref="N67">IF($A67="","",SUMPRODUCT(($C67:$L67="CAN SELL")*$C$3:$L$3))</f>
        <v>2306</v>
      </c>
      <c r="O67" s="14" t="str">
        <f>IF($A67="","",IF(COUNTIF($A$5:$A$299,$A67)&gt;1,"DUPLICATE - two different territories assigned",IF($B67="** NO TERRITORY SET **","No territory on Brand Family Territory (Enc)","")))</f>
        <v/>
      </c>
      <c r="P67" s="18" t="str">
        <f>IF($A67="","",IFERROR(INDEX([1]Products!$H$4:$H$4801,MATCH($A67,[1]Products!$G$4:$G$4801,0)),"(no products)"))</f>
        <v>Food &amp; Bev Enterprise LLC</v>
      </c>
      <c r="Q67" s="19">
        <f>IF($A67="","",COUNTIFS([1]Products!$G$4:$G$4801,$A67,[1]Products!$L$4:$L$4801,"Yes"))</f>
        <v>1</v>
      </c>
      <c r="R67" s="19">
        <f>IF($A67="","",COUNTIFS([1]Products!$G$4:$G$4801,$A67,[1]Products!$L$4:$L$4801,"Yes",[1]Products!$K$4:$K$4801,"Draft"))</f>
        <v>0</v>
      </c>
      <c r="S67" s="19">
        <f>IF($A67="","",COUNTIFS([1]Products!$G$4:$G$4801,$A67,[1]Products!$L$4:$L$4801,"Yes",[1]Products!$K$4:$K$4801,"Package"))</f>
        <v>1</v>
      </c>
      <c r="T67" s="20" t="str" cm="1">
        <f t="array" ref="T67">IF($A67="","",_xlfn.IFS($Q67=0,"NO ACTIVE SKUs",AND($R67&gt;0,$S67&gt;0),"Draft &amp; Package",$R67&gt;0,"Draft only",TRUE,"Package only"))</f>
        <v>Package only</v>
      </c>
    </row>
    <row r="68" spans="1:20" x14ac:dyDescent="0.2">
      <c r="A68" s="9" t="str">
        <v>Country Club</v>
      </c>
      <c r="B68" s="10" t="str">
        <f>IF($A68="","",_xlfn.XLOOKUP($A68,'[1]Brand Family Territory (Enc)'!$A:$A,'[1]Brand Family Territory (Enc)'!$B:$B,"** NO TERRITORY SET **"))</f>
        <v>All Counties</v>
      </c>
      <c r="C68" s="11" t="str">
        <f>IF($A68="","",_xlfn.LET(_xlpm.t,MATCH($B68,'[1]Territory Definitions'!$B$5:$B$14,0),IF(ISNA(_xlpm.t),"NO TERRITORY",IF(INDEX('[1]Territory Definitions'!$D$5:$M$14,_xlpm.t,MATCH(C$4,'[1]Territory Definitions'!$D$4:$M$4,0))&lt;&gt;1,"NOT IN TERRITORY",IF(COUNTIFS('[1]Blackout Brand Fam Areas (Enc)'!$B$6:$B$998,$A68,'[1]Blackout Brand Fam Areas (Enc)'!$C$6:$C$998,C$4,'[1]Blackout Brand Fam Areas (Enc)'!$D$6:$D$998,"Inactive")&gt;0,"BLOCKED","CAN SELL")))))</f>
        <v>CAN SELL</v>
      </c>
      <c r="D68" s="11" t="str">
        <f>IF($A68="","",_xlfn.LET(_xlpm.t,MATCH($B68,'[1]Territory Definitions'!$B$5:$B$14,0),IF(ISNA(_xlpm.t),"NO TERRITORY",IF(INDEX('[1]Territory Definitions'!$D$5:$M$14,_xlpm.t,MATCH(D$4,'[1]Territory Definitions'!$D$4:$M$4,0))&lt;&gt;1,"NOT IN TERRITORY",IF(COUNTIFS('[1]Blackout Brand Fam Areas (Enc)'!$B$6:$B$998,$A68,'[1]Blackout Brand Fam Areas (Enc)'!$C$6:$C$998,D$4,'[1]Blackout Brand Fam Areas (Enc)'!$D$6:$D$998,"Inactive")&gt;0,"BLOCKED","CAN SELL")))))</f>
        <v>CAN SELL</v>
      </c>
      <c r="E68" s="11" t="str">
        <f>IF($A68="","",_xlfn.LET(_xlpm.t,MATCH($B68,'[1]Territory Definitions'!$B$5:$B$14,0),IF(ISNA(_xlpm.t),"NO TERRITORY",IF(INDEX('[1]Territory Definitions'!$D$5:$M$14,_xlpm.t,MATCH(E$4,'[1]Territory Definitions'!$D$4:$M$4,0))&lt;&gt;1,"NOT IN TERRITORY",IF(COUNTIFS('[1]Blackout Brand Fam Areas (Enc)'!$B$6:$B$998,$A68,'[1]Blackout Brand Fam Areas (Enc)'!$C$6:$C$998,E$4,'[1]Blackout Brand Fam Areas (Enc)'!$D$6:$D$998,"Inactive")&gt;0,"BLOCKED","CAN SELL")))))</f>
        <v>CAN SELL</v>
      </c>
      <c r="F68" s="11" t="str">
        <f>IF($A68="","",_xlfn.LET(_xlpm.t,MATCH($B68,'[1]Territory Definitions'!$B$5:$B$14,0),IF(ISNA(_xlpm.t),"NO TERRITORY",IF(INDEX('[1]Territory Definitions'!$D$5:$M$14,_xlpm.t,MATCH(F$4,'[1]Territory Definitions'!$D$4:$M$4,0))&lt;&gt;1,"NOT IN TERRITORY",IF(COUNTIFS('[1]Blackout Brand Fam Areas (Enc)'!$B$6:$B$998,$A68,'[1]Blackout Brand Fam Areas (Enc)'!$C$6:$C$998,F$4,'[1]Blackout Brand Fam Areas (Enc)'!$D$6:$D$998,"Inactive")&gt;0,"BLOCKED","CAN SELL")))))</f>
        <v>CAN SELL</v>
      </c>
      <c r="G68" s="11" t="str">
        <f>IF($A68="","",_xlfn.LET(_xlpm.t,MATCH($B68,'[1]Territory Definitions'!$B$5:$B$14,0),IF(ISNA(_xlpm.t),"NO TERRITORY",IF(INDEX('[1]Territory Definitions'!$D$5:$M$14,_xlpm.t,MATCH(G$4,'[1]Territory Definitions'!$D$4:$M$4,0))&lt;&gt;1,"NOT IN TERRITORY",IF(COUNTIFS('[1]Blackout Brand Fam Areas (Enc)'!$B$6:$B$998,$A68,'[1]Blackout Brand Fam Areas (Enc)'!$C$6:$C$998,G$4,'[1]Blackout Brand Fam Areas (Enc)'!$D$6:$D$998,"Inactive")&gt;0,"BLOCKED","CAN SELL")))))</f>
        <v>CAN SELL</v>
      </c>
      <c r="H68" s="11" t="str">
        <f>IF($A68="","",_xlfn.LET(_xlpm.t,MATCH($B68,'[1]Territory Definitions'!$B$5:$B$14,0),IF(ISNA(_xlpm.t),"NO TERRITORY",IF(INDEX('[1]Territory Definitions'!$D$5:$M$14,_xlpm.t,MATCH(H$4,'[1]Territory Definitions'!$D$4:$M$4,0))&lt;&gt;1,"NOT IN TERRITORY",IF(COUNTIFS('[1]Blackout Brand Fam Areas (Enc)'!$B$6:$B$998,$A68,'[1]Blackout Brand Fam Areas (Enc)'!$C$6:$C$998,H$4,'[1]Blackout Brand Fam Areas (Enc)'!$D$6:$D$998,"Inactive")&gt;0,"BLOCKED","CAN SELL")))))</f>
        <v>CAN SELL</v>
      </c>
      <c r="I68" s="11" t="str">
        <f>IF($A68="","",_xlfn.LET(_xlpm.t,MATCH($B68,'[1]Territory Definitions'!$B$5:$B$14,0),IF(ISNA(_xlpm.t),"NO TERRITORY",IF(INDEX('[1]Territory Definitions'!$D$5:$M$14,_xlpm.t,MATCH(I$4,'[1]Territory Definitions'!$D$4:$M$4,0))&lt;&gt;1,"NOT IN TERRITORY",IF(COUNTIFS('[1]Blackout Brand Fam Areas (Enc)'!$B$6:$B$998,$A68,'[1]Blackout Brand Fam Areas (Enc)'!$C$6:$C$998,I$4,'[1]Blackout Brand Fam Areas (Enc)'!$D$6:$D$998,"Inactive")&gt;0,"BLOCKED","CAN SELL")))))</f>
        <v>CAN SELL</v>
      </c>
      <c r="J68" s="11" t="str">
        <f>IF($A68="","",_xlfn.LET(_xlpm.t,MATCH($B68,'[1]Territory Definitions'!$B$5:$B$14,0),IF(ISNA(_xlpm.t),"NO TERRITORY",IF(INDEX('[1]Territory Definitions'!$D$5:$M$14,_xlpm.t,MATCH(J$4,'[1]Territory Definitions'!$D$4:$M$4,0))&lt;&gt;1,"NOT IN TERRITORY",IF(COUNTIFS('[1]Blackout Brand Fam Areas (Enc)'!$B$6:$B$998,$A68,'[1]Blackout Brand Fam Areas (Enc)'!$C$6:$C$998,J$4,'[1]Blackout Brand Fam Areas (Enc)'!$D$6:$D$998,"Inactive")&gt;0,"BLOCKED","CAN SELL")))))</f>
        <v>CAN SELL</v>
      </c>
      <c r="K68" s="11" t="str">
        <f>IF($A68="","",_xlfn.LET(_xlpm.t,MATCH($B68,'[1]Territory Definitions'!$B$5:$B$14,0),IF(ISNA(_xlpm.t),"NO TERRITORY",IF(INDEX('[1]Territory Definitions'!$D$5:$M$14,_xlpm.t,MATCH(K$4,'[1]Territory Definitions'!$D$4:$M$4,0))&lt;&gt;1,"NOT IN TERRITORY",IF(COUNTIFS('[1]Blackout Brand Fam Areas (Enc)'!$B$6:$B$998,$A68,'[1]Blackout Brand Fam Areas (Enc)'!$C$6:$C$998,K$4,'[1]Blackout Brand Fam Areas (Enc)'!$D$6:$D$998,"Inactive")&gt;0,"BLOCKED","CAN SELL")))))</f>
        <v>CAN SELL</v>
      </c>
      <c r="L68" s="11" t="str">
        <f>IF($A68="","",_xlfn.LET(_xlpm.t,MATCH($B68,'[1]Territory Definitions'!$B$5:$B$14,0),IF(ISNA(_xlpm.t),"NO TERRITORY",IF(INDEX('[1]Territory Definitions'!$D$5:$M$14,_xlpm.t,MATCH(L$4,'[1]Territory Definitions'!$D$4:$M$4,0))&lt;&gt;1,"NOT IN TERRITORY",IF(COUNTIFS('[1]Blackout Brand Fam Areas (Enc)'!$B$6:$B$998,$A68,'[1]Blackout Brand Fam Areas (Enc)'!$C$6:$C$998,L$4,'[1]Blackout Brand Fam Areas (Enc)'!$D$6:$D$998,"Inactive")&gt;0,"BLOCKED","CAN SELL")))))</f>
        <v>CAN SELL</v>
      </c>
      <c r="M68" s="12">
        <f>IF($A68="","",COUNTIF($C68:$L68,"CAN SELL"))</f>
        <v>10</v>
      </c>
      <c r="N68" s="13" cm="1">
        <f t="array" ref="N68">IF($A68="","",SUMPRODUCT(($C68:$L68="CAN SELL")*$C$3:$L$3))</f>
        <v>2306</v>
      </c>
      <c r="O68" s="14" t="str">
        <f>IF($A68="","",IF(COUNTIF($A$5:$A$299,$A68)&gt;1,"DUPLICATE - two different territories assigned",IF($B68="** NO TERRITORY SET **","No territory on Brand Family Territory (Enc)","")))</f>
        <v/>
      </c>
      <c r="P68" s="18" t="str">
        <f>IF($A68="","",IFERROR(INDEX([1]Products!$H$4:$H$4801,MATCH($A68,[1]Products!$G$4:$G$4801,0)),"(no products)"))</f>
        <v>Pabst Brewing Company</v>
      </c>
      <c r="Q68" s="19">
        <f>IF($A68="","",COUNTIFS([1]Products!$G$4:$G$4801,$A68,[1]Products!$L$4:$L$4801,"Yes"))</f>
        <v>2</v>
      </c>
      <c r="R68" s="19">
        <f>IF($A68="","",COUNTIFS([1]Products!$G$4:$G$4801,$A68,[1]Products!$L$4:$L$4801,"Yes",[1]Products!$K$4:$K$4801,"Draft"))</f>
        <v>0</v>
      </c>
      <c r="S68" s="19">
        <f>IF($A68="","",COUNTIFS([1]Products!$G$4:$G$4801,$A68,[1]Products!$L$4:$L$4801,"Yes",[1]Products!$K$4:$K$4801,"Package"))</f>
        <v>2</v>
      </c>
      <c r="T68" s="20" t="str" cm="1">
        <f t="array" ref="T68">IF($A68="","",_xlfn.IFS($Q68=0,"NO ACTIVE SKUs",AND($R68&gt;0,$S68&gt;0),"Draft &amp; Package",$R68&gt;0,"Draft only",TRUE,"Package only"))</f>
        <v>Package only</v>
      </c>
    </row>
    <row r="69" spans="1:20" x14ac:dyDescent="0.2">
      <c r="A69" s="9" t="str">
        <v>Craftwell</v>
      </c>
      <c r="B69" s="10" t="str">
        <f>IF($A69="","",_xlfn.XLOOKUP($A69,'[1]Brand Family Territory (Enc)'!$A:$A,'[1]Brand Family Territory (Enc)'!$B:$B,"** NO TERRITORY SET **"))</f>
        <v>Core Market</v>
      </c>
      <c r="C69" s="11" t="str">
        <f>IF($A69="","",_xlfn.LET(_xlpm.t,MATCH($B69,'[1]Territory Definitions'!$B$5:$B$14,0),IF(ISNA(_xlpm.t),"NO TERRITORY",IF(INDEX('[1]Territory Definitions'!$D$5:$M$14,_xlpm.t,MATCH(C$4,'[1]Territory Definitions'!$D$4:$M$4,0))&lt;&gt;1,"NOT IN TERRITORY",IF(COUNTIFS('[1]Blackout Brand Fam Areas (Enc)'!$B$6:$B$998,$A69,'[1]Blackout Brand Fam Areas (Enc)'!$C$6:$C$998,C$4,'[1]Blackout Brand Fam Areas (Enc)'!$D$6:$D$998,"Inactive")&gt;0,"BLOCKED","CAN SELL")))))</f>
        <v>CAN SELL</v>
      </c>
      <c r="D69" s="11" t="str">
        <f>IF($A69="","",_xlfn.LET(_xlpm.t,MATCH($B69,'[1]Territory Definitions'!$B$5:$B$14,0),IF(ISNA(_xlpm.t),"NO TERRITORY",IF(INDEX('[1]Territory Definitions'!$D$5:$M$14,_xlpm.t,MATCH(D$4,'[1]Territory Definitions'!$D$4:$M$4,0))&lt;&gt;1,"NOT IN TERRITORY",IF(COUNTIFS('[1]Blackout Brand Fam Areas (Enc)'!$B$6:$B$998,$A69,'[1]Blackout Brand Fam Areas (Enc)'!$C$6:$C$998,D$4,'[1]Blackout Brand Fam Areas (Enc)'!$D$6:$D$998,"Inactive")&gt;0,"BLOCKED","CAN SELL")))))</f>
        <v>CAN SELL</v>
      </c>
      <c r="E69" s="11" t="str">
        <f>IF($A69="","",_xlfn.LET(_xlpm.t,MATCH($B69,'[1]Territory Definitions'!$B$5:$B$14,0),IF(ISNA(_xlpm.t),"NO TERRITORY",IF(INDEX('[1]Territory Definitions'!$D$5:$M$14,_xlpm.t,MATCH(E$4,'[1]Territory Definitions'!$D$4:$M$4,0))&lt;&gt;1,"NOT IN TERRITORY",IF(COUNTIFS('[1]Blackout Brand Fam Areas (Enc)'!$B$6:$B$998,$A69,'[1]Blackout Brand Fam Areas (Enc)'!$C$6:$C$998,E$4,'[1]Blackout Brand Fam Areas (Enc)'!$D$6:$D$998,"Inactive")&gt;0,"BLOCKED","CAN SELL")))))</f>
        <v>CAN SELL</v>
      </c>
      <c r="F69" s="11" t="str">
        <f>IF($A69="","",_xlfn.LET(_xlpm.t,MATCH($B69,'[1]Territory Definitions'!$B$5:$B$14,0),IF(ISNA(_xlpm.t),"NO TERRITORY",IF(INDEX('[1]Territory Definitions'!$D$5:$M$14,_xlpm.t,MATCH(F$4,'[1]Territory Definitions'!$D$4:$M$4,0))&lt;&gt;1,"NOT IN TERRITORY",IF(COUNTIFS('[1]Blackout Brand Fam Areas (Enc)'!$B$6:$B$998,$A69,'[1]Blackout Brand Fam Areas (Enc)'!$C$6:$C$998,F$4,'[1]Blackout Brand Fam Areas (Enc)'!$D$6:$D$998,"Inactive")&gt;0,"BLOCKED","CAN SELL")))))</f>
        <v>NOT IN TERRITORY</v>
      </c>
      <c r="G69" s="11" t="str">
        <f>IF($A69="","",_xlfn.LET(_xlpm.t,MATCH($B69,'[1]Territory Definitions'!$B$5:$B$14,0),IF(ISNA(_xlpm.t),"NO TERRITORY",IF(INDEX('[1]Territory Definitions'!$D$5:$M$14,_xlpm.t,MATCH(G$4,'[1]Territory Definitions'!$D$4:$M$4,0))&lt;&gt;1,"NOT IN TERRITORY",IF(COUNTIFS('[1]Blackout Brand Fam Areas (Enc)'!$B$6:$B$998,$A69,'[1]Blackout Brand Fam Areas (Enc)'!$C$6:$C$998,G$4,'[1]Blackout Brand Fam Areas (Enc)'!$D$6:$D$998,"Inactive")&gt;0,"BLOCKED","CAN SELL")))))</f>
        <v>NOT IN TERRITORY</v>
      </c>
      <c r="H69" s="11" t="str">
        <f>IF($A69="","",_xlfn.LET(_xlpm.t,MATCH($B69,'[1]Territory Definitions'!$B$5:$B$14,0),IF(ISNA(_xlpm.t),"NO TERRITORY",IF(INDEX('[1]Territory Definitions'!$D$5:$M$14,_xlpm.t,MATCH(H$4,'[1]Territory Definitions'!$D$4:$M$4,0))&lt;&gt;1,"NOT IN TERRITORY",IF(COUNTIFS('[1]Blackout Brand Fam Areas (Enc)'!$B$6:$B$998,$A69,'[1]Blackout Brand Fam Areas (Enc)'!$C$6:$C$998,H$4,'[1]Blackout Brand Fam Areas (Enc)'!$D$6:$D$998,"Inactive")&gt;0,"BLOCKED","CAN SELL")))))</f>
        <v>NOT IN TERRITORY</v>
      </c>
      <c r="I69" s="11" t="str">
        <f>IF($A69="","",_xlfn.LET(_xlpm.t,MATCH($B69,'[1]Territory Definitions'!$B$5:$B$14,0),IF(ISNA(_xlpm.t),"NO TERRITORY",IF(INDEX('[1]Territory Definitions'!$D$5:$M$14,_xlpm.t,MATCH(I$4,'[1]Territory Definitions'!$D$4:$M$4,0))&lt;&gt;1,"NOT IN TERRITORY",IF(COUNTIFS('[1]Blackout Brand Fam Areas (Enc)'!$B$6:$B$998,$A69,'[1]Blackout Brand Fam Areas (Enc)'!$C$6:$C$998,I$4,'[1]Blackout Brand Fam Areas (Enc)'!$D$6:$D$998,"Inactive")&gt;0,"BLOCKED","CAN SELL")))))</f>
        <v>CAN SELL</v>
      </c>
      <c r="J69" s="11" t="str">
        <f>IF($A69="","",_xlfn.LET(_xlpm.t,MATCH($B69,'[1]Territory Definitions'!$B$5:$B$14,0),IF(ISNA(_xlpm.t),"NO TERRITORY",IF(INDEX('[1]Territory Definitions'!$D$5:$M$14,_xlpm.t,MATCH(J$4,'[1]Territory Definitions'!$D$4:$M$4,0))&lt;&gt;1,"NOT IN TERRITORY",IF(COUNTIFS('[1]Blackout Brand Fam Areas (Enc)'!$B$6:$B$998,$A69,'[1]Blackout Brand Fam Areas (Enc)'!$C$6:$C$998,J$4,'[1]Blackout Brand Fam Areas (Enc)'!$D$6:$D$998,"Inactive")&gt;0,"BLOCKED","CAN SELL")))))</f>
        <v>CAN SELL</v>
      </c>
      <c r="K69" s="11" t="str">
        <f>IF($A69="","",_xlfn.LET(_xlpm.t,MATCH($B69,'[1]Territory Definitions'!$B$5:$B$14,0),IF(ISNA(_xlpm.t),"NO TERRITORY",IF(INDEX('[1]Territory Definitions'!$D$5:$M$14,_xlpm.t,MATCH(K$4,'[1]Territory Definitions'!$D$4:$M$4,0))&lt;&gt;1,"NOT IN TERRITORY",IF(COUNTIFS('[1]Blackout Brand Fam Areas (Enc)'!$B$6:$B$998,$A69,'[1]Blackout Brand Fam Areas (Enc)'!$C$6:$C$998,K$4,'[1]Blackout Brand Fam Areas (Enc)'!$D$6:$D$998,"Inactive")&gt;0,"BLOCKED","CAN SELL")))))</f>
        <v>NOT IN TERRITORY</v>
      </c>
      <c r="L69" s="11" t="str">
        <f>IF($A69="","",_xlfn.LET(_xlpm.t,MATCH($B69,'[1]Territory Definitions'!$B$5:$B$14,0),IF(ISNA(_xlpm.t),"NO TERRITORY",IF(INDEX('[1]Territory Definitions'!$D$5:$M$14,_xlpm.t,MATCH(L$4,'[1]Territory Definitions'!$D$4:$M$4,0))&lt;&gt;1,"NOT IN TERRITORY",IF(COUNTIFS('[1]Blackout Brand Fam Areas (Enc)'!$B$6:$B$998,$A69,'[1]Blackout Brand Fam Areas (Enc)'!$C$6:$C$998,L$4,'[1]Blackout Brand Fam Areas (Enc)'!$D$6:$D$998,"Inactive")&gt;0,"BLOCKED","CAN SELL")))))</f>
        <v>CAN SELL</v>
      </c>
      <c r="M69" s="12">
        <f>IF($A69="","",COUNTIF($C69:$L69,"CAN SELL"))</f>
        <v>6</v>
      </c>
      <c r="N69" s="13" cm="1">
        <f t="array" ref="N69">IF($A69="","",SUMPRODUCT(($C69:$L69="CAN SELL")*$C$3:$L$3))</f>
        <v>1596</v>
      </c>
      <c r="O69" s="14" t="str">
        <f>IF($A69="","",IF(COUNTIF($A$5:$A$299,$A69)&gt;1,"DUPLICATE - two different territories assigned",IF($B69="** NO TERRITORY SET **","No territory on Brand Family Territory (Enc)","")))</f>
        <v/>
      </c>
      <c r="P69" s="18" t="str">
        <f>IF($A69="","",IFERROR(INDEX([1]Products!$H$4:$H$4801,MATCH($A69,[1]Products!$G$4:$G$4801,0)),"(no products)"))</f>
        <v>2 Towns Ciderhouse</v>
      </c>
      <c r="Q69" s="19">
        <f>IF($A69="","",COUNTIFS([1]Products!$G$4:$G$4801,$A69,[1]Products!$L$4:$L$4801,"Yes"))</f>
        <v>0</v>
      </c>
      <c r="R69" s="19">
        <f>IF($A69="","",COUNTIFS([1]Products!$G$4:$G$4801,$A69,[1]Products!$L$4:$L$4801,"Yes",[1]Products!$K$4:$K$4801,"Draft"))</f>
        <v>0</v>
      </c>
      <c r="S69" s="19">
        <f>IF($A69="","",COUNTIFS([1]Products!$G$4:$G$4801,$A69,[1]Products!$L$4:$L$4801,"Yes",[1]Products!$K$4:$K$4801,"Package"))</f>
        <v>0</v>
      </c>
      <c r="T69" s="20" t="str" cm="1">
        <f t="array" ref="T69">IF($A69="","",_xlfn.IFS($Q69=0,"NO ACTIVE SKUs",AND($R69&gt;0,$S69&gt;0),"Draft &amp; Package",$R69&gt;0,"Draft only",TRUE,"Package only"))</f>
        <v>NO ACTIVE SKUs</v>
      </c>
    </row>
    <row r="70" spans="1:20" x14ac:dyDescent="0.2">
      <c r="A70" s="9" t="str">
        <v>Crescent 9</v>
      </c>
      <c r="B70" s="10" t="str">
        <f>IF($A70="","",_xlfn.XLOOKUP($A70,'[1]Brand Family Territory (Enc)'!$A:$A,'[1]Brand Family Territory (Enc)'!$B:$B,"** NO TERRITORY SET **"))</f>
        <v>All Counties</v>
      </c>
      <c r="C70" s="11" t="str">
        <f>IF($A70="","",_xlfn.LET(_xlpm.t,MATCH($B70,'[1]Territory Definitions'!$B$5:$B$14,0),IF(ISNA(_xlpm.t),"NO TERRITORY",IF(INDEX('[1]Territory Definitions'!$D$5:$M$14,_xlpm.t,MATCH(C$4,'[1]Territory Definitions'!$D$4:$M$4,0))&lt;&gt;1,"NOT IN TERRITORY",IF(COUNTIFS('[1]Blackout Brand Fam Areas (Enc)'!$B$6:$B$998,$A70,'[1]Blackout Brand Fam Areas (Enc)'!$C$6:$C$998,C$4,'[1]Blackout Brand Fam Areas (Enc)'!$D$6:$D$998,"Inactive")&gt;0,"BLOCKED","CAN SELL")))))</f>
        <v>CAN SELL</v>
      </c>
      <c r="D70" s="11" t="str">
        <f>IF($A70="","",_xlfn.LET(_xlpm.t,MATCH($B70,'[1]Territory Definitions'!$B$5:$B$14,0),IF(ISNA(_xlpm.t),"NO TERRITORY",IF(INDEX('[1]Territory Definitions'!$D$5:$M$14,_xlpm.t,MATCH(D$4,'[1]Territory Definitions'!$D$4:$M$4,0))&lt;&gt;1,"NOT IN TERRITORY",IF(COUNTIFS('[1]Blackout Brand Fam Areas (Enc)'!$B$6:$B$998,$A70,'[1]Blackout Brand Fam Areas (Enc)'!$C$6:$C$998,D$4,'[1]Blackout Brand Fam Areas (Enc)'!$D$6:$D$998,"Inactive")&gt;0,"BLOCKED","CAN SELL")))))</f>
        <v>CAN SELL</v>
      </c>
      <c r="E70" s="11" t="str">
        <f>IF($A70="","",_xlfn.LET(_xlpm.t,MATCH($B70,'[1]Territory Definitions'!$B$5:$B$14,0),IF(ISNA(_xlpm.t),"NO TERRITORY",IF(INDEX('[1]Territory Definitions'!$D$5:$M$14,_xlpm.t,MATCH(E$4,'[1]Territory Definitions'!$D$4:$M$4,0))&lt;&gt;1,"NOT IN TERRITORY",IF(COUNTIFS('[1]Blackout Brand Fam Areas (Enc)'!$B$6:$B$998,$A70,'[1]Blackout Brand Fam Areas (Enc)'!$C$6:$C$998,E$4,'[1]Blackout Brand Fam Areas (Enc)'!$D$6:$D$998,"Inactive")&gt;0,"BLOCKED","CAN SELL")))))</f>
        <v>CAN SELL</v>
      </c>
      <c r="F70" s="11" t="str">
        <f>IF($A70="","",_xlfn.LET(_xlpm.t,MATCH($B70,'[1]Territory Definitions'!$B$5:$B$14,0),IF(ISNA(_xlpm.t),"NO TERRITORY",IF(INDEX('[1]Territory Definitions'!$D$5:$M$14,_xlpm.t,MATCH(F$4,'[1]Territory Definitions'!$D$4:$M$4,0))&lt;&gt;1,"NOT IN TERRITORY",IF(COUNTIFS('[1]Blackout Brand Fam Areas (Enc)'!$B$6:$B$998,$A70,'[1]Blackout Brand Fam Areas (Enc)'!$C$6:$C$998,F$4,'[1]Blackout Brand Fam Areas (Enc)'!$D$6:$D$998,"Inactive")&gt;0,"BLOCKED","CAN SELL")))))</f>
        <v>CAN SELL</v>
      </c>
      <c r="G70" s="11" t="str">
        <f>IF($A70="","",_xlfn.LET(_xlpm.t,MATCH($B70,'[1]Territory Definitions'!$B$5:$B$14,0),IF(ISNA(_xlpm.t),"NO TERRITORY",IF(INDEX('[1]Territory Definitions'!$D$5:$M$14,_xlpm.t,MATCH(G$4,'[1]Territory Definitions'!$D$4:$M$4,0))&lt;&gt;1,"NOT IN TERRITORY",IF(COUNTIFS('[1]Blackout Brand Fam Areas (Enc)'!$B$6:$B$998,$A70,'[1]Blackout Brand Fam Areas (Enc)'!$C$6:$C$998,G$4,'[1]Blackout Brand Fam Areas (Enc)'!$D$6:$D$998,"Inactive")&gt;0,"BLOCKED","CAN SELL")))))</f>
        <v>CAN SELL</v>
      </c>
      <c r="H70" s="11" t="str">
        <f>IF($A70="","",_xlfn.LET(_xlpm.t,MATCH($B70,'[1]Territory Definitions'!$B$5:$B$14,0),IF(ISNA(_xlpm.t),"NO TERRITORY",IF(INDEX('[1]Territory Definitions'!$D$5:$M$14,_xlpm.t,MATCH(H$4,'[1]Territory Definitions'!$D$4:$M$4,0))&lt;&gt;1,"NOT IN TERRITORY",IF(COUNTIFS('[1]Blackout Brand Fam Areas (Enc)'!$B$6:$B$998,$A70,'[1]Blackout Brand Fam Areas (Enc)'!$C$6:$C$998,H$4,'[1]Blackout Brand Fam Areas (Enc)'!$D$6:$D$998,"Inactive")&gt;0,"BLOCKED","CAN SELL")))))</f>
        <v>CAN SELL</v>
      </c>
      <c r="I70" s="11" t="str">
        <f>IF($A70="","",_xlfn.LET(_xlpm.t,MATCH($B70,'[1]Territory Definitions'!$B$5:$B$14,0),IF(ISNA(_xlpm.t),"NO TERRITORY",IF(INDEX('[1]Territory Definitions'!$D$5:$M$14,_xlpm.t,MATCH(I$4,'[1]Territory Definitions'!$D$4:$M$4,0))&lt;&gt;1,"NOT IN TERRITORY",IF(COUNTIFS('[1]Blackout Brand Fam Areas (Enc)'!$B$6:$B$998,$A70,'[1]Blackout Brand Fam Areas (Enc)'!$C$6:$C$998,I$4,'[1]Blackout Brand Fam Areas (Enc)'!$D$6:$D$998,"Inactive")&gt;0,"BLOCKED","CAN SELL")))))</f>
        <v>CAN SELL</v>
      </c>
      <c r="J70" s="11" t="str">
        <f>IF($A70="","",_xlfn.LET(_xlpm.t,MATCH($B70,'[1]Territory Definitions'!$B$5:$B$14,0),IF(ISNA(_xlpm.t),"NO TERRITORY",IF(INDEX('[1]Territory Definitions'!$D$5:$M$14,_xlpm.t,MATCH(J$4,'[1]Territory Definitions'!$D$4:$M$4,0))&lt;&gt;1,"NOT IN TERRITORY",IF(COUNTIFS('[1]Blackout Brand Fam Areas (Enc)'!$B$6:$B$998,$A70,'[1]Blackout Brand Fam Areas (Enc)'!$C$6:$C$998,J$4,'[1]Blackout Brand Fam Areas (Enc)'!$D$6:$D$998,"Inactive")&gt;0,"BLOCKED","CAN SELL")))))</f>
        <v>CAN SELL</v>
      </c>
      <c r="K70" s="11" t="str">
        <f>IF($A70="","",_xlfn.LET(_xlpm.t,MATCH($B70,'[1]Territory Definitions'!$B$5:$B$14,0),IF(ISNA(_xlpm.t),"NO TERRITORY",IF(INDEX('[1]Territory Definitions'!$D$5:$M$14,_xlpm.t,MATCH(K$4,'[1]Territory Definitions'!$D$4:$M$4,0))&lt;&gt;1,"NOT IN TERRITORY",IF(COUNTIFS('[1]Blackout Brand Fam Areas (Enc)'!$B$6:$B$998,$A70,'[1]Blackout Brand Fam Areas (Enc)'!$C$6:$C$998,K$4,'[1]Blackout Brand Fam Areas (Enc)'!$D$6:$D$998,"Inactive")&gt;0,"BLOCKED","CAN SELL")))))</f>
        <v>CAN SELL</v>
      </c>
      <c r="L70" s="11" t="str">
        <f>IF($A70="","",_xlfn.LET(_xlpm.t,MATCH($B70,'[1]Territory Definitions'!$B$5:$B$14,0),IF(ISNA(_xlpm.t),"NO TERRITORY",IF(INDEX('[1]Territory Definitions'!$D$5:$M$14,_xlpm.t,MATCH(L$4,'[1]Territory Definitions'!$D$4:$M$4,0))&lt;&gt;1,"NOT IN TERRITORY",IF(COUNTIFS('[1]Blackout Brand Fam Areas (Enc)'!$B$6:$B$998,$A70,'[1]Blackout Brand Fam Areas (Enc)'!$C$6:$C$998,L$4,'[1]Blackout Brand Fam Areas (Enc)'!$D$6:$D$998,"Inactive")&gt;0,"BLOCKED","CAN SELL")))))</f>
        <v>CAN SELL</v>
      </c>
      <c r="M70" s="12">
        <f>IF($A70="","",COUNTIF($C70:$L70,"CAN SELL"))</f>
        <v>10</v>
      </c>
      <c r="N70" s="13" cm="1">
        <f t="array" ref="N70">IF($A70="","",SUMPRODUCT(($C70:$L70="CAN SELL")*$C$3:$L$3))</f>
        <v>2306</v>
      </c>
      <c r="O70" s="14" t="str">
        <f>IF($A70="","",IF(COUNTIF($A$5:$A$299,$A70)&gt;1,"DUPLICATE - two different territories assigned",IF($B70="** NO TERRITORY SET **","No territory on Brand Family Territory (Enc)","")))</f>
        <v/>
      </c>
      <c r="P70" s="18" t="str">
        <f>IF($A70="","",IFERROR(INDEX([1]Products!$H$4:$H$4801,MATCH($A70,[1]Products!$G$4:$G$4801,0)),"(no products)"))</f>
        <v>Crescent Canna</v>
      </c>
      <c r="Q70" s="19">
        <f>IF($A70="","",COUNTIFS([1]Products!$G$4:$G$4801,$A70,[1]Products!$L$4:$L$4801,"Yes"))</f>
        <v>6</v>
      </c>
      <c r="R70" s="19">
        <f>IF($A70="","",COUNTIFS([1]Products!$G$4:$G$4801,$A70,[1]Products!$L$4:$L$4801,"Yes",[1]Products!$K$4:$K$4801,"Draft"))</f>
        <v>0</v>
      </c>
      <c r="S70" s="19">
        <f>IF($A70="","",COUNTIFS([1]Products!$G$4:$G$4801,$A70,[1]Products!$L$4:$L$4801,"Yes",[1]Products!$K$4:$K$4801,"Package"))</f>
        <v>6</v>
      </c>
      <c r="T70" s="20" t="str" cm="1">
        <f t="array" ref="T70">IF($A70="","",_xlfn.IFS($Q70=0,"NO ACTIVE SKUs",AND($R70&gt;0,$S70&gt;0),"Draft &amp; Package",$R70&gt;0,"Draft only",TRUE,"Package only"))</f>
        <v>Package only</v>
      </c>
    </row>
    <row r="71" spans="1:20" x14ac:dyDescent="0.2">
      <c r="A71" s="9" t="str">
        <v>Cricket Hill</v>
      </c>
      <c r="B71" s="10" t="str">
        <f>IF($A71="","",_xlfn.XLOOKUP($A71,'[1]Brand Family Territory (Enc)'!$A:$A,'[1]Brand Family Territory (Enc)'!$B:$B,"** NO TERRITORY SET **"))</f>
        <v>All Counties</v>
      </c>
      <c r="C71" s="11" t="str">
        <f>IF($A71="","",_xlfn.LET(_xlpm.t,MATCH($B71,'[1]Territory Definitions'!$B$5:$B$14,0),IF(ISNA(_xlpm.t),"NO TERRITORY",IF(INDEX('[1]Territory Definitions'!$D$5:$M$14,_xlpm.t,MATCH(C$4,'[1]Territory Definitions'!$D$4:$M$4,0))&lt;&gt;1,"NOT IN TERRITORY",IF(COUNTIFS('[1]Blackout Brand Fam Areas (Enc)'!$B$6:$B$998,$A71,'[1]Blackout Brand Fam Areas (Enc)'!$C$6:$C$998,C$4,'[1]Blackout Brand Fam Areas (Enc)'!$D$6:$D$998,"Inactive")&gt;0,"BLOCKED","CAN SELL")))))</f>
        <v>CAN SELL</v>
      </c>
      <c r="D71" s="11" t="str">
        <f>IF($A71="","",_xlfn.LET(_xlpm.t,MATCH($B71,'[1]Territory Definitions'!$B$5:$B$14,0),IF(ISNA(_xlpm.t),"NO TERRITORY",IF(INDEX('[1]Territory Definitions'!$D$5:$M$14,_xlpm.t,MATCH(D$4,'[1]Territory Definitions'!$D$4:$M$4,0))&lt;&gt;1,"NOT IN TERRITORY",IF(COUNTIFS('[1]Blackout Brand Fam Areas (Enc)'!$B$6:$B$998,$A71,'[1]Blackout Brand Fam Areas (Enc)'!$C$6:$C$998,D$4,'[1]Blackout Brand Fam Areas (Enc)'!$D$6:$D$998,"Inactive")&gt;0,"BLOCKED","CAN SELL")))))</f>
        <v>CAN SELL</v>
      </c>
      <c r="E71" s="11" t="str">
        <f>IF($A71="","",_xlfn.LET(_xlpm.t,MATCH($B71,'[1]Territory Definitions'!$B$5:$B$14,0),IF(ISNA(_xlpm.t),"NO TERRITORY",IF(INDEX('[1]Territory Definitions'!$D$5:$M$14,_xlpm.t,MATCH(E$4,'[1]Territory Definitions'!$D$4:$M$4,0))&lt;&gt;1,"NOT IN TERRITORY",IF(COUNTIFS('[1]Blackout Brand Fam Areas (Enc)'!$B$6:$B$998,$A71,'[1]Blackout Brand Fam Areas (Enc)'!$C$6:$C$998,E$4,'[1]Blackout Brand Fam Areas (Enc)'!$D$6:$D$998,"Inactive")&gt;0,"BLOCKED","CAN SELL")))))</f>
        <v>CAN SELL</v>
      </c>
      <c r="F71" s="11" t="str">
        <f>IF($A71="","",_xlfn.LET(_xlpm.t,MATCH($B71,'[1]Territory Definitions'!$B$5:$B$14,0),IF(ISNA(_xlpm.t),"NO TERRITORY",IF(INDEX('[1]Territory Definitions'!$D$5:$M$14,_xlpm.t,MATCH(F$4,'[1]Territory Definitions'!$D$4:$M$4,0))&lt;&gt;1,"NOT IN TERRITORY",IF(COUNTIFS('[1]Blackout Brand Fam Areas (Enc)'!$B$6:$B$998,$A71,'[1]Blackout Brand Fam Areas (Enc)'!$C$6:$C$998,F$4,'[1]Blackout Brand Fam Areas (Enc)'!$D$6:$D$998,"Inactive")&gt;0,"BLOCKED","CAN SELL")))))</f>
        <v>CAN SELL</v>
      </c>
      <c r="G71" s="11" t="str">
        <f>IF($A71="","",_xlfn.LET(_xlpm.t,MATCH($B71,'[1]Territory Definitions'!$B$5:$B$14,0),IF(ISNA(_xlpm.t),"NO TERRITORY",IF(INDEX('[1]Territory Definitions'!$D$5:$M$14,_xlpm.t,MATCH(G$4,'[1]Territory Definitions'!$D$4:$M$4,0))&lt;&gt;1,"NOT IN TERRITORY",IF(COUNTIFS('[1]Blackout Brand Fam Areas (Enc)'!$B$6:$B$998,$A71,'[1]Blackout Brand Fam Areas (Enc)'!$C$6:$C$998,G$4,'[1]Blackout Brand Fam Areas (Enc)'!$D$6:$D$998,"Inactive")&gt;0,"BLOCKED","CAN SELL")))))</f>
        <v>CAN SELL</v>
      </c>
      <c r="H71" s="11" t="str">
        <f>IF($A71="","",_xlfn.LET(_xlpm.t,MATCH($B71,'[1]Territory Definitions'!$B$5:$B$14,0),IF(ISNA(_xlpm.t),"NO TERRITORY",IF(INDEX('[1]Territory Definitions'!$D$5:$M$14,_xlpm.t,MATCH(H$4,'[1]Territory Definitions'!$D$4:$M$4,0))&lt;&gt;1,"NOT IN TERRITORY",IF(COUNTIFS('[1]Blackout Brand Fam Areas (Enc)'!$B$6:$B$998,$A71,'[1]Blackout Brand Fam Areas (Enc)'!$C$6:$C$998,H$4,'[1]Blackout Brand Fam Areas (Enc)'!$D$6:$D$998,"Inactive")&gt;0,"BLOCKED","CAN SELL")))))</f>
        <v>CAN SELL</v>
      </c>
      <c r="I71" s="11" t="str">
        <f>IF($A71="","",_xlfn.LET(_xlpm.t,MATCH($B71,'[1]Territory Definitions'!$B$5:$B$14,0),IF(ISNA(_xlpm.t),"NO TERRITORY",IF(INDEX('[1]Territory Definitions'!$D$5:$M$14,_xlpm.t,MATCH(I$4,'[1]Territory Definitions'!$D$4:$M$4,0))&lt;&gt;1,"NOT IN TERRITORY",IF(COUNTIFS('[1]Blackout Brand Fam Areas (Enc)'!$B$6:$B$998,$A71,'[1]Blackout Brand Fam Areas (Enc)'!$C$6:$C$998,I$4,'[1]Blackout Brand Fam Areas (Enc)'!$D$6:$D$998,"Inactive")&gt;0,"BLOCKED","CAN SELL")))))</f>
        <v>CAN SELL</v>
      </c>
      <c r="J71" s="11" t="str">
        <f>IF($A71="","",_xlfn.LET(_xlpm.t,MATCH($B71,'[1]Territory Definitions'!$B$5:$B$14,0),IF(ISNA(_xlpm.t),"NO TERRITORY",IF(INDEX('[1]Territory Definitions'!$D$5:$M$14,_xlpm.t,MATCH(J$4,'[1]Territory Definitions'!$D$4:$M$4,0))&lt;&gt;1,"NOT IN TERRITORY",IF(COUNTIFS('[1]Blackout Brand Fam Areas (Enc)'!$B$6:$B$998,$A71,'[1]Blackout Brand Fam Areas (Enc)'!$C$6:$C$998,J$4,'[1]Blackout Brand Fam Areas (Enc)'!$D$6:$D$998,"Inactive")&gt;0,"BLOCKED","CAN SELL")))))</f>
        <v>CAN SELL</v>
      </c>
      <c r="K71" s="11" t="str">
        <f>IF($A71="","",_xlfn.LET(_xlpm.t,MATCH($B71,'[1]Territory Definitions'!$B$5:$B$14,0),IF(ISNA(_xlpm.t),"NO TERRITORY",IF(INDEX('[1]Territory Definitions'!$D$5:$M$14,_xlpm.t,MATCH(K$4,'[1]Territory Definitions'!$D$4:$M$4,0))&lt;&gt;1,"NOT IN TERRITORY",IF(COUNTIFS('[1]Blackout Brand Fam Areas (Enc)'!$B$6:$B$998,$A71,'[1]Blackout Brand Fam Areas (Enc)'!$C$6:$C$998,K$4,'[1]Blackout Brand Fam Areas (Enc)'!$D$6:$D$998,"Inactive")&gt;0,"BLOCKED","CAN SELL")))))</f>
        <v>CAN SELL</v>
      </c>
      <c r="L71" s="11" t="str">
        <f>IF($A71="","",_xlfn.LET(_xlpm.t,MATCH($B71,'[1]Territory Definitions'!$B$5:$B$14,0),IF(ISNA(_xlpm.t),"NO TERRITORY",IF(INDEX('[1]Territory Definitions'!$D$5:$M$14,_xlpm.t,MATCH(L$4,'[1]Territory Definitions'!$D$4:$M$4,0))&lt;&gt;1,"NOT IN TERRITORY",IF(COUNTIFS('[1]Blackout Brand Fam Areas (Enc)'!$B$6:$B$998,$A71,'[1]Blackout Brand Fam Areas (Enc)'!$C$6:$C$998,L$4,'[1]Blackout Brand Fam Areas (Enc)'!$D$6:$D$998,"Inactive")&gt;0,"BLOCKED","CAN SELL")))))</f>
        <v>CAN SELL</v>
      </c>
      <c r="M71" s="12">
        <f>IF($A71="","",COUNTIF($C71:$L71,"CAN SELL"))</f>
        <v>10</v>
      </c>
      <c r="N71" s="13" cm="1">
        <f t="array" ref="N71">IF($A71="","",SUMPRODUCT(($C71:$L71="CAN SELL")*$C$3:$L$3))</f>
        <v>2306</v>
      </c>
      <c r="O71" s="14" t="str">
        <f>IF($A71="","",IF(COUNTIF($A$5:$A$299,$A71)&gt;1,"DUPLICATE - two different territories assigned",IF($B71="** NO TERRITORY SET **","No territory on Brand Family Territory (Enc)","")))</f>
        <v/>
      </c>
      <c r="P71" s="18" t="str">
        <f>IF($A71="","",IFERROR(INDEX([1]Products!$H$4:$H$4801,MATCH($A71,[1]Products!$G$4:$G$4801,0)),"(no products)"))</f>
        <v>Cricket Hill</v>
      </c>
      <c r="Q71" s="19">
        <f>IF($A71="","",COUNTIFS([1]Products!$G$4:$G$4801,$A71,[1]Products!$L$4:$L$4801,"Yes"))</f>
        <v>0</v>
      </c>
      <c r="R71" s="19">
        <f>IF($A71="","",COUNTIFS([1]Products!$G$4:$G$4801,$A71,[1]Products!$L$4:$L$4801,"Yes",[1]Products!$K$4:$K$4801,"Draft"))</f>
        <v>0</v>
      </c>
      <c r="S71" s="19">
        <f>IF($A71="","",COUNTIFS([1]Products!$G$4:$G$4801,$A71,[1]Products!$L$4:$L$4801,"Yes",[1]Products!$K$4:$K$4801,"Package"))</f>
        <v>0</v>
      </c>
      <c r="T71" s="20" t="str" cm="1">
        <f t="array" ref="T71">IF($A71="","",_xlfn.IFS($Q71=0,"NO ACTIVE SKUs",AND($R71&gt;0,$S71&gt;0),"Draft &amp; Package",$R71&gt;0,"Draft only",TRUE,"Package only"))</f>
        <v>NO ACTIVE SKUs</v>
      </c>
    </row>
    <row r="72" spans="1:20" x14ac:dyDescent="0.2">
      <c r="A72" s="9" t="str">
        <v>Crook&amp;Marker</v>
      </c>
      <c r="B72" s="10" t="str">
        <f>IF($A72="","",_xlfn.XLOOKUP($A72,'[1]Brand Family Territory (Enc)'!$A:$A,'[1]Brand Family Territory (Enc)'!$B:$B,"** NO TERRITORY SET **"))</f>
        <v>All Counties</v>
      </c>
      <c r="C72" s="11" t="str">
        <f>IF($A72="","",_xlfn.LET(_xlpm.t,MATCH($B72,'[1]Territory Definitions'!$B$5:$B$14,0),IF(ISNA(_xlpm.t),"NO TERRITORY",IF(INDEX('[1]Territory Definitions'!$D$5:$M$14,_xlpm.t,MATCH(C$4,'[1]Territory Definitions'!$D$4:$M$4,0))&lt;&gt;1,"NOT IN TERRITORY",IF(COUNTIFS('[1]Blackout Brand Fam Areas (Enc)'!$B$6:$B$998,$A72,'[1]Blackout Brand Fam Areas (Enc)'!$C$6:$C$998,C$4,'[1]Blackout Brand Fam Areas (Enc)'!$D$6:$D$998,"Inactive")&gt;0,"BLOCKED","CAN SELL")))))</f>
        <v>CAN SELL</v>
      </c>
      <c r="D72" s="11" t="str">
        <f>IF($A72="","",_xlfn.LET(_xlpm.t,MATCH($B72,'[1]Territory Definitions'!$B$5:$B$14,0),IF(ISNA(_xlpm.t),"NO TERRITORY",IF(INDEX('[1]Territory Definitions'!$D$5:$M$14,_xlpm.t,MATCH(D$4,'[1]Territory Definitions'!$D$4:$M$4,0))&lt;&gt;1,"NOT IN TERRITORY",IF(COUNTIFS('[1]Blackout Brand Fam Areas (Enc)'!$B$6:$B$998,$A72,'[1]Blackout Brand Fam Areas (Enc)'!$C$6:$C$998,D$4,'[1]Blackout Brand Fam Areas (Enc)'!$D$6:$D$998,"Inactive")&gt;0,"BLOCKED","CAN SELL")))))</f>
        <v>CAN SELL</v>
      </c>
      <c r="E72" s="11" t="str">
        <f>IF($A72="","",_xlfn.LET(_xlpm.t,MATCH($B72,'[1]Territory Definitions'!$B$5:$B$14,0),IF(ISNA(_xlpm.t),"NO TERRITORY",IF(INDEX('[1]Territory Definitions'!$D$5:$M$14,_xlpm.t,MATCH(E$4,'[1]Territory Definitions'!$D$4:$M$4,0))&lt;&gt;1,"NOT IN TERRITORY",IF(COUNTIFS('[1]Blackout Brand Fam Areas (Enc)'!$B$6:$B$998,$A72,'[1]Blackout Brand Fam Areas (Enc)'!$C$6:$C$998,E$4,'[1]Blackout Brand Fam Areas (Enc)'!$D$6:$D$998,"Inactive")&gt;0,"BLOCKED","CAN SELL")))))</f>
        <v>CAN SELL</v>
      </c>
      <c r="F72" s="11" t="str">
        <f>IF($A72="","",_xlfn.LET(_xlpm.t,MATCH($B72,'[1]Territory Definitions'!$B$5:$B$14,0),IF(ISNA(_xlpm.t),"NO TERRITORY",IF(INDEX('[1]Territory Definitions'!$D$5:$M$14,_xlpm.t,MATCH(F$4,'[1]Territory Definitions'!$D$4:$M$4,0))&lt;&gt;1,"NOT IN TERRITORY",IF(COUNTIFS('[1]Blackout Brand Fam Areas (Enc)'!$B$6:$B$998,$A72,'[1]Blackout Brand Fam Areas (Enc)'!$C$6:$C$998,F$4,'[1]Blackout Brand Fam Areas (Enc)'!$D$6:$D$998,"Inactive")&gt;0,"BLOCKED","CAN SELL")))))</f>
        <v>CAN SELL</v>
      </c>
      <c r="G72" s="11" t="str">
        <f>IF($A72="","",_xlfn.LET(_xlpm.t,MATCH($B72,'[1]Territory Definitions'!$B$5:$B$14,0),IF(ISNA(_xlpm.t),"NO TERRITORY",IF(INDEX('[1]Territory Definitions'!$D$5:$M$14,_xlpm.t,MATCH(G$4,'[1]Territory Definitions'!$D$4:$M$4,0))&lt;&gt;1,"NOT IN TERRITORY",IF(COUNTIFS('[1]Blackout Brand Fam Areas (Enc)'!$B$6:$B$998,$A72,'[1]Blackout Brand Fam Areas (Enc)'!$C$6:$C$998,G$4,'[1]Blackout Brand Fam Areas (Enc)'!$D$6:$D$998,"Inactive")&gt;0,"BLOCKED","CAN SELL")))))</f>
        <v>CAN SELL</v>
      </c>
      <c r="H72" s="11" t="str">
        <f>IF($A72="","",_xlfn.LET(_xlpm.t,MATCH($B72,'[1]Territory Definitions'!$B$5:$B$14,0),IF(ISNA(_xlpm.t),"NO TERRITORY",IF(INDEX('[1]Territory Definitions'!$D$5:$M$14,_xlpm.t,MATCH(H$4,'[1]Territory Definitions'!$D$4:$M$4,0))&lt;&gt;1,"NOT IN TERRITORY",IF(COUNTIFS('[1]Blackout Brand Fam Areas (Enc)'!$B$6:$B$998,$A72,'[1]Blackout Brand Fam Areas (Enc)'!$C$6:$C$998,H$4,'[1]Blackout Brand Fam Areas (Enc)'!$D$6:$D$998,"Inactive")&gt;0,"BLOCKED","CAN SELL")))))</f>
        <v>CAN SELL</v>
      </c>
      <c r="I72" s="11" t="str">
        <f>IF($A72="","",_xlfn.LET(_xlpm.t,MATCH($B72,'[1]Territory Definitions'!$B$5:$B$14,0),IF(ISNA(_xlpm.t),"NO TERRITORY",IF(INDEX('[1]Territory Definitions'!$D$5:$M$14,_xlpm.t,MATCH(I$4,'[1]Territory Definitions'!$D$4:$M$4,0))&lt;&gt;1,"NOT IN TERRITORY",IF(COUNTIFS('[1]Blackout Brand Fam Areas (Enc)'!$B$6:$B$998,$A72,'[1]Blackout Brand Fam Areas (Enc)'!$C$6:$C$998,I$4,'[1]Blackout Brand Fam Areas (Enc)'!$D$6:$D$998,"Inactive")&gt;0,"BLOCKED","CAN SELL")))))</f>
        <v>CAN SELL</v>
      </c>
      <c r="J72" s="11" t="str">
        <f>IF($A72="","",_xlfn.LET(_xlpm.t,MATCH($B72,'[1]Territory Definitions'!$B$5:$B$14,0),IF(ISNA(_xlpm.t),"NO TERRITORY",IF(INDEX('[1]Territory Definitions'!$D$5:$M$14,_xlpm.t,MATCH(J$4,'[1]Territory Definitions'!$D$4:$M$4,0))&lt;&gt;1,"NOT IN TERRITORY",IF(COUNTIFS('[1]Blackout Brand Fam Areas (Enc)'!$B$6:$B$998,$A72,'[1]Blackout Brand Fam Areas (Enc)'!$C$6:$C$998,J$4,'[1]Blackout Brand Fam Areas (Enc)'!$D$6:$D$998,"Inactive")&gt;0,"BLOCKED","CAN SELL")))))</f>
        <v>CAN SELL</v>
      </c>
      <c r="K72" s="11" t="str">
        <f>IF($A72="","",_xlfn.LET(_xlpm.t,MATCH($B72,'[1]Territory Definitions'!$B$5:$B$14,0),IF(ISNA(_xlpm.t),"NO TERRITORY",IF(INDEX('[1]Territory Definitions'!$D$5:$M$14,_xlpm.t,MATCH(K$4,'[1]Territory Definitions'!$D$4:$M$4,0))&lt;&gt;1,"NOT IN TERRITORY",IF(COUNTIFS('[1]Blackout Brand Fam Areas (Enc)'!$B$6:$B$998,$A72,'[1]Blackout Brand Fam Areas (Enc)'!$C$6:$C$998,K$4,'[1]Blackout Brand Fam Areas (Enc)'!$D$6:$D$998,"Inactive")&gt;0,"BLOCKED","CAN SELL")))))</f>
        <v>CAN SELL</v>
      </c>
      <c r="L72" s="11" t="str">
        <f>IF($A72="","",_xlfn.LET(_xlpm.t,MATCH($B72,'[1]Territory Definitions'!$B$5:$B$14,0),IF(ISNA(_xlpm.t),"NO TERRITORY",IF(INDEX('[1]Territory Definitions'!$D$5:$M$14,_xlpm.t,MATCH(L$4,'[1]Territory Definitions'!$D$4:$M$4,0))&lt;&gt;1,"NOT IN TERRITORY",IF(COUNTIFS('[1]Blackout Brand Fam Areas (Enc)'!$B$6:$B$998,$A72,'[1]Blackout Brand Fam Areas (Enc)'!$C$6:$C$998,L$4,'[1]Blackout Brand Fam Areas (Enc)'!$D$6:$D$998,"Inactive")&gt;0,"BLOCKED","CAN SELL")))))</f>
        <v>CAN SELL</v>
      </c>
      <c r="M72" s="12">
        <f>IF($A72="","",COUNTIF($C72:$L72,"CAN SELL"))</f>
        <v>10</v>
      </c>
      <c r="N72" s="13" cm="1">
        <f t="array" ref="N72">IF($A72="","",SUMPRODUCT(($C72:$L72="CAN SELL")*$C$3:$L$3))</f>
        <v>2306</v>
      </c>
      <c r="O72" s="14" t="str">
        <f>IF($A72="","",IF(COUNTIF($A$5:$A$299,$A72)&gt;1,"DUPLICATE - two different territories assigned",IF($B72="** NO TERRITORY SET **","No territory on Brand Family Territory (Enc)","")))</f>
        <v/>
      </c>
      <c r="P72" s="18" t="str">
        <f>IF($A72="","",IFERROR(INDEX([1]Products!$H$4:$H$4801,MATCH($A72,[1]Products!$G$4:$G$4801,0)),"(no products)"))</f>
        <v>(no products)</v>
      </c>
      <c r="Q72" s="19">
        <f>IF($A72="","",COUNTIFS([1]Products!$G$4:$G$4801,$A72,[1]Products!$L$4:$L$4801,"Yes"))</f>
        <v>0</v>
      </c>
      <c r="R72" s="19">
        <f>IF($A72="","",COUNTIFS([1]Products!$G$4:$G$4801,$A72,[1]Products!$L$4:$L$4801,"Yes",[1]Products!$K$4:$K$4801,"Draft"))</f>
        <v>0</v>
      </c>
      <c r="S72" s="19">
        <f>IF($A72="","",COUNTIFS([1]Products!$G$4:$G$4801,$A72,[1]Products!$L$4:$L$4801,"Yes",[1]Products!$K$4:$K$4801,"Package"))</f>
        <v>0</v>
      </c>
      <c r="T72" s="20" t="str" cm="1">
        <f t="array" ref="T72">IF($A72="","",_xlfn.IFS($Q72=0,"NO ACTIVE SKUs",AND($R72&gt;0,$S72&gt;0),"Draft &amp; Package",$R72&gt;0,"Draft only",TRUE,"Package only"))</f>
        <v>NO ACTIVE SKUs</v>
      </c>
    </row>
    <row r="73" spans="1:20" x14ac:dyDescent="0.2">
      <c r="A73" s="9" t="str">
        <v>Crooked Beverage</v>
      </c>
      <c r="B73" s="10" t="str">
        <f>IF($A73="","",_xlfn.XLOOKUP($A73,'[1]Brand Family Territory (Enc)'!$A:$A,'[1]Brand Family Territory (Enc)'!$B:$B,"** NO TERRITORY SET **"))</f>
        <v>All Counties</v>
      </c>
      <c r="C73" s="11" t="str">
        <f>IF($A73="","",_xlfn.LET(_xlpm.t,MATCH($B73,'[1]Territory Definitions'!$B$5:$B$14,0),IF(ISNA(_xlpm.t),"NO TERRITORY",IF(INDEX('[1]Territory Definitions'!$D$5:$M$14,_xlpm.t,MATCH(C$4,'[1]Territory Definitions'!$D$4:$M$4,0))&lt;&gt;1,"NOT IN TERRITORY",IF(COUNTIFS('[1]Blackout Brand Fam Areas (Enc)'!$B$6:$B$998,$A73,'[1]Blackout Brand Fam Areas (Enc)'!$C$6:$C$998,C$4,'[1]Blackout Brand Fam Areas (Enc)'!$D$6:$D$998,"Inactive")&gt;0,"BLOCKED","CAN SELL")))))</f>
        <v>CAN SELL</v>
      </c>
      <c r="D73" s="11" t="str">
        <f>IF($A73="","",_xlfn.LET(_xlpm.t,MATCH($B73,'[1]Territory Definitions'!$B$5:$B$14,0),IF(ISNA(_xlpm.t),"NO TERRITORY",IF(INDEX('[1]Territory Definitions'!$D$5:$M$14,_xlpm.t,MATCH(D$4,'[1]Territory Definitions'!$D$4:$M$4,0))&lt;&gt;1,"NOT IN TERRITORY",IF(COUNTIFS('[1]Blackout Brand Fam Areas (Enc)'!$B$6:$B$998,$A73,'[1]Blackout Brand Fam Areas (Enc)'!$C$6:$C$998,D$4,'[1]Blackout Brand Fam Areas (Enc)'!$D$6:$D$998,"Inactive")&gt;0,"BLOCKED","CAN SELL")))))</f>
        <v>CAN SELL</v>
      </c>
      <c r="E73" s="11" t="str">
        <f>IF($A73="","",_xlfn.LET(_xlpm.t,MATCH($B73,'[1]Territory Definitions'!$B$5:$B$14,0),IF(ISNA(_xlpm.t),"NO TERRITORY",IF(INDEX('[1]Territory Definitions'!$D$5:$M$14,_xlpm.t,MATCH(E$4,'[1]Territory Definitions'!$D$4:$M$4,0))&lt;&gt;1,"NOT IN TERRITORY",IF(COUNTIFS('[1]Blackout Brand Fam Areas (Enc)'!$B$6:$B$998,$A73,'[1]Blackout Brand Fam Areas (Enc)'!$C$6:$C$998,E$4,'[1]Blackout Brand Fam Areas (Enc)'!$D$6:$D$998,"Inactive")&gt;0,"BLOCKED","CAN SELL")))))</f>
        <v>CAN SELL</v>
      </c>
      <c r="F73" s="11" t="str">
        <f>IF($A73="","",_xlfn.LET(_xlpm.t,MATCH($B73,'[1]Territory Definitions'!$B$5:$B$14,0),IF(ISNA(_xlpm.t),"NO TERRITORY",IF(INDEX('[1]Territory Definitions'!$D$5:$M$14,_xlpm.t,MATCH(F$4,'[1]Territory Definitions'!$D$4:$M$4,0))&lt;&gt;1,"NOT IN TERRITORY",IF(COUNTIFS('[1]Blackout Brand Fam Areas (Enc)'!$B$6:$B$998,$A73,'[1]Blackout Brand Fam Areas (Enc)'!$C$6:$C$998,F$4,'[1]Blackout Brand Fam Areas (Enc)'!$D$6:$D$998,"Inactive")&gt;0,"BLOCKED","CAN SELL")))))</f>
        <v>CAN SELL</v>
      </c>
      <c r="G73" s="11" t="str">
        <f>IF($A73="","",_xlfn.LET(_xlpm.t,MATCH($B73,'[1]Territory Definitions'!$B$5:$B$14,0),IF(ISNA(_xlpm.t),"NO TERRITORY",IF(INDEX('[1]Territory Definitions'!$D$5:$M$14,_xlpm.t,MATCH(G$4,'[1]Territory Definitions'!$D$4:$M$4,0))&lt;&gt;1,"NOT IN TERRITORY",IF(COUNTIFS('[1]Blackout Brand Fam Areas (Enc)'!$B$6:$B$998,$A73,'[1]Blackout Brand Fam Areas (Enc)'!$C$6:$C$998,G$4,'[1]Blackout Brand Fam Areas (Enc)'!$D$6:$D$998,"Inactive")&gt;0,"BLOCKED","CAN SELL")))))</f>
        <v>CAN SELL</v>
      </c>
      <c r="H73" s="11" t="str">
        <f>IF($A73="","",_xlfn.LET(_xlpm.t,MATCH($B73,'[1]Territory Definitions'!$B$5:$B$14,0),IF(ISNA(_xlpm.t),"NO TERRITORY",IF(INDEX('[1]Territory Definitions'!$D$5:$M$14,_xlpm.t,MATCH(H$4,'[1]Territory Definitions'!$D$4:$M$4,0))&lt;&gt;1,"NOT IN TERRITORY",IF(COUNTIFS('[1]Blackout Brand Fam Areas (Enc)'!$B$6:$B$998,$A73,'[1]Blackout Brand Fam Areas (Enc)'!$C$6:$C$998,H$4,'[1]Blackout Brand Fam Areas (Enc)'!$D$6:$D$998,"Inactive")&gt;0,"BLOCKED","CAN SELL")))))</f>
        <v>CAN SELL</v>
      </c>
      <c r="I73" s="11" t="str">
        <f>IF($A73="","",_xlfn.LET(_xlpm.t,MATCH($B73,'[1]Territory Definitions'!$B$5:$B$14,0),IF(ISNA(_xlpm.t),"NO TERRITORY",IF(INDEX('[1]Territory Definitions'!$D$5:$M$14,_xlpm.t,MATCH(I$4,'[1]Territory Definitions'!$D$4:$M$4,0))&lt;&gt;1,"NOT IN TERRITORY",IF(COUNTIFS('[1]Blackout Brand Fam Areas (Enc)'!$B$6:$B$998,$A73,'[1]Blackout Brand Fam Areas (Enc)'!$C$6:$C$998,I$4,'[1]Blackout Brand Fam Areas (Enc)'!$D$6:$D$998,"Inactive")&gt;0,"BLOCKED","CAN SELL")))))</f>
        <v>CAN SELL</v>
      </c>
      <c r="J73" s="11" t="str">
        <f>IF($A73="","",_xlfn.LET(_xlpm.t,MATCH($B73,'[1]Territory Definitions'!$B$5:$B$14,0),IF(ISNA(_xlpm.t),"NO TERRITORY",IF(INDEX('[1]Territory Definitions'!$D$5:$M$14,_xlpm.t,MATCH(J$4,'[1]Territory Definitions'!$D$4:$M$4,0))&lt;&gt;1,"NOT IN TERRITORY",IF(COUNTIFS('[1]Blackout Brand Fam Areas (Enc)'!$B$6:$B$998,$A73,'[1]Blackout Brand Fam Areas (Enc)'!$C$6:$C$998,J$4,'[1]Blackout Brand Fam Areas (Enc)'!$D$6:$D$998,"Inactive")&gt;0,"BLOCKED","CAN SELL")))))</f>
        <v>CAN SELL</v>
      </c>
      <c r="K73" s="11" t="str">
        <f>IF($A73="","",_xlfn.LET(_xlpm.t,MATCH($B73,'[1]Territory Definitions'!$B$5:$B$14,0),IF(ISNA(_xlpm.t),"NO TERRITORY",IF(INDEX('[1]Territory Definitions'!$D$5:$M$14,_xlpm.t,MATCH(K$4,'[1]Territory Definitions'!$D$4:$M$4,0))&lt;&gt;1,"NOT IN TERRITORY",IF(COUNTIFS('[1]Blackout Brand Fam Areas (Enc)'!$B$6:$B$998,$A73,'[1]Blackout Brand Fam Areas (Enc)'!$C$6:$C$998,K$4,'[1]Blackout Brand Fam Areas (Enc)'!$D$6:$D$998,"Inactive")&gt;0,"BLOCKED","CAN SELL")))))</f>
        <v>CAN SELL</v>
      </c>
      <c r="L73" s="11" t="str">
        <f>IF($A73="","",_xlfn.LET(_xlpm.t,MATCH($B73,'[1]Territory Definitions'!$B$5:$B$14,0),IF(ISNA(_xlpm.t),"NO TERRITORY",IF(INDEX('[1]Territory Definitions'!$D$5:$M$14,_xlpm.t,MATCH(L$4,'[1]Territory Definitions'!$D$4:$M$4,0))&lt;&gt;1,"NOT IN TERRITORY",IF(COUNTIFS('[1]Blackout Brand Fam Areas (Enc)'!$B$6:$B$998,$A73,'[1]Blackout Brand Fam Areas (Enc)'!$C$6:$C$998,L$4,'[1]Blackout Brand Fam Areas (Enc)'!$D$6:$D$998,"Inactive")&gt;0,"BLOCKED","CAN SELL")))))</f>
        <v>CAN SELL</v>
      </c>
      <c r="M73" s="12">
        <f>IF($A73="","",COUNTIF($C73:$L73,"CAN SELL"))</f>
        <v>10</v>
      </c>
      <c r="N73" s="13" cm="1">
        <f t="array" ref="N73">IF($A73="","",SUMPRODUCT(($C73:$L73="CAN SELL")*$C$3:$L$3))</f>
        <v>2306</v>
      </c>
      <c r="O73" s="14" t="str">
        <f>IF($A73="","",IF(COUNTIF($A$5:$A$299,$A73)&gt;1,"DUPLICATE - two different territories assigned",IF($B73="** NO TERRITORY SET **","No territory on Brand Family Territory (Enc)","")))</f>
        <v/>
      </c>
      <c r="P73" s="18" t="str">
        <f>IF($A73="","",IFERROR(INDEX([1]Products!$H$4:$H$4801,MATCH($A73,[1]Products!$G$4:$G$4801,0)),"(no products)"))</f>
        <v>Emergent Beverage Partners</v>
      </c>
      <c r="Q73" s="19">
        <f>IF($A73="","",COUNTIFS([1]Products!$G$4:$G$4801,$A73,[1]Products!$L$4:$L$4801,"Yes"))</f>
        <v>0</v>
      </c>
      <c r="R73" s="19">
        <f>IF($A73="","",COUNTIFS([1]Products!$G$4:$G$4801,$A73,[1]Products!$L$4:$L$4801,"Yes",[1]Products!$K$4:$K$4801,"Draft"))</f>
        <v>0</v>
      </c>
      <c r="S73" s="19">
        <f>IF($A73="","",COUNTIFS([1]Products!$G$4:$G$4801,$A73,[1]Products!$L$4:$L$4801,"Yes",[1]Products!$K$4:$K$4801,"Package"))</f>
        <v>0</v>
      </c>
      <c r="T73" s="20" t="str" cm="1">
        <f t="array" ref="T73">IF($A73="","",_xlfn.IFS($Q73=0,"NO ACTIVE SKUs",AND($R73&gt;0,$S73&gt;0),"Draft &amp; Package",$R73&gt;0,"Draft only",TRUE,"Package only"))</f>
        <v>NO ACTIVE SKUs</v>
      </c>
    </row>
    <row r="74" spans="1:20" x14ac:dyDescent="0.2">
      <c r="A74" s="9" t="str">
        <v>Crooked Tea</v>
      </c>
      <c r="B74" s="10" t="str">
        <f>IF($A74="","",_xlfn.XLOOKUP($A74,'[1]Brand Family Territory (Enc)'!$A:$A,'[1]Brand Family Territory (Enc)'!$B:$B,"** NO TERRITORY SET **"))</f>
        <v>All Counties</v>
      </c>
      <c r="C74" s="11" t="str">
        <f>IF($A74="","",_xlfn.LET(_xlpm.t,MATCH($B74,'[1]Territory Definitions'!$B$5:$B$14,0),IF(ISNA(_xlpm.t),"NO TERRITORY",IF(INDEX('[1]Territory Definitions'!$D$5:$M$14,_xlpm.t,MATCH(C$4,'[1]Territory Definitions'!$D$4:$M$4,0))&lt;&gt;1,"NOT IN TERRITORY",IF(COUNTIFS('[1]Blackout Brand Fam Areas (Enc)'!$B$6:$B$998,$A74,'[1]Blackout Brand Fam Areas (Enc)'!$C$6:$C$998,C$4,'[1]Blackout Brand Fam Areas (Enc)'!$D$6:$D$998,"Inactive")&gt;0,"BLOCKED","CAN SELL")))))</f>
        <v>CAN SELL</v>
      </c>
      <c r="D74" s="11" t="str">
        <f>IF($A74="","",_xlfn.LET(_xlpm.t,MATCH($B74,'[1]Territory Definitions'!$B$5:$B$14,0),IF(ISNA(_xlpm.t),"NO TERRITORY",IF(INDEX('[1]Territory Definitions'!$D$5:$M$14,_xlpm.t,MATCH(D$4,'[1]Territory Definitions'!$D$4:$M$4,0))&lt;&gt;1,"NOT IN TERRITORY",IF(COUNTIFS('[1]Blackout Brand Fam Areas (Enc)'!$B$6:$B$998,$A74,'[1]Blackout Brand Fam Areas (Enc)'!$C$6:$C$998,D$4,'[1]Blackout Brand Fam Areas (Enc)'!$D$6:$D$998,"Inactive")&gt;0,"BLOCKED","CAN SELL")))))</f>
        <v>CAN SELL</v>
      </c>
      <c r="E74" s="11" t="str">
        <f>IF($A74="","",_xlfn.LET(_xlpm.t,MATCH($B74,'[1]Territory Definitions'!$B$5:$B$14,0),IF(ISNA(_xlpm.t),"NO TERRITORY",IF(INDEX('[1]Territory Definitions'!$D$5:$M$14,_xlpm.t,MATCH(E$4,'[1]Territory Definitions'!$D$4:$M$4,0))&lt;&gt;1,"NOT IN TERRITORY",IF(COUNTIFS('[1]Blackout Brand Fam Areas (Enc)'!$B$6:$B$998,$A74,'[1]Blackout Brand Fam Areas (Enc)'!$C$6:$C$998,E$4,'[1]Blackout Brand Fam Areas (Enc)'!$D$6:$D$998,"Inactive")&gt;0,"BLOCKED","CAN SELL")))))</f>
        <v>CAN SELL</v>
      </c>
      <c r="F74" s="11" t="str">
        <f>IF($A74="","",_xlfn.LET(_xlpm.t,MATCH($B74,'[1]Territory Definitions'!$B$5:$B$14,0),IF(ISNA(_xlpm.t),"NO TERRITORY",IF(INDEX('[1]Territory Definitions'!$D$5:$M$14,_xlpm.t,MATCH(F$4,'[1]Territory Definitions'!$D$4:$M$4,0))&lt;&gt;1,"NOT IN TERRITORY",IF(COUNTIFS('[1]Blackout Brand Fam Areas (Enc)'!$B$6:$B$998,$A74,'[1]Blackout Brand Fam Areas (Enc)'!$C$6:$C$998,F$4,'[1]Blackout Brand Fam Areas (Enc)'!$D$6:$D$998,"Inactive")&gt;0,"BLOCKED","CAN SELL")))))</f>
        <v>CAN SELL</v>
      </c>
      <c r="G74" s="11" t="str">
        <f>IF($A74="","",_xlfn.LET(_xlpm.t,MATCH($B74,'[1]Territory Definitions'!$B$5:$B$14,0),IF(ISNA(_xlpm.t),"NO TERRITORY",IF(INDEX('[1]Territory Definitions'!$D$5:$M$14,_xlpm.t,MATCH(G$4,'[1]Territory Definitions'!$D$4:$M$4,0))&lt;&gt;1,"NOT IN TERRITORY",IF(COUNTIFS('[1]Blackout Brand Fam Areas (Enc)'!$B$6:$B$998,$A74,'[1]Blackout Brand Fam Areas (Enc)'!$C$6:$C$998,G$4,'[1]Blackout Brand Fam Areas (Enc)'!$D$6:$D$998,"Inactive")&gt;0,"BLOCKED","CAN SELL")))))</f>
        <v>CAN SELL</v>
      </c>
      <c r="H74" s="11" t="str">
        <f>IF($A74="","",_xlfn.LET(_xlpm.t,MATCH($B74,'[1]Territory Definitions'!$B$5:$B$14,0),IF(ISNA(_xlpm.t),"NO TERRITORY",IF(INDEX('[1]Territory Definitions'!$D$5:$M$14,_xlpm.t,MATCH(H$4,'[1]Territory Definitions'!$D$4:$M$4,0))&lt;&gt;1,"NOT IN TERRITORY",IF(COUNTIFS('[1]Blackout Brand Fam Areas (Enc)'!$B$6:$B$998,$A74,'[1]Blackout Brand Fam Areas (Enc)'!$C$6:$C$998,H$4,'[1]Blackout Brand Fam Areas (Enc)'!$D$6:$D$998,"Inactive")&gt;0,"BLOCKED","CAN SELL")))))</f>
        <v>CAN SELL</v>
      </c>
      <c r="I74" s="11" t="str">
        <f>IF($A74="","",_xlfn.LET(_xlpm.t,MATCH($B74,'[1]Territory Definitions'!$B$5:$B$14,0),IF(ISNA(_xlpm.t),"NO TERRITORY",IF(INDEX('[1]Territory Definitions'!$D$5:$M$14,_xlpm.t,MATCH(I$4,'[1]Territory Definitions'!$D$4:$M$4,0))&lt;&gt;1,"NOT IN TERRITORY",IF(COUNTIFS('[1]Blackout Brand Fam Areas (Enc)'!$B$6:$B$998,$A74,'[1]Blackout Brand Fam Areas (Enc)'!$C$6:$C$998,I$4,'[1]Blackout Brand Fam Areas (Enc)'!$D$6:$D$998,"Inactive")&gt;0,"BLOCKED","CAN SELL")))))</f>
        <v>CAN SELL</v>
      </c>
      <c r="J74" s="11" t="str">
        <f>IF($A74="","",_xlfn.LET(_xlpm.t,MATCH($B74,'[1]Territory Definitions'!$B$5:$B$14,0),IF(ISNA(_xlpm.t),"NO TERRITORY",IF(INDEX('[1]Territory Definitions'!$D$5:$M$14,_xlpm.t,MATCH(J$4,'[1]Territory Definitions'!$D$4:$M$4,0))&lt;&gt;1,"NOT IN TERRITORY",IF(COUNTIFS('[1]Blackout Brand Fam Areas (Enc)'!$B$6:$B$998,$A74,'[1]Blackout Brand Fam Areas (Enc)'!$C$6:$C$998,J$4,'[1]Blackout Brand Fam Areas (Enc)'!$D$6:$D$998,"Inactive")&gt;0,"BLOCKED","CAN SELL")))))</f>
        <v>CAN SELL</v>
      </c>
      <c r="K74" s="11" t="str">
        <f>IF($A74="","",_xlfn.LET(_xlpm.t,MATCH($B74,'[1]Territory Definitions'!$B$5:$B$14,0),IF(ISNA(_xlpm.t),"NO TERRITORY",IF(INDEX('[1]Territory Definitions'!$D$5:$M$14,_xlpm.t,MATCH(K$4,'[1]Territory Definitions'!$D$4:$M$4,0))&lt;&gt;1,"NOT IN TERRITORY",IF(COUNTIFS('[1]Blackout Brand Fam Areas (Enc)'!$B$6:$B$998,$A74,'[1]Blackout Brand Fam Areas (Enc)'!$C$6:$C$998,K$4,'[1]Blackout Brand Fam Areas (Enc)'!$D$6:$D$998,"Inactive")&gt;0,"BLOCKED","CAN SELL")))))</f>
        <v>CAN SELL</v>
      </c>
      <c r="L74" s="11" t="str">
        <f>IF($A74="","",_xlfn.LET(_xlpm.t,MATCH($B74,'[1]Territory Definitions'!$B$5:$B$14,0),IF(ISNA(_xlpm.t),"NO TERRITORY",IF(INDEX('[1]Territory Definitions'!$D$5:$M$14,_xlpm.t,MATCH(L$4,'[1]Territory Definitions'!$D$4:$M$4,0))&lt;&gt;1,"NOT IN TERRITORY",IF(COUNTIFS('[1]Blackout Brand Fam Areas (Enc)'!$B$6:$B$998,$A74,'[1]Blackout Brand Fam Areas (Enc)'!$C$6:$C$998,L$4,'[1]Blackout Brand Fam Areas (Enc)'!$D$6:$D$998,"Inactive")&gt;0,"BLOCKED","CAN SELL")))))</f>
        <v>CAN SELL</v>
      </c>
      <c r="M74" s="12">
        <f>IF($A74="","",COUNTIF($C74:$L74,"CAN SELL"))</f>
        <v>10</v>
      </c>
      <c r="N74" s="13" cm="1">
        <f t="array" ref="N74">IF($A74="","",SUMPRODUCT(($C74:$L74="CAN SELL")*$C$3:$L$3))</f>
        <v>2306</v>
      </c>
      <c r="O74" s="14" t="str">
        <f>IF($A74="","",IF(COUNTIF($A$5:$A$299,$A74)&gt;1,"DUPLICATE - two different territories assigned",IF($B74="** NO TERRITORY SET **","No territory on Brand Family Territory (Enc)","")))</f>
        <v/>
      </c>
      <c r="P74" s="18" t="str">
        <f>IF($A74="","",IFERROR(INDEX([1]Products!$H$4:$H$4801,MATCH($A74,[1]Products!$G$4:$G$4801,0)),"(no products)"))</f>
        <v>(no products)</v>
      </c>
      <c r="Q74" s="19">
        <f>IF($A74="","",COUNTIFS([1]Products!$G$4:$G$4801,$A74,[1]Products!$L$4:$L$4801,"Yes"))</f>
        <v>0</v>
      </c>
      <c r="R74" s="19">
        <f>IF($A74="","",COUNTIFS([1]Products!$G$4:$G$4801,$A74,[1]Products!$L$4:$L$4801,"Yes",[1]Products!$K$4:$K$4801,"Draft"))</f>
        <v>0</v>
      </c>
      <c r="S74" s="19">
        <f>IF($A74="","",COUNTIFS([1]Products!$G$4:$G$4801,$A74,[1]Products!$L$4:$L$4801,"Yes",[1]Products!$K$4:$K$4801,"Package"))</f>
        <v>0</v>
      </c>
      <c r="T74" s="20" t="str" cm="1">
        <f t="array" ref="T74">IF($A74="","",_xlfn.IFS($Q74=0,"NO ACTIVE SKUs",AND($R74&gt;0,$S74&gt;0),"Draft &amp; Package",$R74&gt;0,"Draft only",TRUE,"Package only"))</f>
        <v>NO ACTIVE SKUs</v>
      </c>
    </row>
    <row r="75" spans="1:20" x14ac:dyDescent="0.2">
      <c r="A75" s="9" t="str">
        <v>Cusquena</v>
      </c>
      <c r="B75" s="10" t="str">
        <f>IF($A75="","",_xlfn.XLOOKUP($A75,'[1]Brand Family Territory (Enc)'!$A:$A,'[1]Brand Family Territory (Enc)'!$B:$B,"** NO TERRITORY SET **"))</f>
        <v>Core Market</v>
      </c>
      <c r="C75" s="11" t="str">
        <f>IF($A75="","",_xlfn.LET(_xlpm.t,MATCH($B75,'[1]Territory Definitions'!$B$5:$B$14,0),IF(ISNA(_xlpm.t),"NO TERRITORY",IF(INDEX('[1]Territory Definitions'!$D$5:$M$14,_xlpm.t,MATCH(C$4,'[1]Territory Definitions'!$D$4:$M$4,0))&lt;&gt;1,"NOT IN TERRITORY",IF(COUNTIFS('[1]Blackout Brand Fam Areas (Enc)'!$B$6:$B$998,$A75,'[1]Blackout Brand Fam Areas (Enc)'!$C$6:$C$998,C$4,'[1]Blackout Brand Fam Areas (Enc)'!$D$6:$D$998,"Inactive")&gt;0,"BLOCKED","CAN SELL")))))</f>
        <v>CAN SELL</v>
      </c>
      <c r="D75" s="11" t="str">
        <f>IF($A75="","",_xlfn.LET(_xlpm.t,MATCH($B75,'[1]Territory Definitions'!$B$5:$B$14,0),IF(ISNA(_xlpm.t),"NO TERRITORY",IF(INDEX('[1]Territory Definitions'!$D$5:$M$14,_xlpm.t,MATCH(D$4,'[1]Territory Definitions'!$D$4:$M$4,0))&lt;&gt;1,"NOT IN TERRITORY",IF(COUNTIFS('[1]Blackout Brand Fam Areas (Enc)'!$B$6:$B$998,$A75,'[1]Blackout Brand Fam Areas (Enc)'!$C$6:$C$998,D$4,'[1]Blackout Brand Fam Areas (Enc)'!$D$6:$D$998,"Inactive")&gt;0,"BLOCKED","CAN SELL")))))</f>
        <v>CAN SELL</v>
      </c>
      <c r="E75" s="11" t="str">
        <f>IF($A75="","",_xlfn.LET(_xlpm.t,MATCH($B75,'[1]Territory Definitions'!$B$5:$B$14,0),IF(ISNA(_xlpm.t),"NO TERRITORY",IF(INDEX('[1]Territory Definitions'!$D$5:$M$14,_xlpm.t,MATCH(E$4,'[1]Territory Definitions'!$D$4:$M$4,0))&lt;&gt;1,"NOT IN TERRITORY",IF(COUNTIFS('[1]Blackout Brand Fam Areas (Enc)'!$B$6:$B$998,$A75,'[1]Blackout Brand Fam Areas (Enc)'!$C$6:$C$998,E$4,'[1]Blackout Brand Fam Areas (Enc)'!$D$6:$D$998,"Inactive")&gt;0,"BLOCKED","CAN SELL")))))</f>
        <v>CAN SELL</v>
      </c>
      <c r="F75" s="11" t="str">
        <f>IF($A75="","",_xlfn.LET(_xlpm.t,MATCH($B75,'[1]Territory Definitions'!$B$5:$B$14,0),IF(ISNA(_xlpm.t),"NO TERRITORY",IF(INDEX('[1]Territory Definitions'!$D$5:$M$14,_xlpm.t,MATCH(F$4,'[1]Territory Definitions'!$D$4:$M$4,0))&lt;&gt;1,"NOT IN TERRITORY",IF(COUNTIFS('[1]Blackout Brand Fam Areas (Enc)'!$B$6:$B$998,$A75,'[1]Blackout Brand Fam Areas (Enc)'!$C$6:$C$998,F$4,'[1]Blackout Brand Fam Areas (Enc)'!$D$6:$D$998,"Inactive")&gt;0,"BLOCKED","CAN SELL")))))</f>
        <v>NOT IN TERRITORY</v>
      </c>
      <c r="G75" s="11" t="str">
        <f>IF($A75="","",_xlfn.LET(_xlpm.t,MATCH($B75,'[1]Territory Definitions'!$B$5:$B$14,0),IF(ISNA(_xlpm.t),"NO TERRITORY",IF(INDEX('[1]Territory Definitions'!$D$5:$M$14,_xlpm.t,MATCH(G$4,'[1]Territory Definitions'!$D$4:$M$4,0))&lt;&gt;1,"NOT IN TERRITORY",IF(COUNTIFS('[1]Blackout Brand Fam Areas (Enc)'!$B$6:$B$998,$A75,'[1]Blackout Brand Fam Areas (Enc)'!$C$6:$C$998,G$4,'[1]Blackout Brand Fam Areas (Enc)'!$D$6:$D$998,"Inactive")&gt;0,"BLOCKED","CAN SELL")))))</f>
        <v>NOT IN TERRITORY</v>
      </c>
      <c r="H75" s="11" t="str">
        <f>IF($A75="","",_xlfn.LET(_xlpm.t,MATCH($B75,'[1]Territory Definitions'!$B$5:$B$14,0),IF(ISNA(_xlpm.t),"NO TERRITORY",IF(INDEX('[1]Territory Definitions'!$D$5:$M$14,_xlpm.t,MATCH(H$4,'[1]Territory Definitions'!$D$4:$M$4,0))&lt;&gt;1,"NOT IN TERRITORY",IF(COUNTIFS('[1]Blackout Brand Fam Areas (Enc)'!$B$6:$B$998,$A75,'[1]Blackout Brand Fam Areas (Enc)'!$C$6:$C$998,H$4,'[1]Blackout Brand Fam Areas (Enc)'!$D$6:$D$998,"Inactive")&gt;0,"BLOCKED","CAN SELL")))))</f>
        <v>NOT IN TERRITORY</v>
      </c>
      <c r="I75" s="11" t="str">
        <f>IF($A75="","",_xlfn.LET(_xlpm.t,MATCH($B75,'[1]Territory Definitions'!$B$5:$B$14,0),IF(ISNA(_xlpm.t),"NO TERRITORY",IF(INDEX('[1]Territory Definitions'!$D$5:$M$14,_xlpm.t,MATCH(I$4,'[1]Territory Definitions'!$D$4:$M$4,0))&lt;&gt;1,"NOT IN TERRITORY",IF(COUNTIFS('[1]Blackout Brand Fam Areas (Enc)'!$B$6:$B$998,$A75,'[1]Blackout Brand Fam Areas (Enc)'!$C$6:$C$998,I$4,'[1]Blackout Brand Fam Areas (Enc)'!$D$6:$D$998,"Inactive")&gt;0,"BLOCKED","CAN SELL")))))</f>
        <v>CAN SELL</v>
      </c>
      <c r="J75" s="11" t="str">
        <f>IF($A75="","",_xlfn.LET(_xlpm.t,MATCH($B75,'[1]Territory Definitions'!$B$5:$B$14,0),IF(ISNA(_xlpm.t),"NO TERRITORY",IF(INDEX('[1]Territory Definitions'!$D$5:$M$14,_xlpm.t,MATCH(J$4,'[1]Territory Definitions'!$D$4:$M$4,0))&lt;&gt;1,"NOT IN TERRITORY",IF(COUNTIFS('[1]Blackout Brand Fam Areas (Enc)'!$B$6:$B$998,$A75,'[1]Blackout Brand Fam Areas (Enc)'!$C$6:$C$998,J$4,'[1]Blackout Brand Fam Areas (Enc)'!$D$6:$D$998,"Inactive")&gt;0,"BLOCKED","CAN SELL")))))</f>
        <v>CAN SELL</v>
      </c>
      <c r="K75" s="11" t="str">
        <f>IF($A75="","",_xlfn.LET(_xlpm.t,MATCH($B75,'[1]Territory Definitions'!$B$5:$B$14,0),IF(ISNA(_xlpm.t),"NO TERRITORY",IF(INDEX('[1]Territory Definitions'!$D$5:$M$14,_xlpm.t,MATCH(K$4,'[1]Territory Definitions'!$D$4:$M$4,0))&lt;&gt;1,"NOT IN TERRITORY",IF(COUNTIFS('[1]Blackout Brand Fam Areas (Enc)'!$B$6:$B$998,$A75,'[1]Blackout Brand Fam Areas (Enc)'!$C$6:$C$998,K$4,'[1]Blackout Brand Fam Areas (Enc)'!$D$6:$D$998,"Inactive")&gt;0,"BLOCKED","CAN SELL")))))</f>
        <v>NOT IN TERRITORY</v>
      </c>
      <c r="L75" s="11" t="str">
        <f>IF($A75="","",_xlfn.LET(_xlpm.t,MATCH($B75,'[1]Territory Definitions'!$B$5:$B$14,0),IF(ISNA(_xlpm.t),"NO TERRITORY",IF(INDEX('[1]Territory Definitions'!$D$5:$M$14,_xlpm.t,MATCH(L$4,'[1]Territory Definitions'!$D$4:$M$4,0))&lt;&gt;1,"NOT IN TERRITORY",IF(COUNTIFS('[1]Blackout Brand Fam Areas (Enc)'!$B$6:$B$998,$A75,'[1]Blackout Brand Fam Areas (Enc)'!$C$6:$C$998,L$4,'[1]Blackout Brand Fam Areas (Enc)'!$D$6:$D$998,"Inactive")&gt;0,"BLOCKED","CAN SELL")))))</f>
        <v>CAN SELL</v>
      </c>
      <c r="M75" s="12">
        <f>IF($A75="","",COUNTIF($C75:$L75,"CAN SELL"))</f>
        <v>6</v>
      </c>
      <c r="N75" s="13" cm="1">
        <f t="array" ref="N75">IF($A75="","",SUMPRODUCT(($C75:$L75="CAN SELL")*$C$3:$L$3))</f>
        <v>1596</v>
      </c>
      <c r="O75" s="14" t="str">
        <f>IF($A75="","",IF(COUNTIF($A$5:$A$299,$A75)&gt;1,"DUPLICATE - two different territories assigned",IF($B75="** NO TERRITORY SET **","No territory on Brand Family Territory (Enc)","")))</f>
        <v/>
      </c>
      <c r="P75" s="18" t="str">
        <f>IF($A75="","",IFERROR(INDEX([1]Products!$H$4:$H$4801,MATCH($A75,[1]Products!$G$4:$G$4801,0)),"(no products)"))</f>
        <v>MolsonCoors Beverage Company</v>
      </c>
      <c r="Q75" s="19">
        <f>IF($A75="","",COUNTIFS([1]Products!$G$4:$G$4801,$A75,[1]Products!$L$4:$L$4801,"Yes"))</f>
        <v>2</v>
      </c>
      <c r="R75" s="19">
        <f>IF($A75="","",COUNTIFS([1]Products!$G$4:$G$4801,$A75,[1]Products!$L$4:$L$4801,"Yes",[1]Products!$K$4:$K$4801,"Draft"))</f>
        <v>0</v>
      </c>
      <c r="S75" s="19">
        <f>IF($A75="","",COUNTIFS([1]Products!$G$4:$G$4801,$A75,[1]Products!$L$4:$L$4801,"Yes",[1]Products!$K$4:$K$4801,"Package"))</f>
        <v>2</v>
      </c>
      <c r="T75" s="20" t="str" cm="1">
        <f t="array" ref="T75">IF($A75="","",_xlfn.IFS($Q75=0,"NO ACTIVE SKUs",AND($R75&gt;0,$S75&gt;0),"Draft &amp; Package",$R75&gt;0,"Draft only",TRUE,"Package only"))</f>
        <v>Package only</v>
      </c>
    </row>
    <row r="76" spans="1:20" x14ac:dyDescent="0.2">
      <c r="A76" s="9" t="str">
        <v>Czechvar</v>
      </c>
      <c r="B76" s="10" t="str">
        <f>IF($A76="","",_xlfn.XLOOKUP($A76,'[1]Brand Family Territory (Enc)'!$A:$A,'[1]Brand Family Territory (Enc)'!$B:$B,"** NO TERRITORY SET **"))</f>
        <v>Metro Five County</v>
      </c>
      <c r="C76" s="11" t="str">
        <f>IF($A76="","",_xlfn.LET(_xlpm.t,MATCH($B76,'[1]Territory Definitions'!$B$5:$B$14,0),IF(ISNA(_xlpm.t),"NO TERRITORY",IF(INDEX('[1]Territory Definitions'!$D$5:$M$14,_xlpm.t,MATCH(C$4,'[1]Territory Definitions'!$D$4:$M$4,0))&lt;&gt;1,"NOT IN TERRITORY",IF(COUNTIFS('[1]Blackout Brand Fam Areas (Enc)'!$B$6:$B$998,$A76,'[1]Blackout Brand Fam Areas (Enc)'!$C$6:$C$998,C$4,'[1]Blackout Brand Fam Areas (Enc)'!$D$6:$D$998,"Inactive")&gt;0,"BLOCKED","CAN SELL")))))</f>
        <v>CAN SELL</v>
      </c>
      <c r="D76" s="11" t="str">
        <f>IF($A76="","",_xlfn.LET(_xlpm.t,MATCH($B76,'[1]Territory Definitions'!$B$5:$B$14,0),IF(ISNA(_xlpm.t),"NO TERRITORY",IF(INDEX('[1]Territory Definitions'!$D$5:$M$14,_xlpm.t,MATCH(D$4,'[1]Territory Definitions'!$D$4:$M$4,0))&lt;&gt;1,"NOT IN TERRITORY",IF(COUNTIFS('[1]Blackout Brand Fam Areas (Enc)'!$B$6:$B$998,$A76,'[1]Blackout Brand Fam Areas (Enc)'!$C$6:$C$998,D$4,'[1]Blackout Brand Fam Areas (Enc)'!$D$6:$D$998,"Inactive")&gt;0,"BLOCKED","CAN SELL")))))</f>
        <v>CAN SELL</v>
      </c>
      <c r="E76" s="11" t="str">
        <f>IF($A76="","",_xlfn.LET(_xlpm.t,MATCH($B76,'[1]Territory Definitions'!$B$5:$B$14,0),IF(ISNA(_xlpm.t),"NO TERRITORY",IF(INDEX('[1]Territory Definitions'!$D$5:$M$14,_xlpm.t,MATCH(E$4,'[1]Territory Definitions'!$D$4:$M$4,0))&lt;&gt;1,"NOT IN TERRITORY",IF(COUNTIFS('[1]Blackout Brand Fam Areas (Enc)'!$B$6:$B$998,$A76,'[1]Blackout Brand Fam Areas (Enc)'!$C$6:$C$998,E$4,'[1]Blackout Brand Fam Areas (Enc)'!$D$6:$D$998,"Inactive")&gt;0,"BLOCKED","CAN SELL")))))</f>
        <v>CAN SELL</v>
      </c>
      <c r="F76" s="11" t="str">
        <f>IF($A76="","",_xlfn.LET(_xlpm.t,MATCH($B76,'[1]Territory Definitions'!$B$5:$B$14,0),IF(ISNA(_xlpm.t),"NO TERRITORY",IF(INDEX('[1]Territory Definitions'!$D$5:$M$14,_xlpm.t,MATCH(F$4,'[1]Territory Definitions'!$D$4:$M$4,0))&lt;&gt;1,"NOT IN TERRITORY",IF(COUNTIFS('[1]Blackout Brand Fam Areas (Enc)'!$B$6:$B$998,$A76,'[1]Blackout Brand Fam Areas (Enc)'!$C$6:$C$998,F$4,'[1]Blackout Brand Fam Areas (Enc)'!$D$6:$D$998,"Inactive")&gt;0,"BLOCKED","CAN SELL")))))</f>
        <v>CAN SELL</v>
      </c>
      <c r="G76" s="11" t="str">
        <f>IF($A76="","",_xlfn.LET(_xlpm.t,MATCH($B76,'[1]Territory Definitions'!$B$5:$B$14,0),IF(ISNA(_xlpm.t),"NO TERRITORY",IF(INDEX('[1]Territory Definitions'!$D$5:$M$14,_xlpm.t,MATCH(G$4,'[1]Territory Definitions'!$D$4:$M$4,0))&lt;&gt;1,"NOT IN TERRITORY",IF(COUNTIFS('[1]Blackout Brand Fam Areas (Enc)'!$B$6:$B$998,$A76,'[1]Blackout Brand Fam Areas (Enc)'!$C$6:$C$998,G$4,'[1]Blackout Brand Fam Areas (Enc)'!$D$6:$D$998,"Inactive")&gt;0,"BLOCKED","CAN SELL")))))</f>
        <v>CAN SELL</v>
      </c>
      <c r="H76" s="11" t="str">
        <f>IF($A76="","",_xlfn.LET(_xlpm.t,MATCH($B76,'[1]Territory Definitions'!$B$5:$B$14,0),IF(ISNA(_xlpm.t),"NO TERRITORY",IF(INDEX('[1]Territory Definitions'!$D$5:$M$14,_xlpm.t,MATCH(H$4,'[1]Territory Definitions'!$D$4:$M$4,0))&lt;&gt;1,"NOT IN TERRITORY",IF(COUNTIFS('[1]Blackout Brand Fam Areas (Enc)'!$B$6:$B$998,$A76,'[1]Blackout Brand Fam Areas (Enc)'!$C$6:$C$998,H$4,'[1]Blackout Brand Fam Areas (Enc)'!$D$6:$D$998,"Inactive")&gt;0,"BLOCKED","CAN SELL")))))</f>
        <v>CAN SELL</v>
      </c>
      <c r="I76" s="11" t="str">
        <f>IF($A76="","",_xlfn.LET(_xlpm.t,MATCH($B76,'[1]Territory Definitions'!$B$5:$B$14,0),IF(ISNA(_xlpm.t),"NO TERRITORY",IF(INDEX('[1]Territory Definitions'!$D$5:$M$14,_xlpm.t,MATCH(I$4,'[1]Territory Definitions'!$D$4:$M$4,0))&lt;&gt;1,"NOT IN TERRITORY",IF(COUNTIFS('[1]Blackout Brand Fam Areas (Enc)'!$B$6:$B$998,$A76,'[1]Blackout Brand Fam Areas (Enc)'!$C$6:$C$998,I$4,'[1]Blackout Brand Fam Areas (Enc)'!$D$6:$D$998,"Inactive")&gt;0,"BLOCKED","CAN SELL")))))</f>
        <v>NOT IN TERRITORY</v>
      </c>
      <c r="J76" s="11" t="str">
        <f>IF($A76="","",_xlfn.LET(_xlpm.t,MATCH($B76,'[1]Territory Definitions'!$B$5:$B$14,0),IF(ISNA(_xlpm.t),"NO TERRITORY",IF(INDEX('[1]Territory Definitions'!$D$5:$M$14,_xlpm.t,MATCH(J$4,'[1]Territory Definitions'!$D$4:$M$4,0))&lt;&gt;1,"NOT IN TERRITORY",IF(COUNTIFS('[1]Blackout Brand Fam Areas (Enc)'!$B$6:$B$998,$A76,'[1]Blackout Brand Fam Areas (Enc)'!$C$6:$C$998,J$4,'[1]Blackout Brand Fam Areas (Enc)'!$D$6:$D$998,"Inactive")&gt;0,"BLOCKED","CAN SELL")))))</f>
        <v>NOT IN TERRITORY</v>
      </c>
      <c r="K76" s="11" t="str">
        <f>IF($A76="","",_xlfn.LET(_xlpm.t,MATCH($B76,'[1]Territory Definitions'!$B$5:$B$14,0),IF(ISNA(_xlpm.t),"NO TERRITORY",IF(INDEX('[1]Territory Definitions'!$D$5:$M$14,_xlpm.t,MATCH(K$4,'[1]Territory Definitions'!$D$4:$M$4,0))&lt;&gt;1,"NOT IN TERRITORY",IF(COUNTIFS('[1]Blackout Brand Fam Areas (Enc)'!$B$6:$B$998,$A76,'[1]Blackout Brand Fam Areas (Enc)'!$C$6:$C$998,K$4,'[1]Blackout Brand Fam Areas (Enc)'!$D$6:$D$998,"Inactive")&gt;0,"BLOCKED","CAN SELL")))))</f>
        <v>NOT IN TERRITORY</v>
      </c>
      <c r="L76" s="11" t="str">
        <f>IF($A76="","",_xlfn.LET(_xlpm.t,MATCH($B76,'[1]Territory Definitions'!$B$5:$B$14,0),IF(ISNA(_xlpm.t),"NO TERRITORY",IF(INDEX('[1]Territory Definitions'!$D$5:$M$14,_xlpm.t,MATCH(L$4,'[1]Territory Definitions'!$D$4:$M$4,0))&lt;&gt;1,"NOT IN TERRITORY",IF(COUNTIFS('[1]Blackout Brand Fam Areas (Enc)'!$B$6:$B$998,$A76,'[1]Blackout Brand Fam Areas (Enc)'!$C$6:$C$998,L$4,'[1]Blackout Brand Fam Areas (Enc)'!$D$6:$D$998,"Inactive")&gt;0,"BLOCKED","CAN SELL")))))</f>
        <v>NOT IN TERRITORY</v>
      </c>
      <c r="M76" s="12">
        <f>IF($A76="","",COUNTIF($C76:$L76,"CAN SELL"))</f>
        <v>6</v>
      </c>
      <c r="N76" s="13" cm="1">
        <f t="array" ref="N76">IF($A76="","",SUMPRODUCT(($C76:$L76="CAN SELL")*$C$3:$L$3))</f>
        <v>1992</v>
      </c>
      <c r="O76" s="14" t="str">
        <f>IF($A76="","",IF(COUNTIF($A$5:$A$299,$A76)&gt;1,"DUPLICATE - two different territories assigned",IF($B76="** NO TERRITORY SET **","No territory on Brand Family Territory (Enc)","")))</f>
        <v/>
      </c>
      <c r="P76" s="18" t="str">
        <f>IF($A76="","",IFERROR(INDEX([1]Products!$H$4:$H$4801,MATCH($A76,[1]Products!$G$4:$G$4801,0)),"(no products)"))</f>
        <v>Global Beer</v>
      </c>
      <c r="Q76" s="19">
        <f>IF($A76="","",COUNTIFS([1]Products!$G$4:$G$4801,$A76,[1]Products!$L$4:$L$4801,"Yes"))</f>
        <v>2</v>
      </c>
      <c r="R76" s="19">
        <f>IF($A76="","",COUNTIFS([1]Products!$G$4:$G$4801,$A76,[1]Products!$L$4:$L$4801,"Yes",[1]Products!$K$4:$K$4801,"Draft"))</f>
        <v>1</v>
      </c>
      <c r="S76" s="19">
        <f>IF($A76="","",COUNTIFS([1]Products!$G$4:$G$4801,$A76,[1]Products!$L$4:$L$4801,"Yes",[1]Products!$K$4:$K$4801,"Package"))</f>
        <v>1</v>
      </c>
      <c r="T76" s="20" t="str" cm="1">
        <f t="array" ref="T76">IF($A76="","",_xlfn.IFS($Q76=0,"NO ACTIVE SKUs",AND($R76&gt;0,$S76&gt;0),"Draft &amp; Package",$R76&gt;0,"Draft only",TRUE,"Package only"))</f>
        <v>Draft &amp; Package</v>
      </c>
    </row>
    <row r="77" spans="1:20" x14ac:dyDescent="0.2">
      <c r="A77" s="9" t="str">
        <v>Dab</v>
      </c>
      <c r="B77" s="10" t="str">
        <f>IF($A77="","",_xlfn.XLOOKUP($A77,'[1]Brand Family Territory (Enc)'!$A:$A,'[1]Brand Family Territory (Enc)'!$B:$B,"** NO TERRITORY SET **"))</f>
        <v>All Counties</v>
      </c>
      <c r="C77" s="11" t="str">
        <f>IF($A77="","",_xlfn.LET(_xlpm.t,MATCH($B77,'[1]Territory Definitions'!$B$5:$B$14,0),IF(ISNA(_xlpm.t),"NO TERRITORY",IF(INDEX('[1]Territory Definitions'!$D$5:$M$14,_xlpm.t,MATCH(C$4,'[1]Territory Definitions'!$D$4:$M$4,0))&lt;&gt;1,"NOT IN TERRITORY",IF(COUNTIFS('[1]Blackout Brand Fam Areas (Enc)'!$B$6:$B$998,$A77,'[1]Blackout Brand Fam Areas (Enc)'!$C$6:$C$998,C$4,'[1]Blackout Brand Fam Areas (Enc)'!$D$6:$D$998,"Inactive")&gt;0,"BLOCKED","CAN SELL")))))</f>
        <v>CAN SELL</v>
      </c>
      <c r="D77" s="11" t="str">
        <f>IF($A77="","",_xlfn.LET(_xlpm.t,MATCH($B77,'[1]Territory Definitions'!$B$5:$B$14,0),IF(ISNA(_xlpm.t),"NO TERRITORY",IF(INDEX('[1]Territory Definitions'!$D$5:$M$14,_xlpm.t,MATCH(D$4,'[1]Territory Definitions'!$D$4:$M$4,0))&lt;&gt;1,"NOT IN TERRITORY",IF(COUNTIFS('[1]Blackout Brand Fam Areas (Enc)'!$B$6:$B$998,$A77,'[1]Blackout Brand Fam Areas (Enc)'!$C$6:$C$998,D$4,'[1]Blackout Brand Fam Areas (Enc)'!$D$6:$D$998,"Inactive")&gt;0,"BLOCKED","CAN SELL")))))</f>
        <v>CAN SELL</v>
      </c>
      <c r="E77" s="11" t="str">
        <f>IF($A77="","",_xlfn.LET(_xlpm.t,MATCH($B77,'[1]Territory Definitions'!$B$5:$B$14,0),IF(ISNA(_xlpm.t),"NO TERRITORY",IF(INDEX('[1]Territory Definitions'!$D$5:$M$14,_xlpm.t,MATCH(E$4,'[1]Territory Definitions'!$D$4:$M$4,0))&lt;&gt;1,"NOT IN TERRITORY",IF(COUNTIFS('[1]Blackout Brand Fam Areas (Enc)'!$B$6:$B$998,$A77,'[1]Blackout Brand Fam Areas (Enc)'!$C$6:$C$998,E$4,'[1]Blackout Brand Fam Areas (Enc)'!$D$6:$D$998,"Inactive")&gt;0,"BLOCKED","CAN SELL")))))</f>
        <v>CAN SELL</v>
      </c>
      <c r="F77" s="11" t="str">
        <f>IF($A77="","",_xlfn.LET(_xlpm.t,MATCH($B77,'[1]Territory Definitions'!$B$5:$B$14,0),IF(ISNA(_xlpm.t),"NO TERRITORY",IF(INDEX('[1]Territory Definitions'!$D$5:$M$14,_xlpm.t,MATCH(F$4,'[1]Territory Definitions'!$D$4:$M$4,0))&lt;&gt;1,"NOT IN TERRITORY",IF(COUNTIFS('[1]Blackout Brand Fam Areas (Enc)'!$B$6:$B$998,$A77,'[1]Blackout Brand Fam Areas (Enc)'!$C$6:$C$998,F$4,'[1]Blackout Brand Fam Areas (Enc)'!$D$6:$D$998,"Inactive")&gt;0,"BLOCKED","CAN SELL")))))</f>
        <v>CAN SELL</v>
      </c>
      <c r="G77" s="11" t="str">
        <f>IF($A77="","",_xlfn.LET(_xlpm.t,MATCH($B77,'[1]Territory Definitions'!$B$5:$B$14,0),IF(ISNA(_xlpm.t),"NO TERRITORY",IF(INDEX('[1]Territory Definitions'!$D$5:$M$14,_xlpm.t,MATCH(G$4,'[1]Territory Definitions'!$D$4:$M$4,0))&lt;&gt;1,"NOT IN TERRITORY",IF(COUNTIFS('[1]Blackout Brand Fam Areas (Enc)'!$B$6:$B$998,$A77,'[1]Blackout Brand Fam Areas (Enc)'!$C$6:$C$998,G$4,'[1]Blackout Brand Fam Areas (Enc)'!$D$6:$D$998,"Inactive")&gt;0,"BLOCKED","CAN SELL")))))</f>
        <v>CAN SELL</v>
      </c>
      <c r="H77" s="11" t="str">
        <f>IF($A77="","",_xlfn.LET(_xlpm.t,MATCH($B77,'[1]Territory Definitions'!$B$5:$B$14,0),IF(ISNA(_xlpm.t),"NO TERRITORY",IF(INDEX('[1]Territory Definitions'!$D$5:$M$14,_xlpm.t,MATCH(H$4,'[1]Territory Definitions'!$D$4:$M$4,0))&lt;&gt;1,"NOT IN TERRITORY",IF(COUNTIFS('[1]Blackout Brand Fam Areas (Enc)'!$B$6:$B$998,$A77,'[1]Blackout Brand Fam Areas (Enc)'!$C$6:$C$998,H$4,'[1]Blackout Brand Fam Areas (Enc)'!$D$6:$D$998,"Inactive")&gt;0,"BLOCKED","CAN SELL")))))</f>
        <v>CAN SELL</v>
      </c>
      <c r="I77" s="11" t="str">
        <f>IF($A77="","",_xlfn.LET(_xlpm.t,MATCH($B77,'[1]Territory Definitions'!$B$5:$B$14,0),IF(ISNA(_xlpm.t),"NO TERRITORY",IF(INDEX('[1]Territory Definitions'!$D$5:$M$14,_xlpm.t,MATCH(I$4,'[1]Territory Definitions'!$D$4:$M$4,0))&lt;&gt;1,"NOT IN TERRITORY",IF(COUNTIFS('[1]Blackout Brand Fam Areas (Enc)'!$B$6:$B$998,$A77,'[1]Blackout Brand Fam Areas (Enc)'!$C$6:$C$998,I$4,'[1]Blackout Brand Fam Areas (Enc)'!$D$6:$D$998,"Inactive")&gt;0,"BLOCKED","CAN SELL")))))</f>
        <v>CAN SELL</v>
      </c>
      <c r="J77" s="11" t="str">
        <f>IF($A77="","",_xlfn.LET(_xlpm.t,MATCH($B77,'[1]Territory Definitions'!$B$5:$B$14,0),IF(ISNA(_xlpm.t),"NO TERRITORY",IF(INDEX('[1]Territory Definitions'!$D$5:$M$14,_xlpm.t,MATCH(J$4,'[1]Territory Definitions'!$D$4:$M$4,0))&lt;&gt;1,"NOT IN TERRITORY",IF(COUNTIFS('[1]Blackout Brand Fam Areas (Enc)'!$B$6:$B$998,$A77,'[1]Blackout Brand Fam Areas (Enc)'!$C$6:$C$998,J$4,'[1]Blackout Brand Fam Areas (Enc)'!$D$6:$D$998,"Inactive")&gt;0,"BLOCKED","CAN SELL")))))</f>
        <v>CAN SELL</v>
      </c>
      <c r="K77" s="11" t="str">
        <f>IF($A77="","",_xlfn.LET(_xlpm.t,MATCH($B77,'[1]Territory Definitions'!$B$5:$B$14,0),IF(ISNA(_xlpm.t),"NO TERRITORY",IF(INDEX('[1]Territory Definitions'!$D$5:$M$14,_xlpm.t,MATCH(K$4,'[1]Territory Definitions'!$D$4:$M$4,0))&lt;&gt;1,"NOT IN TERRITORY",IF(COUNTIFS('[1]Blackout Brand Fam Areas (Enc)'!$B$6:$B$998,$A77,'[1]Blackout Brand Fam Areas (Enc)'!$C$6:$C$998,K$4,'[1]Blackout Brand Fam Areas (Enc)'!$D$6:$D$998,"Inactive")&gt;0,"BLOCKED","CAN SELL")))))</f>
        <v>CAN SELL</v>
      </c>
      <c r="L77" s="11" t="str">
        <f>IF($A77="","",_xlfn.LET(_xlpm.t,MATCH($B77,'[1]Territory Definitions'!$B$5:$B$14,0),IF(ISNA(_xlpm.t),"NO TERRITORY",IF(INDEX('[1]Territory Definitions'!$D$5:$M$14,_xlpm.t,MATCH(L$4,'[1]Territory Definitions'!$D$4:$M$4,0))&lt;&gt;1,"NOT IN TERRITORY",IF(COUNTIFS('[1]Blackout Brand Fam Areas (Enc)'!$B$6:$B$998,$A77,'[1]Blackout Brand Fam Areas (Enc)'!$C$6:$C$998,L$4,'[1]Blackout Brand Fam Areas (Enc)'!$D$6:$D$998,"Inactive")&gt;0,"BLOCKED","CAN SELL")))))</f>
        <v>CAN SELL</v>
      </c>
      <c r="M77" s="12">
        <f>IF($A77="","",COUNTIF($C77:$L77,"CAN SELL"))</f>
        <v>10</v>
      </c>
      <c r="N77" s="13" cm="1">
        <f t="array" ref="N77">IF($A77="","",SUMPRODUCT(($C77:$L77="CAN SELL")*$C$3:$L$3))</f>
        <v>2306</v>
      </c>
      <c r="O77" s="14" t="str">
        <f>IF($A77="","",IF(COUNTIF($A$5:$A$299,$A77)&gt;1,"DUPLICATE - two different territories assigned",IF($B77="** NO TERRITORY SET **","No territory on Brand Family Territory (Enc)","")))</f>
        <v/>
      </c>
      <c r="P77" s="18" t="str">
        <f>IF($A77="","",IFERROR(INDEX([1]Products!$H$4:$H$4801,MATCH($A77,[1]Products!$G$4:$G$4801,0)),"(no products)"))</f>
        <v>Radeberger USA</v>
      </c>
      <c r="Q77" s="19">
        <f>IF($A77="","",COUNTIFS([1]Products!$G$4:$G$4801,$A77,[1]Products!$L$4:$L$4801,"Yes"))</f>
        <v>4</v>
      </c>
      <c r="R77" s="19">
        <f>IF($A77="","",COUNTIFS([1]Products!$G$4:$G$4801,$A77,[1]Products!$L$4:$L$4801,"Yes",[1]Products!$K$4:$K$4801,"Draft"))</f>
        <v>1</v>
      </c>
      <c r="S77" s="19">
        <f>IF($A77="","",COUNTIFS([1]Products!$G$4:$G$4801,$A77,[1]Products!$L$4:$L$4801,"Yes",[1]Products!$K$4:$K$4801,"Package"))</f>
        <v>3</v>
      </c>
      <c r="T77" s="20" t="str" cm="1">
        <f t="array" ref="T77">IF($A77="","",_xlfn.IFS($Q77=0,"NO ACTIVE SKUs",AND($R77&gt;0,$S77&gt;0),"Draft &amp; Package",$R77&gt;0,"Draft only",TRUE,"Package only"))</f>
        <v>Draft &amp; Package</v>
      </c>
    </row>
    <row r="78" spans="1:20" x14ac:dyDescent="0.2">
      <c r="A78" s="9" t="str">
        <v>Dad Grass</v>
      </c>
      <c r="B78" s="10" t="str">
        <f>IF($A78="","",_xlfn.XLOOKUP($A78,'[1]Brand Family Territory (Enc)'!$A:$A,'[1]Brand Family Territory (Enc)'!$B:$B,"** NO TERRITORY SET **"))</f>
        <v>Core Market</v>
      </c>
      <c r="C78" s="11" t="str">
        <f>IF($A78="","",_xlfn.LET(_xlpm.t,MATCH($B78,'[1]Territory Definitions'!$B$5:$B$14,0),IF(ISNA(_xlpm.t),"NO TERRITORY",IF(INDEX('[1]Territory Definitions'!$D$5:$M$14,_xlpm.t,MATCH(C$4,'[1]Territory Definitions'!$D$4:$M$4,0))&lt;&gt;1,"NOT IN TERRITORY",IF(COUNTIFS('[1]Blackout Brand Fam Areas (Enc)'!$B$6:$B$998,$A78,'[1]Blackout Brand Fam Areas (Enc)'!$C$6:$C$998,C$4,'[1]Blackout Brand Fam Areas (Enc)'!$D$6:$D$998,"Inactive")&gt;0,"BLOCKED","CAN SELL")))))</f>
        <v>CAN SELL</v>
      </c>
      <c r="D78" s="11" t="str">
        <f>IF($A78="","",_xlfn.LET(_xlpm.t,MATCH($B78,'[1]Territory Definitions'!$B$5:$B$14,0),IF(ISNA(_xlpm.t),"NO TERRITORY",IF(INDEX('[1]Territory Definitions'!$D$5:$M$14,_xlpm.t,MATCH(D$4,'[1]Territory Definitions'!$D$4:$M$4,0))&lt;&gt;1,"NOT IN TERRITORY",IF(COUNTIFS('[1]Blackout Brand Fam Areas (Enc)'!$B$6:$B$998,$A78,'[1]Blackout Brand Fam Areas (Enc)'!$C$6:$C$998,D$4,'[1]Blackout Brand Fam Areas (Enc)'!$D$6:$D$998,"Inactive")&gt;0,"BLOCKED","CAN SELL")))))</f>
        <v>CAN SELL</v>
      </c>
      <c r="E78" s="11" t="str">
        <f>IF($A78="","",_xlfn.LET(_xlpm.t,MATCH($B78,'[1]Territory Definitions'!$B$5:$B$14,0),IF(ISNA(_xlpm.t),"NO TERRITORY",IF(INDEX('[1]Territory Definitions'!$D$5:$M$14,_xlpm.t,MATCH(E$4,'[1]Territory Definitions'!$D$4:$M$4,0))&lt;&gt;1,"NOT IN TERRITORY",IF(COUNTIFS('[1]Blackout Brand Fam Areas (Enc)'!$B$6:$B$998,$A78,'[1]Blackout Brand Fam Areas (Enc)'!$C$6:$C$998,E$4,'[1]Blackout Brand Fam Areas (Enc)'!$D$6:$D$998,"Inactive")&gt;0,"BLOCKED","CAN SELL")))))</f>
        <v>CAN SELL</v>
      </c>
      <c r="F78" s="11" t="str">
        <f>IF($A78="","",_xlfn.LET(_xlpm.t,MATCH($B78,'[1]Territory Definitions'!$B$5:$B$14,0),IF(ISNA(_xlpm.t),"NO TERRITORY",IF(INDEX('[1]Territory Definitions'!$D$5:$M$14,_xlpm.t,MATCH(F$4,'[1]Territory Definitions'!$D$4:$M$4,0))&lt;&gt;1,"NOT IN TERRITORY",IF(COUNTIFS('[1]Blackout Brand Fam Areas (Enc)'!$B$6:$B$998,$A78,'[1]Blackout Brand Fam Areas (Enc)'!$C$6:$C$998,F$4,'[1]Blackout Brand Fam Areas (Enc)'!$D$6:$D$998,"Inactive")&gt;0,"BLOCKED","CAN SELL")))))</f>
        <v>NOT IN TERRITORY</v>
      </c>
      <c r="G78" s="11" t="str">
        <f>IF($A78="","",_xlfn.LET(_xlpm.t,MATCH($B78,'[1]Territory Definitions'!$B$5:$B$14,0),IF(ISNA(_xlpm.t),"NO TERRITORY",IF(INDEX('[1]Territory Definitions'!$D$5:$M$14,_xlpm.t,MATCH(G$4,'[1]Territory Definitions'!$D$4:$M$4,0))&lt;&gt;1,"NOT IN TERRITORY",IF(COUNTIFS('[1]Blackout Brand Fam Areas (Enc)'!$B$6:$B$998,$A78,'[1]Blackout Brand Fam Areas (Enc)'!$C$6:$C$998,G$4,'[1]Blackout Brand Fam Areas (Enc)'!$D$6:$D$998,"Inactive")&gt;0,"BLOCKED","CAN SELL")))))</f>
        <v>NOT IN TERRITORY</v>
      </c>
      <c r="H78" s="11" t="str">
        <f>IF($A78="","",_xlfn.LET(_xlpm.t,MATCH($B78,'[1]Territory Definitions'!$B$5:$B$14,0),IF(ISNA(_xlpm.t),"NO TERRITORY",IF(INDEX('[1]Territory Definitions'!$D$5:$M$14,_xlpm.t,MATCH(H$4,'[1]Territory Definitions'!$D$4:$M$4,0))&lt;&gt;1,"NOT IN TERRITORY",IF(COUNTIFS('[1]Blackout Brand Fam Areas (Enc)'!$B$6:$B$998,$A78,'[1]Blackout Brand Fam Areas (Enc)'!$C$6:$C$998,H$4,'[1]Blackout Brand Fam Areas (Enc)'!$D$6:$D$998,"Inactive")&gt;0,"BLOCKED","CAN SELL")))))</f>
        <v>NOT IN TERRITORY</v>
      </c>
      <c r="I78" s="11" t="str">
        <f>IF($A78="","",_xlfn.LET(_xlpm.t,MATCH($B78,'[1]Territory Definitions'!$B$5:$B$14,0),IF(ISNA(_xlpm.t),"NO TERRITORY",IF(INDEX('[1]Territory Definitions'!$D$5:$M$14,_xlpm.t,MATCH(I$4,'[1]Territory Definitions'!$D$4:$M$4,0))&lt;&gt;1,"NOT IN TERRITORY",IF(COUNTIFS('[1]Blackout Brand Fam Areas (Enc)'!$B$6:$B$998,$A78,'[1]Blackout Brand Fam Areas (Enc)'!$C$6:$C$998,I$4,'[1]Blackout Brand Fam Areas (Enc)'!$D$6:$D$998,"Inactive")&gt;0,"BLOCKED","CAN SELL")))))</f>
        <v>CAN SELL</v>
      </c>
      <c r="J78" s="11" t="str">
        <f>IF($A78="","",_xlfn.LET(_xlpm.t,MATCH($B78,'[1]Territory Definitions'!$B$5:$B$14,0),IF(ISNA(_xlpm.t),"NO TERRITORY",IF(INDEX('[1]Territory Definitions'!$D$5:$M$14,_xlpm.t,MATCH(J$4,'[1]Territory Definitions'!$D$4:$M$4,0))&lt;&gt;1,"NOT IN TERRITORY",IF(COUNTIFS('[1]Blackout Brand Fam Areas (Enc)'!$B$6:$B$998,$A78,'[1]Blackout Brand Fam Areas (Enc)'!$C$6:$C$998,J$4,'[1]Blackout Brand Fam Areas (Enc)'!$D$6:$D$998,"Inactive")&gt;0,"BLOCKED","CAN SELL")))))</f>
        <v>CAN SELL</v>
      </c>
      <c r="K78" s="11" t="str">
        <f>IF($A78="","",_xlfn.LET(_xlpm.t,MATCH($B78,'[1]Territory Definitions'!$B$5:$B$14,0),IF(ISNA(_xlpm.t),"NO TERRITORY",IF(INDEX('[1]Territory Definitions'!$D$5:$M$14,_xlpm.t,MATCH(K$4,'[1]Territory Definitions'!$D$4:$M$4,0))&lt;&gt;1,"NOT IN TERRITORY",IF(COUNTIFS('[1]Blackout Brand Fam Areas (Enc)'!$B$6:$B$998,$A78,'[1]Blackout Brand Fam Areas (Enc)'!$C$6:$C$998,K$4,'[1]Blackout Brand Fam Areas (Enc)'!$D$6:$D$998,"Inactive")&gt;0,"BLOCKED","CAN SELL")))))</f>
        <v>NOT IN TERRITORY</v>
      </c>
      <c r="L78" s="11" t="str">
        <f>IF($A78="","",_xlfn.LET(_xlpm.t,MATCH($B78,'[1]Territory Definitions'!$B$5:$B$14,0),IF(ISNA(_xlpm.t),"NO TERRITORY",IF(INDEX('[1]Territory Definitions'!$D$5:$M$14,_xlpm.t,MATCH(L$4,'[1]Territory Definitions'!$D$4:$M$4,0))&lt;&gt;1,"NOT IN TERRITORY",IF(COUNTIFS('[1]Blackout Brand Fam Areas (Enc)'!$B$6:$B$998,$A78,'[1]Blackout Brand Fam Areas (Enc)'!$C$6:$C$998,L$4,'[1]Blackout Brand Fam Areas (Enc)'!$D$6:$D$998,"Inactive")&gt;0,"BLOCKED","CAN SELL")))))</f>
        <v>CAN SELL</v>
      </c>
      <c r="M78" s="12">
        <f>IF($A78="","",COUNTIF($C78:$L78,"CAN SELL"))</f>
        <v>6</v>
      </c>
      <c r="N78" s="13" cm="1">
        <f t="array" ref="N78">IF($A78="","",SUMPRODUCT(($C78:$L78="CAN SELL")*$C$3:$L$3))</f>
        <v>1596</v>
      </c>
      <c r="O78" s="14" t="str">
        <f>IF($A78="","",IF(COUNTIF($A$5:$A$299,$A78)&gt;1,"DUPLICATE - two different territories assigned",IF($B78="** NO TERRITORY SET **","No territory on Brand Family Territory (Enc)","")))</f>
        <v/>
      </c>
      <c r="P78" s="18" t="str">
        <f>IF($A78="","",IFERROR(INDEX([1]Products!$H$4:$H$4801,MATCH($A78,[1]Products!$G$4:$G$4801,0)),"(no products)"))</f>
        <v>Dad Grass</v>
      </c>
      <c r="Q78" s="19">
        <f>IF($A78="","",COUNTIFS([1]Products!$G$4:$G$4801,$A78,[1]Products!$L$4:$L$4801,"Yes"))</f>
        <v>4</v>
      </c>
      <c r="R78" s="19">
        <f>IF($A78="","",COUNTIFS([1]Products!$G$4:$G$4801,$A78,[1]Products!$L$4:$L$4801,"Yes",[1]Products!$K$4:$K$4801,"Draft"))</f>
        <v>0</v>
      </c>
      <c r="S78" s="19">
        <f>IF($A78="","",COUNTIFS([1]Products!$G$4:$G$4801,$A78,[1]Products!$L$4:$L$4801,"Yes",[1]Products!$K$4:$K$4801,"Package"))</f>
        <v>4</v>
      </c>
      <c r="T78" s="20" t="str" cm="1">
        <f t="array" ref="T78">IF($A78="","",_xlfn.IFS($Q78=0,"NO ACTIVE SKUs",AND($R78&gt;0,$S78&gt;0),"Draft &amp; Package",$R78&gt;0,"Draft only",TRUE,"Package only"))</f>
        <v>Package only</v>
      </c>
    </row>
    <row r="79" spans="1:20" x14ac:dyDescent="0.2">
      <c r="A79" s="9" t="str">
        <v>Daura</v>
      </c>
      <c r="B79" s="10" t="str">
        <f>IF($A79="","",_xlfn.XLOOKUP($A79,'[1]Brand Family Territory (Enc)'!$A:$A,'[1]Brand Family Territory (Enc)'!$B:$B,"** NO TERRITORY SET **"))</f>
        <v>All Counties</v>
      </c>
      <c r="C79" s="11" t="str">
        <f>IF($A79="","",_xlfn.LET(_xlpm.t,MATCH($B79,'[1]Territory Definitions'!$B$5:$B$14,0),IF(ISNA(_xlpm.t),"NO TERRITORY",IF(INDEX('[1]Territory Definitions'!$D$5:$M$14,_xlpm.t,MATCH(C$4,'[1]Territory Definitions'!$D$4:$M$4,0))&lt;&gt;1,"NOT IN TERRITORY",IF(COUNTIFS('[1]Blackout Brand Fam Areas (Enc)'!$B$6:$B$998,$A79,'[1]Blackout Brand Fam Areas (Enc)'!$C$6:$C$998,C$4,'[1]Blackout Brand Fam Areas (Enc)'!$D$6:$D$998,"Inactive")&gt;0,"BLOCKED","CAN SELL")))))</f>
        <v>CAN SELL</v>
      </c>
      <c r="D79" s="11" t="str">
        <f>IF($A79="","",_xlfn.LET(_xlpm.t,MATCH($B79,'[1]Territory Definitions'!$B$5:$B$14,0),IF(ISNA(_xlpm.t),"NO TERRITORY",IF(INDEX('[1]Territory Definitions'!$D$5:$M$14,_xlpm.t,MATCH(D$4,'[1]Territory Definitions'!$D$4:$M$4,0))&lt;&gt;1,"NOT IN TERRITORY",IF(COUNTIFS('[1]Blackout Brand Fam Areas (Enc)'!$B$6:$B$998,$A79,'[1]Blackout Brand Fam Areas (Enc)'!$C$6:$C$998,D$4,'[1]Blackout Brand Fam Areas (Enc)'!$D$6:$D$998,"Inactive")&gt;0,"BLOCKED","CAN SELL")))))</f>
        <v>CAN SELL</v>
      </c>
      <c r="E79" s="11" t="str">
        <f>IF($A79="","",_xlfn.LET(_xlpm.t,MATCH($B79,'[1]Territory Definitions'!$B$5:$B$14,0),IF(ISNA(_xlpm.t),"NO TERRITORY",IF(INDEX('[1]Territory Definitions'!$D$5:$M$14,_xlpm.t,MATCH(E$4,'[1]Territory Definitions'!$D$4:$M$4,0))&lt;&gt;1,"NOT IN TERRITORY",IF(COUNTIFS('[1]Blackout Brand Fam Areas (Enc)'!$B$6:$B$998,$A79,'[1]Blackout Brand Fam Areas (Enc)'!$C$6:$C$998,E$4,'[1]Blackout Brand Fam Areas (Enc)'!$D$6:$D$998,"Inactive")&gt;0,"BLOCKED","CAN SELL")))))</f>
        <v>CAN SELL</v>
      </c>
      <c r="F79" s="11" t="str">
        <f>IF($A79="","",_xlfn.LET(_xlpm.t,MATCH($B79,'[1]Territory Definitions'!$B$5:$B$14,0),IF(ISNA(_xlpm.t),"NO TERRITORY",IF(INDEX('[1]Territory Definitions'!$D$5:$M$14,_xlpm.t,MATCH(F$4,'[1]Territory Definitions'!$D$4:$M$4,0))&lt;&gt;1,"NOT IN TERRITORY",IF(COUNTIFS('[1]Blackout Brand Fam Areas (Enc)'!$B$6:$B$998,$A79,'[1]Blackout Brand Fam Areas (Enc)'!$C$6:$C$998,F$4,'[1]Blackout Brand Fam Areas (Enc)'!$D$6:$D$998,"Inactive")&gt;0,"BLOCKED","CAN SELL")))))</f>
        <v>CAN SELL</v>
      </c>
      <c r="G79" s="11" t="str">
        <f>IF($A79="","",_xlfn.LET(_xlpm.t,MATCH($B79,'[1]Territory Definitions'!$B$5:$B$14,0),IF(ISNA(_xlpm.t),"NO TERRITORY",IF(INDEX('[1]Territory Definitions'!$D$5:$M$14,_xlpm.t,MATCH(G$4,'[1]Territory Definitions'!$D$4:$M$4,0))&lt;&gt;1,"NOT IN TERRITORY",IF(COUNTIFS('[1]Blackout Brand Fam Areas (Enc)'!$B$6:$B$998,$A79,'[1]Blackout Brand Fam Areas (Enc)'!$C$6:$C$998,G$4,'[1]Blackout Brand Fam Areas (Enc)'!$D$6:$D$998,"Inactive")&gt;0,"BLOCKED","CAN SELL")))))</f>
        <v>CAN SELL</v>
      </c>
      <c r="H79" s="11" t="str">
        <f>IF($A79="","",_xlfn.LET(_xlpm.t,MATCH($B79,'[1]Territory Definitions'!$B$5:$B$14,0),IF(ISNA(_xlpm.t),"NO TERRITORY",IF(INDEX('[1]Territory Definitions'!$D$5:$M$14,_xlpm.t,MATCH(H$4,'[1]Territory Definitions'!$D$4:$M$4,0))&lt;&gt;1,"NOT IN TERRITORY",IF(COUNTIFS('[1]Blackout Brand Fam Areas (Enc)'!$B$6:$B$998,$A79,'[1]Blackout Brand Fam Areas (Enc)'!$C$6:$C$998,H$4,'[1]Blackout Brand Fam Areas (Enc)'!$D$6:$D$998,"Inactive")&gt;0,"BLOCKED","CAN SELL")))))</f>
        <v>CAN SELL</v>
      </c>
      <c r="I79" s="11" t="str">
        <f>IF($A79="","",_xlfn.LET(_xlpm.t,MATCH($B79,'[1]Territory Definitions'!$B$5:$B$14,0),IF(ISNA(_xlpm.t),"NO TERRITORY",IF(INDEX('[1]Territory Definitions'!$D$5:$M$14,_xlpm.t,MATCH(I$4,'[1]Territory Definitions'!$D$4:$M$4,0))&lt;&gt;1,"NOT IN TERRITORY",IF(COUNTIFS('[1]Blackout Brand Fam Areas (Enc)'!$B$6:$B$998,$A79,'[1]Blackout Brand Fam Areas (Enc)'!$C$6:$C$998,I$4,'[1]Blackout Brand Fam Areas (Enc)'!$D$6:$D$998,"Inactive")&gt;0,"BLOCKED","CAN SELL")))))</f>
        <v>BLOCKED</v>
      </c>
      <c r="J79" s="11" t="str">
        <f>IF($A79="","",_xlfn.LET(_xlpm.t,MATCH($B79,'[1]Territory Definitions'!$B$5:$B$14,0),IF(ISNA(_xlpm.t),"NO TERRITORY",IF(INDEX('[1]Territory Definitions'!$D$5:$M$14,_xlpm.t,MATCH(J$4,'[1]Territory Definitions'!$D$4:$M$4,0))&lt;&gt;1,"NOT IN TERRITORY",IF(COUNTIFS('[1]Blackout Brand Fam Areas (Enc)'!$B$6:$B$998,$A79,'[1]Blackout Brand Fam Areas (Enc)'!$C$6:$C$998,J$4,'[1]Blackout Brand Fam Areas (Enc)'!$D$6:$D$998,"Inactive")&gt;0,"BLOCKED","CAN SELL")))))</f>
        <v>BLOCKED</v>
      </c>
      <c r="K79" s="11" t="str">
        <f>IF($A79="","",_xlfn.LET(_xlpm.t,MATCH($B79,'[1]Territory Definitions'!$B$5:$B$14,0),IF(ISNA(_xlpm.t),"NO TERRITORY",IF(INDEX('[1]Territory Definitions'!$D$5:$M$14,_xlpm.t,MATCH(K$4,'[1]Territory Definitions'!$D$4:$M$4,0))&lt;&gt;1,"NOT IN TERRITORY",IF(COUNTIFS('[1]Blackout Brand Fam Areas (Enc)'!$B$6:$B$998,$A79,'[1]Blackout Brand Fam Areas (Enc)'!$C$6:$C$998,K$4,'[1]Blackout Brand Fam Areas (Enc)'!$D$6:$D$998,"Inactive")&gt;0,"BLOCKED","CAN SELL")))))</f>
        <v>BLOCKED</v>
      </c>
      <c r="L79" s="11" t="str">
        <f>IF($A79="","",_xlfn.LET(_xlpm.t,MATCH($B79,'[1]Territory Definitions'!$B$5:$B$14,0),IF(ISNA(_xlpm.t),"NO TERRITORY",IF(INDEX('[1]Territory Definitions'!$D$5:$M$14,_xlpm.t,MATCH(L$4,'[1]Territory Definitions'!$D$4:$M$4,0))&lt;&gt;1,"NOT IN TERRITORY",IF(COUNTIFS('[1]Blackout Brand Fam Areas (Enc)'!$B$6:$B$998,$A79,'[1]Blackout Brand Fam Areas (Enc)'!$C$6:$C$998,L$4,'[1]Blackout Brand Fam Areas (Enc)'!$D$6:$D$998,"Inactive")&gt;0,"BLOCKED","CAN SELL")))))</f>
        <v>BLOCKED</v>
      </c>
      <c r="M79" s="12">
        <f>IF($A79="","",COUNTIF($C79:$L79,"CAN SELL"))</f>
        <v>6</v>
      </c>
      <c r="N79" s="13" cm="1">
        <f t="array" ref="N79">IF($A79="","",SUMPRODUCT(($C79:$L79="CAN SELL")*$C$3:$L$3))</f>
        <v>1992</v>
      </c>
      <c r="O79" s="14" t="str">
        <f>IF($A79="","",IF(COUNTIF($A$5:$A$299,$A79)&gt;1,"DUPLICATE - two different territories assigned",IF($B79="** NO TERRITORY SET **","No territory on Brand Family Territory (Enc)","")))</f>
        <v>DUPLICATE - two different territories assigned</v>
      </c>
      <c r="P79" s="18" t="str">
        <f>IF($A79="","",IFERROR(INDEX([1]Products!$H$4:$H$4801,MATCH($A79,[1]Products!$G$4:$G$4801,0)),"(no products)"))</f>
        <v>US Beverage</v>
      </c>
      <c r="Q79" s="19">
        <f>IF($A79="","",COUNTIFS([1]Products!$G$4:$G$4801,$A79,[1]Products!$L$4:$L$4801,"Yes"))</f>
        <v>2</v>
      </c>
      <c r="R79" s="19">
        <f>IF($A79="","",COUNTIFS([1]Products!$G$4:$G$4801,$A79,[1]Products!$L$4:$L$4801,"Yes",[1]Products!$K$4:$K$4801,"Draft"))</f>
        <v>0</v>
      </c>
      <c r="S79" s="19">
        <f>IF($A79="","",COUNTIFS([1]Products!$G$4:$G$4801,$A79,[1]Products!$L$4:$L$4801,"Yes",[1]Products!$K$4:$K$4801,"Package"))</f>
        <v>2</v>
      </c>
      <c r="T79" s="20" t="str" cm="1">
        <f t="array" ref="T79">IF($A79="","",_xlfn.IFS($Q79=0,"NO ACTIVE SKUs",AND($R79&gt;0,$S79&gt;0),"Draft &amp; Package",$R79&gt;0,"Draft only",TRUE,"Package only"))</f>
        <v>Package only</v>
      </c>
    </row>
    <row r="80" spans="1:20" x14ac:dyDescent="0.2">
      <c r="A80" s="9" t="str">
        <v>Daura</v>
      </c>
      <c r="B80" s="10" t="str">
        <f>IF($A80="","",_xlfn.XLOOKUP($A80,'[1]Brand Family Territory (Enc)'!$A:$A,'[1]Brand Family Territory (Enc)'!$B:$B,"** NO TERRITORY SET **"))</f>
        <v>All Counties</v>
      </c>
      <c r="C80" s="11" t="str">
        <f>IF($A80="","",_xlfn.LET(_xlpm.t,MATCH($B80,'[1]Territory Definitions'!$B$5:$B$14,0),IF(ISNA(_xlpm.t),"NO TERRITORY",IF(INDEX('[1]Territory Definitions'!$D$5:$M$14,_xlpm.t,MATCH(C$4,'[1]Territory Definitions'!$D$4:$M$4,0))&lt;&gt;1,"NOT IN TERRITORY",IF(COUNTIFS('[1]Blackout Brand Fam Areas (Enc)'!$B$6:$B$998,$A80,'[1]Blackout Brand Fam Areas (Enc)'!$C$6:$C$998,C$4,'[1]Blackout Brand Fam Areas (Enc)'!$D$6:$D$998,"Inactive")&gt;0,"BLOCKED","CAN SELL")))))</f>
        <v>CAN SELL</v>
      </c>
      <c r="D80" s="11" t="str">
        <f>IF($A80="","",_xlfn.LET(_xlpm.t,MATCH($B80,'[1]Territory Definitions'!$B$5:$B$14,0),IF(ISNA(_xlpm.t),"NO TERRITORY",IF(INDEX('[1]Territory Definitions'!$D$5:$M$14,_xlpm.t,MATCH(D$4,'[1]Territory Definitions'!$D$4:$M$4,0))&lt;&gt;1,"NOT IN TERRITORY",IF(COUNTIFS('[1]Blackout Brand Fam Areas (Enc)'!$B$6:$B$998,$A80,'[1]Blackout Brand Fam Areas (Enc)'!$C$6:$C$998,D$4,'[1]Blackout Brand Fam Areas (Enc)'!$D$6:$D$998,"Inactive")&gt;0,"BLOCKED","CAN SELL")))))</f>
        <v>CAN SELL</v>
      </c>
      <c r="E80" s="11" t="str">
        <f>IF($A80="","",_xlfn.LET(_xlpm.t,MATCH($B80,'[1]Territory Definitions'!$B$5:$B$14,0),IF(ISNA(_xlpm.t),"NO TERRITORY",IF(INDEX('[1]Territory Definitions'!$D$5:$M$14,_xlpm.t,MATCH(E$4,'[1]Territory Definitions'!$D$4:$M$4,0))&lt;&gt;1,"NOT IN TERRITORY",IF(COUNTIFS('[1]Blackout Brand Fam Areas (Enc)'!$B$6:$B$998,$A80,'[1]Blackout Brand Fam Areas (Enc)'!$C$6:$C$998,E$4,'[1]Blackout Brand Fam Areas (Enc)'!$D$6:$D$998,"Inactive")&gt;0,"BLOCKED","CAN SELL")))))</f>
        <v>CAN SELL</v>
      </c>
      <c r="F80" s="11" t="str">
        <f>IF($A80="","",_xlfn.LET(_xlpm.t,MATCH($B80,'[1]Territory Definitions'!$B$5:$B$14,0),IF(ISNA(_xlpm.t),"NO TERRITORY",IF(INDEX('[1]Territory Definitions'!$D$5:$M$14,_xlpm.t,MATCH(F$4,'[1]Territory Definitions'!$D$4:$M$4,0))&lt;&gt;1,"NOT IN TERRITORY",IF(COUNTIFS('[1]Blackout Brand Fam Areas (Enc)'!$B$6:$B$998,$A80,'[1]Blackout Brand Fam Areas (Enc)'!$C$6:$C$998,F$4,'[1]Blackout Brand Fam Areas (Enc)'!$D$6:$D$998,"Inactive")&gt;0,"BLOCKED","CAN SELL")))))</f>
        <v>CAN SELL</v>
      </c>
      <c r="G80" s="11" t="str">
        <f>IF($A80="","",_xlfn.LET(_xlpm.t,MATCH($B80,'[1]Territory Definitions'!$B$5:$B$14,0),IF(ISNA(_xlpm.t),"NO TERRITORY",IF(INDEX('[1]Territory Definitions'!$D$5:$M$14,_xlpm.t,MATCH(G$4,'[1]Territory Definitions'!$D$4:$M$4,0))&lt;&gt;1,"NOT IN TERRITORY",IF(COUNTIFS('[1]Blackout Brand Fam Areas (Enc)'!$B$6:$B$998,$A80,'[1]Blackout Brand Fam Areas (Enc)'!$C$6:$C$998,G$4,'[1]Blackout Brand Fam Areas (Enc)'!$D$6:$D$998,"Inactive")&gt;0,"BLOCKED","CAN SELL")))))</f>
        <v>CAN SELL</v>
      </c>
      <c r="H80" s="11" t="str">
        <f>IF($A80="","",_xlfn.LET(_xlpm.t,MATCH($B80,'[1]Territory Definitions'!$B$5:$B$14,0),IF(ISNA(_xlpm.t),"NO TERRITORY",IF(INDEX('[1]Territory Definitions'!$D$5:$M$14,_xlpm.t,MATCH(H$4,'[1]Territory Definitions'!$D$4:$M$4,0))&lt;&gt;1,"NOT IN TERRITORY",IF(COUNTIFS('[1]Blackout Brand Fam Areas (Enc)'!$B$6:$B$998,$A80,'[1]Blackout Brand Fam Areas (Enc)'!$C$6:$C$998,H$4,'[1]Blackout Brand Fam Areas (Enc)'!$D$6:$D$998,"Inactive")&gt;0,"BLOCKED","CAN SELL")))))</f>
        <v>CAN SELL</v>
      </c>
      <c r="I80" s="11" t="str">
        <f>IF($A80="","",_xlfn.LET(_xlpm.t,MATCH($B80,'[1]Territory Definitions'!$B$5:$B$14,0),IF(ISNA(_xlpm.t),"NO TERRITORY",IF(INDEX('[1]Territory Definitions'!$D$5:$M$14,_xlpm.t,MATCH(I$4,'[1]Territory Definitions'!$D$4:$M$4,0))&lt;&gt;1,"NOT IN TERRITORY",IF(COUNTIFS('[1]Blackout Brand Fam Areas (Enc)'!$B$6:$B$998,$A80,'[1]Blackout Brand Fam Areas (Enc)'!$C$6:$C$998,I$4,'[1]Blackout Brand Fam Areas (Enc)'!$D$6:$D$998,"Inactive")&gt;0,"BLOCKED","CAN SELL")))))</f>
        <v>BLOCKED</v>
      </c>
      <c r="J80" s="11" t="str">
        <f>IF($A80="","",_xlfn.LET(_xlpm.t,MATCH($B80,'[1]Territory Definitions'!$B$5:$B$14,0),IF(ISNA(_xlpm.t),"NO TERRITORY",IF(INDEX('[1]Territory Definitions'!$D$5:$M$14,_xlpm.t,MATCH(J$4,'[1]Territory Definitions'!$D$4:$M$4,0))&lt;&gt;1,"NOT IN TERRITORY",IF(COUNTIFS('[1]Blackout Brand Fam Areas (Enc)'!$B$6:$B$998,$A80,'[1]Blackout Brand Fam Areas (Enc)'!$C$6:$C$998,J$4,'[1]Blackout Brand Fam Areas (Enc)'!$D$6:$D$998,"Inactive")&gt;0,"BLOCKED","CAN SELL")))))</f>
        <v>BLOCKED</v>
      </c>
      <c r="K80" s="11" t="str">
        <f>IF($A80="","",_xlfn.LET(_xlpm.t,MATCH($B80,'[1]Territory Definitions'!$B$5:$B$14,0),IF(ISNA(_xlpm.t),"NO TERRITORY",IF(INDEX('[1]Territory Definitions'!$D$5:$M$14,_xlpm.t,MATCH(K$4,'[1]Territory Definitions'!$D$4:$M$4,0))&lt;&gt;1,"NOT IN TERRITORY",IF(COUNTIFS('[1]Blackout Brand Fam Areas (Enc)'!$B$6:$B$998,$A80,'[1]Blackout Brand Fam Areas (Enc)'!$C$6:$C$998,K$4,'[1]Blackout Brand Fam Areas (Enc)'!$D$6:$D$998,"Inactive")&gt;0,"BLOCKED","CAN SELL")))))</f>
        <v>BLOCKED</v>
      </c>
      <c r="L80" s="11" t="str">
        <f>IF($A80="","",_xlfn.LET(_xlpm.t,MATCH($B80,'[1]Territory Definitions'!$B$5:$B$14,0),IF(ISNA(_xlpm.t),"NO TERRITORY",IF(INDEX('[1]Territory Definitions'!$D$5:$M$14,_xlpm.t,MATCH(L$4,'[1]Territory Definitions'!$D$4:$M$4,0))&lt;&gt;1,"NOT IN TERRITORY",IF(COUNTIFS('[1]Blackout Brand Fam Areas (Enc)'!$B$6:$B$998,$A80,'[1]Blackout Brand Fam Areas (Enc)'!$C$6:$C$998,L$4,'[1]Blackout Brand Fam Areas (Enc)'!$D$6:$D$998,"Inactive")&gt;0,"BLOCKED","CAN SELL")))))</f>
        <v>BLOCKED</v>
      </c>
      <c r="M80" s="12">
        <f>IF($A80="","",COUNTIF($C80:$L80,"CAN SELL"))</f>
        <v>6</v>
      </c>
      <c r="N80" s="13" cm="1">
        <f t="array" ref="N80">IF($A80="","",SUMPRODUCT(($C80:$L80="CAN SELL")*$C$3:$L$3))</f>
        <v>1992</v>
      </c>
      <c r="O80" s="14" t="str">
        <f>IF($A80="","",IF(COUNTIF($A$5:$A$299,$A80)&gt;1,"DUPLICATE - two different territories assigned",IF($B80="** NO TERRITORY SET **","No territory on Brand Family Territory (Enc)","")))</f>
        <v>DUPLICATE - two different territories assigned</v>
      </c>
      <c r="P80" s="18" t="str">
        <f>IF($A80="","",IFERROR(INDEX([1]Products!$H$4:$H$4801,MATCH($A80,[1]Products!$G$4:$G$4801,0)),"(no products)"))</f>
        <v>US Beverage</v>
      </c>
      <c r="Q80" s="19">
        <f>IF($A80="","",COUNTIFS([1]Products!$G$4:$G$4801,$A80,[1]Products!$L$4:$L$4801,"Yes"))</f>
        <v>2</v>
      </c>
      <c r="R80" s="19">
        <f>IF($A80="","",COUNTIFS([1]Products!$G$4:$G$4801,$A80,[1]Products!$L$4:$L$4801,"Yes",[1]Products!$K$4:$K$4801,"Draft"))</f>
        <v>0</v>
      </c>
      <c r="S80" s="19">
        <f>IF($A80="","",COUNTIFS([1]Products!$G$4:$G$4801,$A80,[1]Products!$L$4:$L$4801,"Yes",[1]Products!$K$4:$K$4801,"Package"))</f>
        <v>2</v>
      </c>
      <c r="T80" s="20" t="str" cm="1">
        <f t="array" ref="T80">IF($A80="","",_xlfn.IFS($Q80=0,"NO ACTIVE SKUs",AND($R80&gt;0,$S80&gt;0),"Draft &amp; Package",$R80&gt;0,"Draft only",TRUE,"Package only"))</f>
        <v>Package only</v>
      </c>
    </row>
    <row r="81" spans="1:20" x14ac:dyDescent="0.2">
      <c r="A81" s="9" t="str">
        <v>Day Chaser</v>
      </c>
      <c r="B81" s="10" t="str">
        <f>IF($A81="","",_xlfn.XLOOKUP($A81,'[1]Brand Family Territory (Enc)'!$A:$A,'[1]Brand Family Territory (Enc)'!$B:$B,"** NO TERRITORY SET **"))</f>
        <v>All Counties</v>
      </c>
      <c r="C81" s="11" t="str">
        <f>IF($A81="","",_xlfn.LET(_xlpm.t,MATCH($B81,'[1]Territory Definitions'!$B$5:$B$14,0),IF(ISNA(_xlpm.t),"NO TERRITORY",IF(INDEX('[1]Territory Definitions'!$D$5:$M$14,_xlpm.t,MATCH(C$4,'[1]Territory Definitions'!$D$4:$M$4,0))&lt;&gt;1,"NOT IN TERRITORY",IF(COUNTIFS('[1]Blackout Brand Fam Areas (Enc)'!$B$6:$B$998,$A81,'[1]Blackout Brand Fam Areas (Enc)'!$C$6:$C$998,C$4,'[1]Blackout Brand Fam Areas (Enc)'!$D$6:$D$998,"Inactive")&gt;0,"BLOCKED","CAN SELL")))))</f>
        <v>CAN SELL</v>
      </c>
      <c r="D81" s="11" t="str">
        <f>IF($A81="","",_xlfn.LET(_xlpm.t,MATCH($B81,'[1]Territory Definitions'!$B$5:$B$14,0),IF(ISNA(_xlpm.t),"NO TERRITORY",IF(INDEX('[1]Territory Definitions'!$D$5:$M$14,_xlpm.t,MATCH(D$4,'[1]Territory Definitions'!$D$4:$M$4,0))&lt;&gt;1,"NOT IN TERRITORY",IF(COUNTIFS('[1]Blackout Brand Fam Areas (Enc)'!$B$6:$B$998,$A81,'[1]Blackout Brand Fam Areas (Enc)'!$C$6:$C$998,D$4,'[1]Blackout Brand Fam Areas (Enc)'!$D$6:$D$998,"Inactive")&gt;0,"BLOCKED","CAN SELL")))))</f>
        <v>CAN SELL</v>
      </c>
      <c r="E81" s="11" t="str">
        <f>IF($A81="","",_xlfn.LET(_xlpm.t,MATCH($B81,'[1]Territory Definitions'!$B$5:$B$14,0),IF(ISNA(_xlpm.t),"NO TERRITORY",IF(INDEX('[1]Territory Definitions'!$D$5:$M$14,_xlpm.t,MATCH(E$4,'[1]Territory Definitions'!$D$4:$M$4,0))&lt;&gt;1,"NOT IN TERRITORY",IF(COUNTIFS('[1]Blackout Brand Fam Areas (Enc)'!$B$6:$B$998,$A81,'[1]Blackout Brand Fam Areas (Enc)'!$C$6:$C$998,E$4,'[1]Blackout Brand Fam Areas (Enc)'!$D$6:$D$998,"Inactive")&gt;0,"BLOCKED","CAN SELL")))))</f>
        <v>CAN SELL</v>
      </c>
      <c r="F81" s="11" t="str">
        <f>IF($A81="","",_xlfn.LET(_xlpm.t,MATCH($B81,'[1]Territory Definitions'!$B$5:$B$14,0),IF(ISNA(_xlpm.t),"NO TERRITORY",IF(INDEX('[1]Territory Definitions'!$D$5:$M$14,_xlpm.t,MATCH(F$4,'[1]Territory Definitions'!$D$4:$M$4,0))&lt;&gt;1,"NOT IN TERRITORY",IF(COUNTIFS('[1]Blackout Brand Fam Areas (Enc)'!$B$6:$B$998,$A81,'[1]Blackout Brand Fam Areas (Enc)'!$C$6:$C$998,F$4,'[1]Blackout Brand Fam Areas (Enc)'!$D$6:$D$998,"Inactive")&gt;0,"BLOCKED","CAN SELL")))))</f>
        <v>CAN SELL</v>
      </c>
      <c r="G81" s="11" t="str">
        <f>IF($A81="","",_xlfn.LET(_xlpm.t,MATCH($B81,'[1]Territory Definitions'!$B$5:$B$14,0),IF(ISNA(_xlpm.t),"NO TERRITORY",IF(INDEX('[1]Territory Definitions'!$D$5:$M$14,_xlpm.t,MATCH(G$4,'[1]Territory Definitions'!$D$4:$M$4,0))&lt;&gt;1,"NOT IN TERRITORY",IF(COUNTIFS('[1]Blackout Brand Fam Areas (Enc)'!$B$6:$B$998,$A81,'[1]Blackout Brand Fam Areas (Enc)'!$C$6:$C$998,G$4,'[1]Blackout Brand Fam Areas (Enc)'!$D$6:$D$998,"Inactive")&gt;0,"BLOCKED","CAN SELL")))))</f>
        <v>CAN SELL</v>
      </c>
      <c r="H81" s="11" t="str">
        <f>IF($A81="","",_xlfn.LET(_xlpm.t,MATCH($B81,'[1]Territory Definitions'!$B$5:$B$14,0),IF(ISNA(_xlpm.t),"NO TERRITORY",IF(INDEX('[1]Territory Definitions'!$D$5:$M$14,_xlpm.t,MATCH(H$4,'[1]Territory Definitions'!$D$4:$M$4,0))&lt;&gt;1,"NOT IN TERRITORY",IF(COUNTIFS('[1]Blackout Brand Fam Areas (Enc)'!$B$6:$B$998,$A81,'[1]Blackout Brand Fam Areas (Enc)'!$C$6:$C$998,H$4,'[1]Blackout Brand Fam Areas (Enc)'!$D$6:$D$998,"Inactive")&gt;0,"BLOCKED","CAN SELL")))))</f>
        <v>CAN SELL</v>
      </c>
      <c r="I81" s="11" t="str">
        <f>IF($A81="","",_xlfn.LET(_xlpm.t,MATCH($B81,'[1]Territory Definitions'!$B$5:$B$14,0),IF(ISNA(_xlpm.t),"NO TERRITORY",IF(INDEX('[1]Territory Definitions'!$D$5:$M$14,_xlpm.t,MATCH(I$4,'[1]Territory Definitions'!$D$4:$M$4,0))&lt;&gt;1,"NOT IN TERRITORY",IF(COUNTIFS('[1]Blackout Brand Fam Areas (Enc)'!$B$6:$B$998,$A81,'[1]Blackout Brand Fam Areas (Enc)'!$C$6:$C$998,I$4,'[1]Blackout Brand Fam Areas (Enc)'!$D$6:$D$998,"Inactive")&gt;0,"BLOCKED","CAN SELL")))))</f>
        <v>CAN SELL</v>
      </c>
      <c r="J81" s="11" t="str">
        <f>IF($A81="","",_xlfn.LET(_xlpm.t,MATCH($B81,'[1]Territory Definitions'!$B$5:$B$14,0),IF(ISNA(_xlpm.t),"NO TERRITORY",IF(INDEX('[1]Territory Definitions'!$D$5:$M$14,_xlpm.t,MATCH(J$4,'[1]Territory Definitions'!$D$4:$M$4,0))&lt;&gt;1,"NOT IN TERRITORY",IF(COUNTIFS('[1]Blackout Brand Fam Areas (Enc)'!$B$6:$B$998,$A81,'[1]Blackout Brand Fam Areas (Enc)'!$C$6:$C$998,J$4,'[1]Blackout Brand Fam Areas (Enc)'!$D$6:$D$998,"Inactive")&gt;0,"BLOCKED","CAN SELL")))))</f>
        <v>CAN SELL</v>
      </c>
      <c r="K81" s="11" t="str">
        <f>IF($A81="","",_xlfn.LET(_xlpm.t,MATCH($B81,'[1]Territory Definitions'!$B$5:$B$14,0),IF(ISNA(_xlpm.t),"NO TERRITORY",IF(INDEX('[1]Territory Definitions'!$D$5:$M$14,_xlpm.t,MATCH(K$4,'[1]Territory Definitions'!$D$4:$M$4,0))&lt;&gt;1,"NOT IN TERRITORY",IF(COUNTIFS('[1]Blackout Brand Fam Areas (Enc)'!$B$6:$B$998,$A81,'[1]Blackout Brand Fam Areas (Enc)'!$C$6:$C$998,K$4,'[1]Blackout Brand Fam Areas (Enc)'!$D$6:$D$998,"Inactive")&gt;0,"BLOCKED","CAN SELL")))))</f>
        <v>CAN SELL</v>
      </c>
      <c r="L81" s="11" t="str">
        <f>IF($A81="","",_xlfn.LET(_xlpm.t,MATCH($B81,'[1]Territory Definitions'!$B$5:$B$14,0),IF(ISNA(_xlpm.t),"NO TERRITORY",IF(INDEX('[1]Territory Definitions'!$D$5:$M$14,_xlpm.t,MATCH(L$4,'[1]Territory Definitions'!$D$4:$M$4,0))&lt;&gt;1,"NOT IN TERRITORY",IF(COUNTIFS('[1]Blackout Brand Fam Areas (Enc)'!$B$6:$B$998,$A81,'[1]Blackout Brand Fam Areas (Enc)'!$C$6:$C$998,L$4,'[1]Blackout Brand Fam Areas (Enc)'!$D$6:$D$998,"Inactive")&gt;0,"BLOCKED","CAN SELL")))))</f>
        <v>CAN SELL</v>
      </c>
      <c r="M81" s="12">
        <f>IF($A81="","",COUNTIF($C81:$L81,"CAN SELL"))</f>
        <v>10</v>
      </c>
      <c r="N81" s="13" cm="1">
        <f t="array" ref="N81">IF($A81="","",SUMPRODUCT(($C81:$L81="CAN SELL")*$C$3:$L$3))</f>
        <v>2306</v>
      </c>
      <c r="O81" s="14" t="str">
        <f>IF($A81="","",IF(COUNTIF($A$5:$A$299,$A81)&gt;1,"DUPLICATE - two different territories assigned",IF($B81="** NO TERRITORY SET **","No territory on Brand Family Territory (Enc)","")))</f>
        <v/>
      </c>
      <c r="P81" s="18" t="str">
        <f>IF($A81="","",IFERROR(INDEX([1]Products!$H$4:$H$4801,MATCH($A81,[1]Products!$G$4:$G$4801,0)),"(no products)"))</f>
        <v>(no products)</v>
      </c>
      <c r="Q81" s="19">
        <f>IF($A81="","",COUNTIFS([1]Products!$G$4:$G$4801,$A81,[1]Products!$L$4:$L$4801,"Yes"))</f>
        <v>0</v>
      </c>
      <c r="R81" s="19">
        <f>IF($A81="","",COUNTIFS([1]Products!$G$4:$G$4801,$A81,[1]Products!$L$4:$L$4801,"Yes",[1]Products!$K$4:$K$4801,"Draft"))</f>
        <v>0</v>
      </c>
      <c r="S81" s="19">
        <f>IF($A81="","",COUNTIFS([1]Products!$G$4:$G$4801,$A81,[1]Products!$L$4:$L$4801,"Yes",[1]Products!$K$4:$K$4801,"Package"))</f>
        <v>0</v>
      </c>
      <c r="T81" s="20" t="str" cm="1">
        <f t="array" ref="T81">IF($A81="","",_xlfn.IFS($Q81=0,"NO ACTIVE SKUs",AND($R81&gt;0,$S81&gt;0),"Draft &amp; Package",$R81&gt;0,"Draft only",TRUE,"Package only"))</f>
        <v>NO ACTIVE SKUs</v>
      </c>
    </row>
    <row r="82" spans="1:20" x14ac:dyDescent="0.2">
      <c r="A82" s="9" t="str">
        <v>Defiant</v>
      </c>
      <c r="B82" s="10" t="str">
        <f>IF($A82="","",_xlfn.XLOOKUP($A82,'[1]Brand Family Territory (Enc)'!$A:$A,'[1]Brand Family Territory (Enc)'!$B:$B,"** NO TERRITORY SET **"))</f>
        <v>All Counties</v>
      </c>
      <c r="C82" s="11" t="str">
        <f>IF($A82="","",_xlfn.LET(_xlpm.t,MATCH($B82,'[1]Territory Definitions'!$B$5:$B$14,0),IF(ISNA(_xlpm.t),"NO TERRITORY",IF(INDEX('[1]Territory Definitions'!$D$5:$M$14,_xlpm.t,MATCH(C$4,'[1]Territory Definitions'!$D$4:$M$4,0))&lt;&gt;1,"NOT IN TERRITORY",IF(COUNTIFS('[1]Blackout Brand Fam Areas (Enc)'!$B$6:$B$998,$A82,'[1]Blackout Brand Fam Areas (Enc)'!$C$6:$C$998,C$4,'[1]Blackout Brand Fam Areas (Enc)'!$D$6:$D$998,"Inactive")&gt;0,"BLOCKED","CAN SELL")))))</f>
        <v>CAN SELL</v>
      </c>
      <c r="D82" s="11" t="str">
        <f>IF($A82="","",_xlfn.LET(_xlpm.t,MATCH($B82,'[1]Territory Definitions'!$B$5:$B$14,0),IF(ISNA(_xlpm.t),"NO TERRITORY",IF(INDEX('[1]Territory Definitions'!$D$5:$M$14,_xlpm.t,MATCH(D$4,'[1]Territory Definitions'!$D$4:$M$4,0))&lt;&gt;1,"NOT IN TERRITORY",IF(COUNTIFS('[1]Blackout Brand Fam Areas (Enc)'!$B$6:$B$998,$A82,'[1]Blackout Brand Fam Areas (Enc)'!$C$6:$C$998,D$4,'[1]Blackout Brand Fam Areas (Enc)'!$D$6:$D$998,"Inactive")&gt;0,"BLOCKED","CAN SELL")))))</f>
        <v>CAN SELL</v>
      </c>
      <c r="E82" s="11" t="str">
        <f>IF($A82="","",_xlfn.LET(_xlpm.t,MATCH($B82,'[1]Territory Definitions'!$B$5:$B$14,0),IF(ISNA(_xlpm.t),"NO TERRITORY",IF(INDEX('[1]Territory Definitions'!$D$5:$M$14,_xlpm.t,MATCH(E$4,'[1]Territory Definitions'!$D$4:$M$4,0))&lt;&gt;1,"NOT IN TERRITORY",IF(COUNTIFS('[1]Blackout Brand Fam Areas (Enc)'!$B$6:$B$998,$A82,'[1]Blackout Brand Fam Areas (Enc)'!$C$6:$C$998,E$4,'[1]Blackout Brand Fam Areas (Enc)'!$D$6:$D$998,"Inactive")&gt;0,"BLOCKED","CAN SELL")))))</f>
        <v>CAN SELL</v>
      </c>
      <c r="F82" s="11" t="str">
        <f>IF($A82="","",_xlfn.LET(_xlpm.t,MATCH($B82,'[1]Territory Definitions'!$B$5:$B$14,0),IF(ISNA(_xlpm.t),"NO TERRITORY",IF(INDEX('[1]Territory Definitions'!$D$5:$M$14,_xlpm.t,MATCH(F$4,'[1]Territory Definitions'!$D$4:$M$4,0))&lt;&gt;1,"NOT IN TERRITORY",IF(COUNTIFS('[1]Blackout Brand Fam Areas (Enc)'!$B$6:$B$998,$A82,'[1]Blackout Brand Fam Areas (Enc)'!$C$6:$C$998,F$4,'[1]Blackout Brand Fam Areas (Enc)'!$D$6:$D$998,"Inactive")&gt;0,"BLOCKED","CAN SELL")))))</f>
        <v>CAN SELL</v>
      </c>
      <c r="G82" s="11" t="str">
        <f>IF($A82="","",_xlfn.LET(_xlpm.t,MATCH($B82,'[1]Territory Definitions'!$B$5:$B$14,0),IF(ISNA(_xlpm.t),"NO TERRITORY",IF(INDEX('[1]Territory Definitions'!$D$5:$M$14,_xlpm.t,MATCH(G$4,'[1]Territory Definitions'!$D$4:$M$4,0))&lt;&gt;1,"NOT IN TERRITORY",IF(COUNTIFS('[1]Blackout Brand Fam Areas (Enc)'!$B$6:$B$998,$A82,'[1]Blackout Brand Fam Areas (Enc)'!$C$6:$C$998,G$4,'[1]Blackout Brand Fam Areas (Enc)'!$D$6:$D$998,"Inactive")&gt;0,"BLOCKED","CAN SELL")))))</f>
        <v>CAN SELL</v>
      </c>
      <c r="H82" s="11" t="str">
        <f>IF($A82="","",_xlfn.LET(_xlpm.t,MATCH($B82,'[1]Territory Definitions'!$B$5:$B$14,0),IF(ISNA(_xlpm.t),"NO TERRITORY",IF(INDEX('[1]Territory Definitions'!$D$5:$M$14,_xlpm.t,MATCH(H$4,'[1]Territory Definitions'!$D$4:$M$4,0))&lt;&gt;1,"NOT IN TERRITORY",IF(COUNTIFS('[1]Blackout Brand Fam Areas (Enc)'!$B$6:$B$998,$A82,'[1]Blackout Brand Fam Areas (Enc)'!$C$6:$C$998,H$4,'[1]Blackout Brand Fam Areas (Enc)'!$D$6:$D$998,"Inactive")&gt;0,"BLOCKED","CAN SELL")))))</f>
        <v>CAN SELL</v>
      </c>
      <c r="I82" s="11" t="str">
        <f>IF($A82="","",_xlfn.LET(_xlpm.t,MATCH($B82,'[1]Territory Definitions'!$B$5:$B$14,0),IF(ISNA(_xlpm.t),"NO TERRITORY",IF(INDEX('[1]Territory Definitions'!$D$5:$M$14,_xlpm.t,MATCH(I$4,'[1]Territory Definitions'!$D$4:$M$4,0))&lt;&gt;1,"NOT IN TERRITORY",IF(COUNTIFS('[1]Blackout Brand Fam Areas (Enc)'!$B$6:$B$998,$A82,'[1]Blackout Brand Fam Areas (Enc)'!$C$6:$C$998,I$4,'[1]Blackout Brand Fam Areas (Enc)'!$D$6:$D$998,"Inactive")&gt;0,"BLOCKED","CAN SELL")))))</f>
        <v>CAN SELL</v>
      </c>
      <c r="J82" s="11" t="str">
        <f>IF($A82="","",_xlfn.LET(_xlpm.t,MATCH($B82,'[1]Territory Definitions'!$B$5:$B$14,0),IF(ISNA(_xlpm.t),"NO TERRITORY",IF(INDEX('[1]Territory Definitions'!$D$5:$M$14,_xlpm.t,MATCH(J$4,'[1]Territory Definitions'!$D$4:$M$4,0))&lt;&gt;1,"NOT IN TERRITORY",IF(COUNTIFS('[1]Blackout Brand Fam Areas (Enc)'!$B$6:$B$998,$A82,'[1]Blackout Brand Fam Areas (Enc)'!$C$6:$C$998,J$4,'[1]Blackout Brand Fam Areas (Enc)'!$D$6:$D$998,"Inactive")&gt;0,"BLOCKED","CAN SELL")))))</f>
        <v>CAN SELL</v>
      </c>
      <c r="K82" s="11" t="str">
        <f>IF($A82="","",_xlfn.LET(_xlpm.t,MATCH($B82,'[1]Territory Definitions'!$B$5:$B$14,0),IF(ISNA(_xlpm.t),"NO TERRITORY",IF(INDEX('[1]Territory Definitions'!$D$5:$M$14,_xlpm.t,MATCH(K$4,'[1]Territory Definitions'!$D$4:$M$4,0))&lt;&gt;1,"NOT IN TERRITORY",IF(COUNTIFS('[1]Blackout Brand Fam Areas (Enc)'!$B$6:$B$998,$A82,'[1]Blackout Brand Fam Areas (Enc)'!$C$6:$C$998,K$4,'[1]Blackout Brand Fam Areas (Enc)'!$D$6:$D$998,"Inactive")&gt;0,"BLOCKED","CAN SELL")))))</f>
        <v>CAN SELL</v>
      </c>
      <c r="L82" s="11" t="str">
        <f>IF($A82="","",_xlfn.LET(_xlpm.t,MATCH($B82,'[1]Territory Definitions'!$B$5:$B$14,0),IF(ISNA(_xlpm.t),"NO TERRITORY",IF(INDEX('[1]Territory Definitions'!$D$5:$M$14,_xlpm.t,MATCH(L$4,'[1]Territory Definitions'!$D$4:$M$4,0))&lt;&gt;1,"NOT IN TERRITORY",IF(COUNTIFS('[1]Blackout Brand Fam Areas (Enc)'!$B$6:$B$998,$A82,'[1]Blackout Brand Fam Areas (Enc)'!$C$6:$C$998,L$4,'[1]Blackout Brand Fam Areas (Enc)'!$D$6:$D$998,"Inactive")&gt;0,"BLOCKED","CAN SELL")))))</f>
        <v>CAN SELL</v>
      </c>
      <c r="M82" s="12">
        <f>IF($A82="","",COUNTIF($C82:$L82,"CAN SELL"))</f>
        <v>10</v>
      </c>
      <c r="N82" s="13" cm="1">
        <f t="array" ref="N82">IF($A82="","",SUMPRODUCT(($C82:$L82="CAN SELL")*$C$3:$L$3))</f>
        <v>2306</v>
      </c>
      <c r="O82" s="14" t="str">
        <f>IF($A82="","",IF(COUNTIF($A$5:$A$299,$A82)&gt;1,"DUPLICATE - two different territories assigned",IF($B82="** NO TERRITORY SET **","No territory on Brand Family Territory (Enc)","")))</f>
        <v/>
      </c>
      <c r="P82" s="18" t="str">
        <f>IF($A82="","",IFERROR(INDEX([1]Products!$H$4:$H$4801,MATCH($A82,[1]Products!$G$4:$G$4801,0)),"(no products)"))</f>
        <v>(no products)</v>
      </c>
      <c r="Q82" s="19">
        <f>IF($A82="","",COUNTIFS([1]Products!$G$4:$G$4801,$A82,[1]Products!$L$4:$L$4801,"Yes"))</f>
        <v>0</v>
      </c>
      <c r="R82" s="19">
        <f>IF($A82="","",COUNTIFS([1]Products!$G$4:$G$4801,$A82,[1]Products!$L$4:$L$4801,"Yes",[1]Products!$K$4:$K$4801,"Draft"))</f>
        <v>0</v>
      </c>
      <c r="S82" s="19">
        <f>IF($A82="","",COUNTIFS([1]Products!$G$4:$G$4801,$A82,[1]Products!$L$4:$L$4801,"Yes",[1]Products!$K$4:$K$4801,"Package"))</f>
        <v>0</v>
      </c>
      <c r="T82" s="20" t="str" cm="1">
        <f t="array" ref="T82">IF($A82="","",_xlfn.IFS($Q82=0,"NO ACTIVE SKUs",AND($R82&gt;0,$S82&gt;0),"Draft &amp; Package",$R82&gt;0,"Draft only",TRUE,"Package only"))</f>
        <v>NO ACTIVE SKUs</v>
      </c>
    </row>
    <row r="83" spans="1:20" x14ac:dyDescent="0.2">
      <c r="A83" s="9" t="str">
        <v>Del's Shandy</v>
      </c>
      <c r="B83" s="10" t="str">
        <f>IF($A83="","",_xlfn.XLOOKUP($A83,'[1]Brand Family Territory (Enc)'!$A:$A,'[1]Brand Family Territory (Enc)'!$B:$B,"** NO TERRITORY SET **"))</f>
        <v>Core Market</v>
      </c>
      <c r="C83" s="11" t="str">
        <f>IF($A83="","",_xlfn.LET(_xlpm.t,MATCH($B83,'[1]Territory Definitions'!$B$5:$B$14,0),IF(ISNA(_xlpm.t),"NO TERRITORY",IF(INDEX('[1]Territory Definitions'!$D$5:$M$14,_xlpm.t,MATCH(C$4,'[1]Territory Definitions'!$D$4:$M$4,0))&lt;&gt;1,"NOT IN TERRITORY",IF(COUNTIFS('[1]Blackout Brand Fam Areas (Enc)'!$B$6:$B$998,$A83,'[1]Blackout Brand Fam Areas (Enc)'!$C$6:$C$998,C$4,'[1]Blackout Brand Fam Areas (Enc)'!$D$6:$D$998,"Inactive")&gt;0,"BLOCKED","CAN SELL")))))</f>
        <v>CAN SELL</v>
      </c>
      <c r="D83" s="11" t="str">
        <f>IF($A83="","",_xlfn.LET(_xlpm.t,MATCH($B83,'[1]Territory Definitions'!$B$5:$B$14,0),IF(ISNA(_xlpm.t),"NO TERRITORY",IF(INDEX('[1]Territory Definitions'!$D$5:$M$14,_xlpm.t,MATCH(D$4,'[1]Territory Definitions'!$D$4:$M$4,0))&lt;&gt;1,"NOT IN TERRITORY",IF(COUNTIFS('[1]Blackout Brand Fam Areas (Enc)'!$B$6:$B$998,$A83,'[1]Blackout Brand Fam Areas (Enc)'!$C$6:$C$998,D$4,'[1]Blackout Brand Fam Areas (Enc)'!$D$6:$D$998,"Inactive")&gt;0,"BLOCKED","CAN SELL")))))</f>
        <v>CAN SELL</v>
      </c>
      <c r="E83" s="11" t="str">
        <f>IF($A83="","",_xlfn.LET(_xlpm.t,MATCH($B83,'[1]Territory Definitions'!$B$5:$B$14,0),IF(ISNA(_xlpm.t),"NO TERRITORY",IF(INDEX('[1]Territory Definitions'!$D$5:$M$14,_xlpm.t,MATCH(E$4,'[1]Territory Definitions'!$D$4:$M$4,0))&lt;&gt;1,"NOT IN TERRITORY",IF(COUNTIFS('[1]Blackout Brand Fam Areas (Enc)'!$B$6:$B$998,$A83,'[1]Blackout Brand Fam Areas (Enc)'!$C$6:$C$998,E$4,'[1]Blackout Brand Fam Areas (Enc)'!$D$6:$D$998,"Inactive")&gt;0,"BLOCKED","CAN SELL")))))</f>
        <v>CAN SELL</v>
      </c>
      <c r="F83" s="11" t="str">
        <f>IF($A83="","",_xlfn.LET(_xlpm.t,MATCH($B83,'[1]Territory Definitions'!$B$5:$B$14,0),IF(ISNA(_xlpm.t),"NO TERRITORY",IF(INDEX('[1]Territory Definitions'!$D$5:$M$14,_xlpm.t,MATCH(F$4,'[1]Territory Definitions'!$D$4:$M$4,0))&lt;&gt;1,"NOT IN TERRITORY",IF(COUNTIFS('[1]Blackout Brand Fam Areas (Enc)'!$B$6:$B$998,$A83,'[1]Blackout Brand Fam Areas (Enc)'!$C$6:$C$998,F$4,'[1]Blackout Brand Fam Areas (Enc)'!$D$6:$D$998,"Inactive")&gt;0,"BLOCKED","CAN SELL")))))</f>
        <v>NOT IN TERRITORY</v>
      </c>
      <c r="G83" s="11" t="str">
        <f>IF($A83="","",_xlfn.LET(_xlpm.t,MATCH($B83,'[1]Territory Definitions'!$B$5:$B$14,0),IF(ISNA(_xlpm.t),"NO TERRITORY",IF(INDEX('[1]Territory Definitions'!$D$5:$M$14,_xlpm.t,MATCH(G$4,'[1]Territory Definitions'!$D$4:$M$4,0))&lt;&gt;1,"NOT IN TERRITORY",IF(COUNTIFS('[1]Blackout Brand Fam Areas (Enc)'!$B$6:$B$998,$A83,'[1]Blackout Brand Fam Areas (Enc)'!$C$6:$C$998,G$4,'[1]Blackout Brand Fam Areas (Enc)'!$D$6:$D$998,"Inactive")&gt;0,"BLOCKED","CAN SELL")))))</f>
        <v>NOT IN TERRITORY</v>
      </c>
      <c r="H83" s="11" t="str">
        <f>IF($A83="","",_xlfn.LET(_xlpm.t,MATCH($B83,'[1]Territory Definitions'!$B$5:$B$14,0),IF(ISNA(_xlpm.t),"NO TERRITORY",IF(INDEX('[1]Territory Definitions'!$D$5:$M$14,_xlpm.t,MATCH(H$4,'[1]Territory Definitions'!$D$4:$M$4,0))&lt;&gt;1,"NOT IN TERRITORY",IF(COUNTIFS('[1]Blackout Brand Fam Areas (Enc)'!$B$6:$B$998,$A83,'[1]Blackout Brand Fam Areas (Enc)'!$C$6:$C$998,H$4,'[1]Blackout Brand Fam Areas (Enc)'!$D$6:$D$998,"Inactive")&gt;0,"BLOCKED","CAN SELL")))))</f>
        <v>NOT IN TERRITORY</v>
      </c>
      <c r="I83" s="11" t="str">
        <f>IF($A83="","",_xlfn.LET(_xlpm.t,MATCH($B83,'[1]Territory Definitions'!$B$5:$B$14,0),IF(ISNA(_xlpm.t),"NO TERRITORY",IF(INDEX('[1]Territory Definitions'!$D$5:$M$14,_xlpm.t,MATCH(I$4,'[1]Territory Definitions'!$D$4:$M$4,0))&lt;&gt;1,"NOT IN TERRITORY",IF(COUNTIFS('[1]Blackout Brand Fam Areas (Enc)'!$B$6:$B$998,$A83,'[1]Blackout Brand Fam Areas (Enc)'!$C$6:$C$998,I$4,'[1]Blackout Brand Fam Areas (Enc)'!$D$6:$D$998,"Inactive")&gt;0,"BLOCKED","CAN SELL")))))</f>
        <v>CAN SELL</v>
      </c>
      <c r="J83" s="11" t="str">
        <f>IF($A83="","",_xlfn.LET(_xlpm.t,MATCH($B83,'[1]Territory Definitions'!$B$5:$B$14,0),IF(ISNA(_xlpm.t),"NO TERRITORY",IF(INDEX('[1]Territory Definitions'!$D$5:$M$14,_xlpm.t,MATCH(J$4,'[1]Territory Definitions'!$D$4:$M$4,0))&lt;&gt;1,"NOT IN TERRITORY",IF(COUNTIFS('[1]Blackout Brand Fam Areas (Enc)'!$B$6:$B$998,$A83,'[1]Blackout Brand Fam Areas (Enc)'!$C$6:$C$998,J$4,'[1]Blackout Brand Fam Areas (Enc)'!$D$6:$D$998,"Inactive")&gt;0,"BLOCKED","CAN SELL")))))</f>
        <v>CAN SELL</v>
      </c>
      <c r="K83" s="11" t="str">
        <f>IF($A83="","",_xlfn.LET(_xlpm.t,MATCH($B83,'[1]Territory Definitions'!$B$5:$B$14,0),IF(ISNA(_xlpm.t),"NO TERRITORY",IF(INDEX('[1]Territory Definitions'!$D$5:$M$14,_xlpm.t,MATCH(K$4,'[1]Territory Definitions'!$D$4:$M$4,0))&lt;&gt;1,"NOT IN TERRITORY",IF(COUNTIFS('[1]Blackout Brand Fam Areas (Enc)'!$B$6:$B$998,$A83,'[1]Blackout Brand Fam Areas (Enc)'!$C$6:$C$998,K$4,'[1]Blackout Brand Fam Areas (Enc)'!$D$6:$D$998,"Inactive")&gt;0,"BLOCKED","CAN SELL")))))</f>
        <v>NOT IN TERRITORY</v>
      </c>
      <c r="L83" s="11" t="str">
        <f>IF($A83="","",_xlfn.LET(_xlpm.t,MATCH($B83,'[1]Territory Definitions'!$B$5:$B$14,0),IF(ISNA(_xlpm.t),"NO TERRITORY",IF(INDEX('[1]Territory Definitions'!$D$5:$M$14,_xlpm.t,MATCH(L$4,'[1]Territory Definitions'!$D$4:$M$4,0))&lt;&gt;1,"NOT IN TERRITORY",IF(COUNTIFS('[1]Blackout Brand Fam Areas (Enc)'!$B$6:$B$998,$A83,'[1]Blackout Brand Fam Areas (Enc)'!$C$6:$C$998,L$4,'[1]Blackout Brand Fam Areas (Enc)'!$D$6:$D$998,"Inactive")&gt;0,"BLOCKED","CAN SELL")))))</f>
        <v>CAN SELL</v>
      </c>
      <c r="M83" s="12">
        <f>IF($A83="","",COUNTIF($C83:$L83,"CAN SELL"))</f>
        <v>6</v>
      </c>
      <c r="N83" s="13" cm="1">
        <f t="array" ref="N83">IF($A83="","",SUMPRODUCT(($C83:$L83="CAN SELL")*$C$3:$L$3))</f>
        <v>1596</v>
      </c>
      <c r="O83" s="14" t="str">
        <f>IF($A83="","",IF(COUNTIF($A$5:$A$299,$A83)&gt;1,"DUPLICATE - two different territories assigned",IF($B83="** NO TERRITORY SET **","No territory on Brand Family Territory (Enc)","")))</f>
        <v/>
      </c>
      <c r="P83" s="18" t="str">
        <f>IF($A83="","",IFERROR(INDEX([1]Products!$H$4:$H$4801,MATCH($A83,[1]Products!$G$4:$G$4801,0)),"(no products)"))</f>
        <v>Narragansett</v>
      </c>
      <c r="Q83" s="19">
        <f>IF($A83="","",COUNTIFS([1]Products!$G$4:$G$4801,$A83,[1]Products!$L$4:$L$4801,"Yes"))</f>
        <v>2</v>
      </c>
      <c r="R83" s="19">
        <f>IF($A83="","",COUNTIFS([1]Products!$G$4:$G$4801,$A83,[1]Products!$L$4:$L$4801,"Yes",[1]Products!$K$4:$K$4801,"Draft"))</f>
        <v>0</v>
      </c>
      <c r="S83" s="19">
        <f>IF($A83="","",COUNTIFS([1]Products!$G$4:$G$4801,$A83,[1]Products!$L$4:$L$4801,"Yes",[1]Products!$K$4:$K$4801,"Package"))</f>
        <v>2</v>
      </c>
      <c r="T83" s="20" t="str" cm="1">
        <f t="array" ref="T83">IF($A83="","",_xlfn.IFS($Q83=0,"NO ACTIVE SKUs",AND($R83&gt;0,$S83&gt;0),"Draft &amp; Package",$R83&gt;0,"Draft only",TRUE,"Package only"))</f>
        <v>Package only</v>
      </c>
    </row>
    <row r="84" spans="1:20" x14ac:dyDescent="0.2">
      <c r="A84" s="9" t="str">
        <v>Delta</v>
      </c>
      <c r="B84" s="10" t="str">
        <f>IF($A84="","",_xlfn.XLOOKUP($A84,'[1]Brand Family Territory (Enc)'!$A:$A,'[1]Brand Family Territory (Enc)'!$B:$B,"** NO TERRITORY SET **"))</f>
        <v>All Counties</v>
      </c>
      <c r="C84" s="11" t="str">
        <f>IF($A84="","",_xlfn.LET(_xlpm.t,MATCH($B84,'[1]Territory Definitions'!$B$5:$B$14,0),IF(ISNA(_xlpm.t),"NO TERRITORY",IF(INDEX('[1]Territory Definitions'!$D$5:$M$14,_xlpm.t,MATCH(C$4,'[1]Territory Definitions'!$D$4:$M$4,0))&lt;&gt;1,"NOT IN TERRITORY",IF(COUNTIFS('[1]Blackout Brand Fam Areas (Enc)'!$B$6:$B$998,$A84,'[1]Blackout Brand Fam Areas (Enc)'!$C$6:$C$998,C$4,'[1]Blackout Brand Fam Areas (Enc)'!$D$6:$D$998,"Inactive")&gt;0,"BLOCKED","CAN SELL")))))</f>
        <v>CAN SELL</v>
      </c>
      <c r="D84" s="11" t="str">
        <f>IF($A84="","",_xlfn.LET(_xlpm.t,MATCH($B84,'[1]Territory Definitions'!$B$5:$B$14,0),IF(ISNA(_xlpm.t),"NO TERRITORY",IF(INDEX('[1]Territory Definitions'!$D$5:$M$14,_xlpm.t,MATCH(D$4,'[1]Territory Definitions'!$D$4:$M$4,0))&lt;&gt;1,"NOT IN TERRITORY",IF(COUNTIFS('[1]Blackout Brand Fam Areas (Enc)'!$B$6:$B$998,$A84,'[1]Blackout Brand Fam Areas (Enc)'!$C$6:$C$998,D$4,'[1]Blackout Brand Fam Areas (Enc)'!$D$6:$D$998,"Inactive")&gt;0,"BLOCKED","CAN SELL")))))</f>
        <v>CAN SELL</v>
      </c>
      <c r="E84" s="11" t="str">
        <f>IF($A84="","",_xlfn.LET(_xlpm.t,MATCH($B84,'[1]Territory Definitions'!$B$5:$B$14,0),IF(ISNA(_xlpm.t),"NO TERRITORY",IF(INDEX('[1]Territory Definitions'!$D$5:$M$14,_xlpm.t,MATCH(E$4,'[1]Territory Definitions'!$D$4:$M$4,0))&lt;&gt;1,"NOT IN TERRITORY",IF(COUNTIFS('[1]Blackout Brand Fam Areas (Enc)'!$B$6:$B$998,$A84,'[1]Blackout Brand Fam Areas (Enc)'!$C$6:$C$998,E$4,'[1]Blackout Brand Fam Areas (Enc)'!$D$6:$D$998,"Inactive")&gt;0,"BLOCKED","CAN SELL")))))</f>
        <v>CAN SELL</v>
      </c>
      <c r="F84" s="11" t="str">
        <f>IF($A84="","",_xlfn.LET(_xlpm.t,MATCH($B84,'[1]Territory Definitions'!$B$5:$B$14,0),IF(ISNA(_xlpm.t),"NO TERRITORY",IF(INDEX('[1]Territory Definitions'!$D$5:$M$14,_xlpm.t,MATCH(F$4,'[1]Territory Definitions'!$D$4:$M$4,0))&lt;&gt;1,"NOT IN TERRITORY",IF(COUNTIFS('[1]Blackout Brand Fam Areas (Enc)'!$B$6:$B$998,$A84,'[1]Blackout Brand Fam Areas (Enc)'!$C$6:$C$998,F$4,'[1]Blackout Brand Fam Areas (Enc)'!$D$6:$D$998,"Inactive")&gt;0,"BLOCKED","CAN SELL")))))</f>
        <v>CAN SELL</v>
      </c>
      <c r="G84" s="11" t="str">
        <f>IF($A84="","",_xlfn.LET(_xlpm.t,MATCH($B84,'[1]Territory Definitions'!$B$5:$B$14,0),IF(ISNA(_xlpm.t),"NO TERRITORY",IF(INDEX('[1]Territory Definitions'!$D$5:$M$14,_xlpm.t,MATCH(G$4,'[1]Territory Definitions'!$D$4:$M$4,0))&lt;&gt;1,"NOT IN TERRITORY",IF(COUNTIFS('[1]Blackout Brand Fam Areas (Enc)'!$B$6:$B$998,$A84,'[1]Blackout Brand Fam Areas (Enc)'!$C$6:$C$998,G$4,'[1]Blackout Brand Fam Areas (Enc)'!$D$6:$D$998,"Inactive")&gt;0,"BLOCKED","CAN SELL")))))</f>
        <v>CAN SELL</v>
      </c>
      <c r="H84" s="11" t="str">
        <f>IF($A84="","",_xlfn.LET(_xlpm.t,MATCH($B84,'[1]Territory Definitions'!$B$5:$B$14,0),IF(ISNA(_xlpm.t),"NO TERRITORY",IF(INDEX('[1]Territory Definitions'!$D$5:$M$14,_xlpm.t,MATCH(H$4,'[1]Territory Definitions'!$D$4:$M$4,0))&lt;&gt;1,"NOT IN TERRITORY",IF(COUNTIFS('[1]Blackout Brand Fam Areas (Enc)'!$B$6:$B$998,$A84,'[1]Blackout Brand Fam Areas (Enc)'!$C$6:$C$998,H$4,'[1]Blackout Brand Fam Areas (Enc)'!$D$6:$D$998,"Inactive")&gt;0,"BLOCKED","CAN SELL")))))</f>
        <v>CAN SELL</v>
      </c>
      <c r="I84" s="11" t="str">
        <f>IF($A84="","",_xlfn.LET(_xlpm.t,MATCH($B84,'[1]Territory Definitions'!$B$5:$B$14,0),IF(ISNA(_xlpm.t),"NO TERRITORY",IF(INDEX('[1]Territory Definitions'!$D$5:$M$14,_xlpm.t,MATCH(I$4,'[1]Territory Definitions'!$D$4:$M$4,0))&lt;&gt;1,"NOT IN TERRITORY",IF(COUNTIFS('[1]Blackout Brand Fam Areas (Enc)'!$B$6:$B$998,$A84,'[1]Blackout Brand Fam Areas (Enc)'!$C$6:$C$998,I$4,'[1]Blackout Brand Fam Areas (Enc)'!$D$6:$D$998,"Inactive")&gt;0,"BLOCKED","CAN SELL")))))</f>
        <v>CAN SELL</v>
      </c>
      <c r="J84" s="11" t="str">
        <f>IF($A84="","",_xlfn.LET(_xlpm.t,MATCH($B84,'[1]Territory Definitions'!$B$5:$B$14,0),IF(ISNA(_xlpm.t),"NO TERRITORY",IF(INDEX('[1]Territory Definitions'!$D$5:$M$14,_xlpm.t,MATCH(J$4,'[1]Territory Definitions'!$D$4:$M$4,0))&lt;&gt;1,"NOT IN TERRITORY",IF(COUNTIFS('[1]Blackout Brand Fam Areas (Enc)'!$B$6:$B$998,$A84,'[1]Blackout Brand Fam Areas (Enc)'!$C$6:$C$998,J$4,'[1]Blackout Brand Fam Areas (Enc)'!$D$6:$D$998,"Inactive")&gt;0,"BLOCKED","CAN SELL")))))</f>
        <v>CAN SELL</v>
      </c>
      <c r="K84" s="11" t="str">
        <f>IF($A84="","",_xlfn.LET(_xlpm.t,MATCH($B84,'[1]Territory Definitions'!$B$5:$B$14,0),IF(ISNA(_xlpm.t),"NO TERRITORY",IF(INDEX('[1]Territory Definitions'!$D$5:$M$14,_xlpm.t,MATCH(K$4,'[1]Territory Definitions'!$D$4:$M$4,0))&lt;&gt;1,"NOT IN TERRITORY",IF(COUNTIFS('[1]Blackout Brand Fam Areas (Enc)'!$B$6:$B$998,$A84,'[1]Blackout Brand Fam Areas (Enc)'!$C$6:$C$998,K$4,'[1]Blackout Brand Fam Areas (Enc)'!$D$6:$D$998,"Inactive")&gt;0,"BLOCKED","CAN SELL")))))</f>
        <v>CAN SELL</v>
      </c>
      <c r="L84" s="11" t="str">
        <f>IF($A84="","",_xlfn.LET(_xlpm.t,MATCH($B84,'[1]Territory Definitions'!$B$5:$B$14,0),IF(ISNA(_xlpm.t),"NO TERRITORY",IF(INDEX('[1]Territory Definitions'!$D$5:$M$14,_xlpm.t,MATCH(L$4,'[1]Territory Definitions'!$D$4:$M$4,0))&lt;&gt;1,"NOT IN TERRITORY",IF(COUNTIFS('[1]Blackout Brand Fam Areas (Enc)'!$B$6:$B$998,$A84,'[1]Blackout Brand Fam Areas (Enc)'!$C$6:$C$998,L$4,'[1]Blackout Brand Fam Areas (Enc)'!$D$6:$D$998,"Inactive")&gt;0,"BLOCKED","CAN SELL")))))</f>
        <v>CAN SELL</v>
      </c>
      <c r="M84" s="12">
        <f>IF($A84="","",COUNTIF($C84:$L84,"CAN SELL"))</f>
        <v>10</v>
      </c>
      <c r="N84" s="13" cm="1">
        <f t="array" ref="N84">IF($A84="","",SUMPRODUCT(($C84:$L84="CAN SELL")*$C$3:$L$3))</f>
        <v>2306</v>
      </c>
      <c r="O84" s="14" t="str">
        <f>IF($A84="","",IF(COUNTIF($A$5:$A$299,$A84)&gt;1,"DUPLICATE - two different territories assigned",IF($B84="** NO TERRITORY SET **","No territory on Brand Family Territory (Enc)","")))</f>
        <v/>
      </c>
      <c r="P84" s="18" t="str">
        <f>IF($A84="","",IFERROR(INDEX([1]Products!$H$4:$H$4801,MATCH($A84,[1]Products!$G$4:$G$4801,0)),"(no products)"))</f>
        <v>Delta Beverage LLC</v>
      </c>
      <c r="Q84" s="19">
        <f>IF($A84="","",COUNTIFS([1]Products!$G$4:$G$4801,$A84,[1]Products!$L$4:$L$4801,"Yes"))</f>
        <v>8</v>
      </c>
      <c r="R84" s="19">
        <f>IF($A84="","",COUNTIFS([1]Products!$G$4:$G$4801,$A84,[1]Products!$L$4:$L$4801,"Yes",[1]Products!$K$4:$K$4801,"Draft"))</f>
        <v>0</v>
      </c>
      <c r="S84" s="19">
        <f>IF($A84="","",COUNTIFS([1]Products!$G$4:$G$4801,$A84,[1]Products!$L$4:$L$4801,"Yes",[1]Products!$K$4:$K$4801,"Package"))</f>
        <v>8</v>
      </c>
      <c r="T84" s="20" t="str" cm="1">
        <f t="array" ref="T84">IF($A84="","",_xlfn.IFS($Q84=0,"NO ACTIVE SKUs",AND($R84&gt;0,$S84&gt;0),"Draft &amp; Package",$R84&gt;0,"Draft only",TRUE,"Package only"))</f>
        <v>Package only</v>
      </c>
    </row>
    <row r="85" spans="1:20" x14ac:dyDescent="0.2">
      <c r="A85" s="9" t="str">
        <v>Desquite</v>
      </c>
      <c r="B85" s="10" t="str">
        <f>IF($A85="","",_xlfn.XLOOKUP($A85,'[1]Brand Family Territory (Enc)'!$A:$A,'[1]Brand Family Territory (Enc)'!$B:$B,"** NO TERRITORY SET **"))</f>
        <v>All Counties</v>
      </c>
      <c r="C85" s="11" t="str">
        <f>IF($A85="","",_xlfn.LET(_xlpm.t,MATCH($B85,'[1]Territory Definitions'!$B$5:$B$14,0),IF(ISNA(_xlpm.t),"NO TERRITORY",IF(INDEX('[1]Territory Definitions'!$D$5:$M$14,_xlpm.t,MATCH(C$4,'[1]Territory Definitions'!$D$4:$M$4,0))&lt;&gt;1,"NOT IN TERRITORY",IF(COUNTIFS('[1]Blackout Brand Fam Areas (Enc)'!$B$6:$B$998,$A85,'[1]Blackout Brand Fam Areas (Enc)'!$C$6:$C$998,C$4,'[1]Blackout Brand Fam Areas (Enc)'!$D$6:$D$998,"Inactive")&gt;0,"BLOCKED","CAN SELL")))))</f>
        <v>CAN SELL</v>
      </c>
      <c r="D85" s="11" t="str">
        <f>IF($A85="","",_xlfn.LET(_xlpm.t,MATCH($B85,'[1]Territory Definitions'!$B$5:$B$14,0),IF(ISNA(_xlpm.t),"NO TERRITORY",IF(INDEX('[1]Territory Definitions'!$D$5:$M$14,_xlpm.t,MATCH(D$4,'[1]Territory Definitions'!$D$4:$M$4,0))&lt;&gt;1,"NOT IN TERRITORY",IF(COUNTIFS('[1]Blackout Brand Fam Areas (Enc)'!$B$6:$B$998,$A85,'[1]Blackout Brand Fam Areas (Enc)'!$C$6:$C$998,D$4,'[1]Blackout Brand Fam Areas (Enc)'!$D$6:$D$998,"Inactive")&gt;0,"BLOCKED","CAN SELL")))))</f>
        <v>CAN SELL</v>
      </c>
      <c r="E85" s="11" t="str">
        <f>IF($A85="","",_xlfn.LET(_xlpm.t,MATCH($B85,'[1]Territory Definitions'!$B$5:$B$14,0),IF(ISNA(_xlpm.t),"NO TERRITORY",IF(INDEX('[1]Territory Definitions'!$D$5:$M$14,_xlpm.t,MATCH(E$4,'[1]Territory Definitions'!$D$4:$M$4,0))&lt;&gt;1,"NOT IN TERRITORY",IF(COUNTIFS('[1]Blackout Brand Fam Areas (Enc)'!$B$6:$B$998,$A85,'[1]Blackout Brand Fam Areas (Enc)'!$C$6:$C$998,E$4,'[1]Blackout Brand Fam Areas (Enc)'!$D$6:$D$998,"Inactive")&gt;0,"BLOCKED","CAN SELL")))))</f>
        <v>CAN SELL</v>
      </c>
      <c r="F85" s="11" t="str">
        <f>IF($A85="","",_xlfn.LET(_xlpm.t,MATCH($B85,'[1]Territory Definitions'!$B$5:$B$14,0),IF(ISNA(_xlpm.t),"NO TERRITORY",IF(INDEX('[1]Territory Definitions'!$D$5:$M$14,_xlpm.t,MATCH(F$4,'[1]Territory Definitions'!$D$4:$M$4,0))&lt;&gt;1,"NOT IN TERRITORY",IF(COUNTIFS('[1]Blackout Brand Fam Areas (Enc)'!$B$6:$B$998,$A85,'[1]Blackout Brand Fam Areas (Enc)'!$C$6:$C$998,F$4,'[1]Blackout Brand Fam Areas (Enc)'!$D$6:$D$998,"Inactive")&gt;0,"BLOCKED","CAN SELL")))))</f>
        <v>CAN SELL</v>
      </c>
      <c r="G85" s="11" t="str">
        <f>IF($A85="","",_xlfn.LET(_xlpm.t,MATCH($B85,'[1]Territory Definitions'!$B$5:$B$14,0),IF(ISNA(_xlpm.t),"NO TERRITORY",IF(INDEX('[1]Territory Definitions'!$D$5:$M$14,_xlpm.t,MATCH(G$4,'[1]Territory Definitions'!$D$4:$M$4,0))&lt;&gt;1,"NOT IN TERRITORY",IF(COUNTIFS('[1]Blackout Brand Fam Areas (Enc)'!$B$6:$B$998,$A85,'[1]Blackout Brand Fam Areas (Enc)'!$C$6:$C$998,G$4,'[1]Blackout Brand Fam Areas (Enc)'!$D$6:$D$998,"Inactive")&gt;0,"BLOCKED","CAN SELL")))))</f>
        <v>CAN SELL</v>
      </c>
      <c r="H85" s="11" t="str">
        <f>IF($A85="","",_xlfn.LET(_xlpm.t,MATCH($B85,'[1]Territory Definitions'!$B$5:$B$14,0),IF(ISNA(_xlpm.t),"NO TERRITORY",IF(INDEX('[1]Territory Definitions'!$D$5:$M$14,_xlpm.t,MATCH(H$4,'[1]Territory Definitions'!$D$4:$M$4,0))&lt;&gt;1,"NOT IN TERRITORY",IF(COUNTIFS('[1]Blackout Brand Fam Areas (Enc)'!$B$6:$B$998,$A85,'[1]Blackout Brand Fam Areas (Enc)'!$C$6:$C$998,H$4,'[1]Blackout Brand Fam Areas (Enc)'!$D$6:$D$998,"Inactive")&gt;0,"BLOCKED","CAN SELL")))))</f>
        <v>CAN SELL</v>
      </c>
      <c r="I85" s="11" t="str">
        <f>IF($A85="","",_xlfn.LET(_xlpm.t,MATCH($B85,'[1]Territory Definitions'!$B$5:$B$14,0),IF(ISNA(_xlpm.t),"NO TERRITORY",IF(INDEX('[1]Territory Definitions'!$D$5:$M$14,_xlpm.t,MATCH(I$4,'[1]Territory Definitions'!$D$4:$M$4,0))&lt;&gt;1,"NOT IN TERRITORY",IF(COUNTIFS('[1]Blackout Brand Fam Areas (Enc)'!$B$6:$B$998,$A85,'[1]Blackout Brand Fam Areas (Enc)'!$C$6:$C$998,I$4,'[1]Blackout Brand Fam Areas (Enc)'!$D$6:$D$998,"Inactive")&gt;0,"BLOCKED","CAN SELL")))))</f>
        <v>CAN SELL</v>
      </c>
      <c r="J85" s="11" t="str">
        <f>IF($A85="","",_xlfn.LET(_xlpm.t,MATCH($B85,'[1]Territory Definitions'!$B$5:$B$14,0),IF(ISNA(_xlpm.t),"NO TERRITORY",IF(INDEX('[1]Territory Definitions'!$D$5:$M$14,_xlpm.t,MATCH(J$4,'[1]Territory Definitions'!$D$4:$M$4,0))&lt;&gt;1,"NOT IN TERRITORY",IF(COUNTIFS('[1]Blackout Brand Fam Areas (Enc)'!$B$6:$B$998,$A85,'[1]Blackout Brand Fam Areas (Enc)'!$C$6:$C$998,J$4,'[1]Blackout Brand Fam Areas (Enc)'!$D$6:$D$998,"Inactive")&gt;0,"BLOCKED","CAN SELL")))))</f>
        <v>CAN SELL</v>
      </c>
      <c r="K85" s="11" t="str">
        <f>IF($A85="","",_xlfn.LET(_xlpm.t,MATCH($B85,'[1]Territory Definitions'!$B$5:$B$14,0),IF(ISNA(_xlpm.t),"NO TERRITORY",IF(INDEX('[1]Territory Definitions'!$D$5:$M$14,_xlpm.t,MATCH(K$4,'[1]Territory Definitions'!$D$4:$M$4,0))&lt;&gt;1,"NOT IN TERRITORY",IF(COUNTIFS('[1]Blackout Brand Fam Areas (Enc)'!$B$6:$B$998,$A85,'[1]Blackout Brand Fam Areas (Enc)'!$C$6:$C$998,K$4,'[1]Blackout Brand Fam Areas (Enc)'!$D$6:$D$998,"Inactive")&gt;0,"BLOCKED","CAN SELL")))))</f>
        <v>CAN SELL</v>
      </c>
      <c r="L85" s="11" t="str">
        <f>IF($A85="","",_xlfn.LET(_xlpm.t,MATCH($B85,'[1]Territory Definitions'!$B$5:$B$14,0),IF(ISNA(_xlpm.t),"NO TERRITORY",IF(INDEX('[1]Territory Definitions'!$D$5:$M$14,_xlpm.t,MATCH(L$4,'[1]Territory Definitions'!$D$4:$M$4,0))&lt;&gt;1,"NOT IN TERRITORY",IF(COUNTIFS('[1]Blackout Brand Fam Areas (Enc)'!$B$6:$B$998,$A85,'[1]Blackout Brand Fam Areas (Enc)'!$C$6:$C$998,L$4,'[1]Blackout Brand Fam Areas (Enc)'!$D$6:$D$998,"Inactive")&gt;0,"BLOCKED","CAN SELL")))))</f>
        <v>CAN SELL</v>
      </c>
      <c r="M85" s="12">
        <f>IF($A85="","",COUNTIF($C85:$L85,"CAN SELL"))</f>
        <v>10</v>
      </c>
      <c r="N85" s="13" cm="1">
        <f t="array" ref="N85">IF($A85="","",SUMPRODUCT(($C85:$L85="CAN SELL")*$C$3:$L$3))</f>
        <v>2306</v>
      </c>
      <c r="O85" s="14" t="str">
        <f>IF($A85="","",IF(COUNTIF($A$5:$A$299,$A85)&gt;1,"DUPLICATE - two different territories assigned",IF($B85="** NO TERRITORY SET **","No territory on Brand Family Territory (Enc)","")))</f>
        <v/>
      </c>
      <c r="P85" s="18" t="str">
        <f>IF($A85="","",IFERROR(INDEX([1]Products!$H$4:$H$4801,MATCH($A85,[1]Products!$G$4:$G$4801,0)),"(no products)"))</f>
        <v>Licores Artesanales</v>
      </c>
      <c r="Q85" s="19">
        <f>IF($A85="","",COUNTIFS([1]Products!$G$4:$G$4801,$A85,[1]Products!$L$4:$L$4801,"Yes"))</f>
        <v>2</v>
      </c>
      <c r="R85" s="19">
        <f>IF($A85="","",COUNTIFS([1]Products!$G$4:$G$4801,$A85,[1]Products!$L$4:$L$4801,"Yes",[1]Products!$K$4:$K$4801,"Draft"))</f>
        <v>0</v>
      </c>
      <c r="S85" s="19">
        <f>IF($A85="","",COUNTIFS([1]Products!$G$4:$G$4801,$A85,[1]Products!$L$4:$L$4801,"Yes",[1]Products!$K$4:$K$4801,"Package"))</f>
        <v>0</v>
      </c>
      <c r="T85" s="20" t="str" cm="1">
        <f t="array" ref="T85">IF($A85="","",_xlfn.IFS($Q85=0,"NO ACTIVE SKUs",AND($R85&gt;0,$S85&gt;0),"Draft &amp; Package",$R85&gt;0,"Draft only",TRUE,"Package only"))</f>
        <v>Package only</v>
      </c>
    </row>
    <row r="86" spans="1:20" x14ac:dyDescent="0.2">
      <c r="A86" s="9" t="str">
        <v>Dewey Crush</v>
      </c>
      <c r="B86" s="10" t="str">
        <f>IF($A86="","",_xlfn.XLOOKUP($A86,'[1]Brand Family Territory (Enc)'!$A:$A,'[1]Brand Family Territory (Enc)'!$B:$B,"** NO TERRITORY SET **"))</f>
        <v>All Counties</v>
      </c>
      <c r="C86" s="11" t="str">
        <f>IF($A86="","",_xlfn.LET(_xlpm.t,MATCH($B86,'[1]Territory Definitions'!$B$5:$B$14,0),IF(ISNA(_xlpm.t),"NO TERRITORY",IF(INDEX('[1]Territory Definitions'!$D$5:$M$14,_xlpm.t,MATCH(C$4,'[1]Territory Definitions'!$D$4:$M$4,0))&lt;&gt;1,"NOT IN TERRITORY",IF(COUNTIFS('[1]Blackout Brand Fam Areas (Enc)'!$B$6:$B$998,$A86,'[1]Blackout Brand Fam Areas (Enc)'!$C$6:$C$998,C$4,'[1]Blackout Brand Fam Areas (Enc)'!$D$6:$D$998,"Inactive")&gt;0,"BLOCKED","CAN SELL")))))</f>
        <v>CAN SELL</v>
      </c>
      <c r="D86" s="11" t="str">
        <f>IF($A86="","",_xlfn.LET(_xlpm.t,MATCH($B86,'[1]Territory Definitions'!$B$5:$B$14,0),IF(ISNA(_xlpm.t),"NO TERRITORY",IF(INDEX('[1]Territory Definitions'!$D$5:$M$14,_xlpm.t,MATCH(D$4,'[1]Territory Definitions'!$D$4:$M$4,0))&lt;&gt;1,"NOT IN TERRITORY",IF(COUNTIFS('[1]Blackout Brand Fam Areas (Enc)'!$B$6:$B$998,$A86,'[1]Blackout Brand Fam Areas (Enc)'!$C$6:$C$998,D$4,'[1]Blackout Brand Fam Areas (Enc)'!$D$6:$D$998,"Inactive")&gt;0,"BLOCKED","CAN SELL")))))</f>
        <v>CAN SELL</v>
      </c>
      <c r="E86" s="11" t="str">
        <f>IF($A86="","",_xlfn.LET(_xlpm.t,MATCH($B86,'[1]Territory Definitions'!$B$5:$B$14,0),IF(ISNA(_xlpm.t),"NO TERRITORY",IF(INDEX('[1]Territory Definitions'!$D$5:$M$14,_xlpm.t,MATCH(E$4,'[1]Territory Definitions'!$D$4:$M$4,0))&lt;&gt;1,"NOT IN TERRITORY",IF(COUNTIFS('[1]Blackout Brand Fam Areas (Enc)'!$B$6:$B$998,$A86,'[1]Blackout Brand Fam Areas (Enc)'!$C$6:$C$998,E$4,'[1]Blackout Brand Fam Areas (Enc)'!$D$6:$D$998,"Inactive")&gt;0,"BLOCKED","CAN SELL")))))</f>
        <v>CAN SELL</v>
      </c>
      <c r="F86" s="11" t="str">
        <f>IF($A86="","",_xlfn.LET(_xlpm.t,MATCH($B86,'[1]Territory Definitions'!$B$5:$B$14,0),IF(ISNA(_xlpm.t),"NO TERRITORY",IF(INDEX('[1]Territory Definitions'!$D$5:$M$14,_xlpm.t,MATCH(F$4,'[1]Territory Definitions'!$D$4:$M$4,0))&lt;&gt;1,"NOT IN TERRITORY",IF(COUNTIFS('[1]Blackout Brand Fam Areas (Enc)'!$B$6:$B$998,$A86,'[1]Blackout Brand Fam Areas (Enc)'!$C$6:$C$998,F$4,'[1]Blackout Brand Fam Areas (Enc)'!$D$6:$D$998,"Inactive")&gt;0,"BLOCKED","CAN SELL")))))</f>
        <v>CAN SELL</v>
      </c>
      <c r="G86" s="11" t="str">
        <f>IF($A86="","",_xlfn.LET(_xlpm.t,MATCH($B86,'[1]Territory Definitions'!$B$5:$B$14,0),IF(ISNA(_xlpm.t),"NO TERRITORY",IF(INDEX('[1]Territory Definitions'!$D$5:$M$14,_xlpm.t,MATCH(G$4,'[1]Territory Definitions'!$D$4:$M$4,0))&lt;&gt;1,"NOT IN TERRITORY",IF(COUNTIFS('[1]Blackout Brand Fam Areas (Enc)'!$B$6:$B$998,$A86,'[1]Blackout Brand Fam Areas (Enc)'!$C$6:$C$998,G$4,'[1]Blackout Brand Fam Areas (Enc)'!$D$6:$D$998,"Inactive")&gt;0,"BLOCKED","CAN SELL")))))</f>
        <v>CAN SELL</v>
      </c>
      <c r="H86" s="11" t="str">
        <f>IF($A86="","",_xlfn.LET(_xlpm.t,MATCH($B86,'[1]Territory Definitions'!$B$5:$B$14,0),IF(ISNA(_xlpm.t),"NO TERRITORY",IF(INDEX('[1]Territory Definitions'!$D$5:$M$14,_xlpm.t,MATCH(H$4,'[1]Territory Definitions'!$D$4:$M$4,0))&lt;&gt;1,"NOT IN TERRITORY",IF(COUNTIFS('[1]Blackout Brand Fam Areas (Enc)'!$B$6:$B$998,$A86,'[1]Blackout Brand Fam Areas (Enc)'!$C$6:$C$998,H$4,'[1]Blackout Brand Fam Areas (Enc)'!$D$6:$D$998,"Inactive")&gt;0,"BLOCKED","CAN SELL")))))</f>
        <v>CAN SELL</v>
      </c>
      <c r="I86" s="11" t="str">
        <f>IF($A86="","",_xlfn.LET(_xlpm.t,MATCH($B86,'[1]Territory Definitions'!$B$5:$B$14,0),IF(ISNA(_xlpm.t),"NO TERRITORY",IF(INDEX('[1]Territory Definitions'!$D$5:$M$14,_xlpm.t,MATCH(I$4,'[1]Territory Definitions'!$D$4:$M$4,0))&lt;&gt;1,"NOT IN TERRITORY",IF(COUNTIFS('[1]Blackout Brand Fam Areas (Enc)'!$B$6:$B$998,$A86,'[1]Blackout Brand Fam Areas (Enc)'!$C$6:$C$998,I$4,'[1]Blackout Brand Fam Areas (Enc)'!$D$6:$D$998,"Inactive")&gt;0,"BLOCKED","CAN SELL")))))</f>
        <v>CAN SELL</v>
      </c>
      <c r="J86" s="11" t="str">
        <f>IF($A86="","",_xlfn.LET(_xlpm.t,MATCH($B86,'[1]Territory Definitions'!$B$5:$B$14,0),IF(ISNA(_xlpm.t),"NO TERRITORY",IF(INDEX('[1]Territory Definitions'!$D$5:$M$14,_xlpm.t,MATCH(J$4,'[1]Territory Definitions'!$D$4:$M$4,0))&lt;&gt;1,"NOT IN TERRITORY",IF(COUNTIFS('[1]Blackout Brand Fam Areas (Enc)'!$B$6:$B$998,$A86,'[1]Blackout Brand Fam Areas (Enc)'!$C$6:$C$998,J$4,'[1]Blackout Brand Fam Areas (Enc)'!$D$6:$D$998,"Inactive")&gt;0,"BLOCKED","CAN SELL")))))</f>
        <v>CAN SELL</v>
      </c>
      <c r="K86" s="11" t="str">
        <f>IF($A86="","",_xlfn.LET(_xlpm.t,MATCH($B86,'[1]Territory Definitions'!$B$5:$B$14,0),IF(ISNA(_xlpm.t),"NO TERRITORY",IF(INDEX('[1]Territory Definitions'!$D$5:$M$14,_xlpm.t,MATCH(K$4,'[1]Territory Definitions'!$D$4:$M$4,0))&lt;&gt;1,"NOT IN TERRITORY",IF(COUNTIFS('[1]Blackout Brand Fam Areas (Enc)'!$B$6:$B$998,$A86,'[1]Blackout Brand Fam Areas (Enc)'!$C$6:$C$998,K$4,'[1]Blackout Brand Fam Areas (Enc)'!$D$6:$D$998,"Inactive")&gt;0,"BLOCKED","CAN SELL")))))</f>
        <v>CAN SELL</v>
      </c>
      <c r="L86" s="11" t="str">
        <f>IF($A86="","",_xlfn.LET(_xlpm.t,MATCH($B86,'[1]Territory Definitions'!$B$5:$B$14,0),IF(ISNA(_xlpm.t),"NO TERRITORY",IF(INDEX('[1]Territory Definitions'!$D$5:$M$14,_xlpm.t,MATCH(L$4,'[1]Territory Definitions'!$D$4:$M$4,0))&lt;&gt;1,"NOT IN TERRITORY",IF(COUNTIFS('[1]Blackout Brand Fam Areas (Enc)'!$B$6:$B$998,$A86,'[1]Blackout Brand Fam Areas (Enc)'!$C$6:$C$998,L$4,'[1]Blackout Brand Fam Areas (Enc)'!$D$6:$D$998,"Inactive")&gt;0,"BLOCKED","CAN SELL")))))</f>
        <v>CAN SELL</v>
      </c>
      <c r="M86" s="12">
        <f>IF($A86="","",COUNTIF($C86:$L86,"CAN SELL"))</f>
        <v>10</v>
      </c>
      <c r="N86" s="13" cm="1">
        <f t="array" ref="N86">IF($A86="","",SUMPRODUCT(($C86:$L86="CAN SELL")*$C$3:$L$3))</f>
        <v>2306</v>
      </c>
      <c r="O86" s="14" t="str">
        <f>IF($A86="","",IF(COUNTIF($A$5:$A$299,$A86)&gt;1,"DUPLICATE - two different territories assigned",IF($B86="** NO TERRITORY SET **","No territory on Brand Family Territory (Enc)","")))</f>
        <v/>
      </c>
      <c r="P86" s="18" t="str">
        <f>IF($A86="","",IFERROR(INDEX([1]Products!$H$4:$H$4801,MATCH($A86,[1]Products!$G$4:$G$4801,0)),"(no products)"))</f>
        <v>(no products)</v>
      </c>
      <c r="Q86" s="19">
        <f>IF($A86="","",COUNTIFS([1]Products!$G$4:$G$4801,$A86,[1]Products!$L$4:$L$4801,"Yes"))</f>
        <v>0</v>
      </c>
      <c r="R86" s="19">
        <f>IF($A86="","",COUNTIFS([1]Products!$G$4:$G$4801,$A86,[1]Products!$L$4:$L$4801,"Yes",[1]Products!$K$4:$K$4801,"Draft"))</f>
        <v>0</v>
      </c>
      <c r="S86" s="19">
        <f>IF($A86="","",COUNTIFS([1]Products!$G$4:$G$4801,$A86,[1]Products!$L$4:$L$4801,"Yes",[1]Products!$K$4:$K$4801,"Package"))</f>
        <v>0</v>
      </c>
      <c r="T86" s="20" t="str" cm="1">
        <f t="array" ref="T86">IF($A86="","",_xlfn.IFS($Q86=0,"NO ACTIVE SKUs",AND($R86&gt;0,$S86&gt;0),"Draft &amp; Package",$R86&gt;0,"Draft only",TRUE,"Package only"))</f>
        <v>NO ACTIVE SKUs</v>
      </c>
    </row>
    <row r="87" spans="1:20" x14ac:dyDescent="0.2">
      <c r="A87" s="9" t="str">
        <v>Dg Yuengling Inc</v>
      </c>
      <c r="B87" s="10" t="str">
        <f>IF($A87="","",_xlfn.XLOOKUP($A87,'[1]Brand Family Territory (Enc)'!$A:$A,'[1]Brand Family Territory (Enc)'!$B:$B,"** NO TERRITORY SET **"))</f>
        <v>Core Market</v>
      </c>
      <c r="C87" s="11" t="str">
        <f>IF($A87="","",_xlfn.LET(_xlpm.t,MATCH($B87,'[1]Territory Definitions'!$B$5:$B$14,0),IF(ISNA(_xlpm.t),"NO TERRITORY",IF(INDEX('[1]Territory Definitions'!$D$5:$M$14,_xlpm.t,MATCH(C$4,'[1]Territory Definitions'!$D$4:$M$4,0))&lt;&gt;1,"NOT IN TERRITORY",IF(COUNTIFS('[1]Blackout Brand Fam Areas (Enc)'!$B$6:$B$998,$A87,'[1]Blackout Brand Fam Areas (Enc)'!$C$6:$C$998,C$4,'[1]Blackout Brand Fam Areas (Enc)'!$D$6:$D$998,"Inactive")&gt;0,"BLOCKED","CAN SELL")))))</f>
        <v>CAN SELL</v>
      </c>
      <c r="D87" s="11" t="str">
        <f>IF($A87="","",_xlfn.LET(_xlpm.t,MATCH($B87,'[1]Territory Definitions'!$B$5:$B$14,0),IF(ISNA(_xlpm.t),"NO TERRITORY",IF(INDEX('[1]Territory Definitions'!$D$5:$M$14,_xlpm.t,MATCH(D$4,'[1]Territory Definitions'!$D$4:$M$4,0))&lt;&gt;1,"NOT IN TERRITORY",IF(COUNTIFS('[1]Blackout Brand Fam Areas (Enc)'!$B$6:$B$998,$A87,'[1]Blackout Brand Fam Areas (Enc)'!$C$6:$C$998,D$4,'[1]Blackout Brand Fam Areas (Enc)'!$D$6:$D$998,"Inactive")&gt;0,"BLOCKED","CAN SELL")))))</f>
        <v>CAN SELL</v>
      </c>
      <c r="E87" s="11" t="str">
        <f>IF($A87="","",_xlfn.LET(_xlpm.t,MATCH($B87,'[1]Territory Definitions'!$B$5:$B$14,0),IF(ISNA(_xlpm.t),"NO TERRITORY",IF(INDEX('[1]Territory Definitions'!$D$5:$M$14,_xlpm.t,MATCH(E$4,'[1]Territory Definitions'!$D$4:$M$4,0))&lt;&gt;1,"NOT IN TERRITORY",IF(COUNTIFS('[1]Blackout Brand Fam Areas (Enc)'!$B$6:$B$998,$A87,'[1]Blackout Brand Fam Areas (Enc)'!$C$6:$C$998,E$4,'[1]Blackout Brand Fam Areas (Enc)'!$D$6:$D$998,"Inactive")&gt;0,"BLOCKED","CAN SELL")))))</f>
        <v>CAN SELL</v>
      </c>
      <c r="F87" s="11" t="str">
        <f>IF($A87="","",_xlfn.LET(_xlpm.t,MATCH($B87,'[1]Territory Definitions'!$B$5:$B$14,0),IF(ISNA(_xlpm.t),"NO TERRITORY",IF(INDEX('[1]Territory Definitions'!$D$5:$M$14,_xlpm.t,MATCH(F$4,'[1]Territory Definitions'!$D$4:$M$4,0))&lt;&gt;1,"NOT IN TERRITORY",IF(COUNTIFS('[1]Blackout Brand Fam Areas (Enc)'!$B$6:$B$998,$A87,'[1]Blackout Brand Fam Areas (Enc)'!$C$6:$C$998,F$4,'[1]Blackout Brand Fam Areas (Enc)'!$D$6:$D$998,"Inactive")&gt;0,"BLOCKED","CAN SELL")))))</f>
        <v>NOT IN TERRITORY</v>
      </c>
      <c r="G87" s="11" t="str">
        <f>IF($A87="","",_xlfn.LET(_xlpm.t,MATCH($B87,'[1]Territory Definitions'!$B$5:$B$14,0),IF(ISNA(_xlpm.t),"NO TERRITORY",IF(INDEX('[1]Territory Definitions'!$D$5:$M$14,_xlpm.t,MATCH(G$4,'[1]Territory Definitions'!$D$4:$M$4,0))&lt;&gt;1,"NOT IN TERRITORY",IF(COUNTIFS('[1]Blackout Brand Fam Areas (Enc)'!$B$6:$B$998,$A87,'[1]Blackout Brand Fam Areas (Enc)'!$C$6:$C$998,G$4,'[1]Blackout Brand Fam Areas (Enc)'!$D$6:$D$998,"Inactive")&gt;0,"BLOCKED","CAN SELL")))))</f>
        <v>NOT IN TERRITORY</v>
      </c>
      <c r="H87" s="11" t="str">
        <f>IF($A87="","",_xlfn.LET(_xlpm.t,MATCH($B87,'[1]Territory Definitions'!$B$5:$B$14,0),IF(ISNA(_xlpm.t),"NO TERRITORY",IF(INDEX('[1]Territory Definitions'!$D$5:$M$14,_xlpm.t,MATCH(H$4,'[1]Territory Definitions'!$D$4:$M$4,0))&lt;&gt;1,"NOT IN TERRITORY",IF(COUNTIFS('[1]Blackout Brand Fam Areas (Enc)'!$B$6:$B$998,$A87,'[1]Blackout Brand Fam Areas (Enc)'!$C$6:$C$998,H$4,'[1]Blackout Brand Fam Areas (Enc)'!$D$6:$D$998,"Inactive")&gt;0,"BLOCKED","CAN SELL")))))</f>
        <v>NOT IN TERRITORY</v>
      </c>
      <c r="I87" s="11" t="str">
        <f>IF($A87="","",_xlfn.LET(_xlpm.t,MATCH($B87,'[1]Territory Definitions'!$B$5:$B$14,0),IF(ISNA(_xlpm.t),"NO TERRITORY",IF(INDEX('[1]Territory Definitions'!$D$5:$M$14,_xlpm.t,MATCH(I$4,'[1]Territory Definitions'!$D$4:$M$4,0))&lt;&gt;1,"NOT IN TERRITORY",IF(COUNTIFS('[1]Blackout Brand Fam Areas (Enc)'!$B$6:$B$998,$A87,'[1]Blackout Brand Fam Areas (Enc)'!$C$6:$C$998,I$4,'[1]Blackout Brand Fam Areas (Enc)'!$D$6:$D$998,"Inactive")&gt;0,"BLOCKED","CAN SELL")))))</f>
        <v>CAN SELL</v>
      </c>
      <c r="J87" s="11" t="str">
        <f>IF($A87="","",_xlfn.LET(_xlpm.t,MATCH($B87,'[1]Territory Definitions'!$B$5:$B$14,0),IF(ISNA(_xlpm.t),"NO TERRITORY",IF(INDEX('[1]Territory Definitions'!$D$5:$M$14,_xlpm.t,MATCH(J$4,'[1]Territory Definitions'!$D$4:$M$4,0))&lt;&gt;1,"NOT IN TERRITORY",IF(COUNTIFS('[1]Blackout Brand Fam Areas (Enc)'!$B$6:$B$998,$A87,'[1]Blackout Brand Fam Areas (Enc)'!$C$6:$C$998,J$4,'[1]Blackout Brand Fam Areas (Enc)'!$D$6:$D$998,"Inactive")&gt;0,"BLOCKED","CAN SELL")))))</f>
        <v>CAN SELL</v>
      </c>
      <c r="K87" s="11" t="str">
        <f>IF($A87="","",_xlfn.LET(_xlpm.t,MATCH($B87,'[1]Territory Definitions'!$B$5:$B$14,0),IF(ISNA(_xlpm.t),"NO TERRITORY",IF(INDEX('[1]Territory Definitions'!$D$5:$M$14,_xlpm.t,MATCH(K$4,'[1]Territory Definitions'!$D$4:$M$4,0))&lt;&gt;1,"NOT IN TERRITORY",IF(COUNTIFS('[1]Blackout Brand Fam Areas (Enc)'!$B$6:$B$998,$A87,'[1]Blackout Brand Fam Areas (Enc)'!$C$6:$C$998,K$4,'[1]Blackout Brand Fam Areas (Enc)'!$D$6:$D$998,"Inactive")&gt;0,"BLOCKED","CAN SELL")))))</f>
        <v>NOT IN TERRITORY</v>
      </c>
      <c r="L87" s="11" t="str">
        <f>IF($A87="","",_xlfn.LET(_xlpm.t,MATCH($B87,'[1]Territory Definitions'!$B$5:$B$14,0),IF(ISNA(_xlpm.t),"NO TERRITORY",IF(INDEX('[1]Territory Definitions'!$D$5:$M$14,_xlpm.t,MATCH(L$4,'[1]Territory Definitions'!$D$4:$M$4,0))&lt;&gt;1,"NOT IN TERRITORY",IF(COUNTIFS('[1]Blackout Brand Fam Areas (Enc)'!$B$6:$B$998,$A87,'[1]Blackout Brand Fam Areas (Enc)'!$C$6:$C$998,L$4,'[1]Blackout Brand Fam Areas (Enc)'!$D$6:$D$998,"Inactive")&gt;0,"BLOCKED","CAN SELL")))))</f>
        <v>CAN SELL</v>
      </c>
      <c r="M87" s="12">
        <f>IF($A87="","",COUNTIF($C87:$L87,"CAN SELL"))</f>
        <v>6</v>
      </c>
      <c r="N87" s="13" cm="1">
        <f t="array" ref="N87">IF($A87="","",SUMPRODUCT(($C87:$L87="CAN SELL")*$C$3:$L$3))</f>
        <v>1596</v>
      </c>
      <c r="O87" s="14" t="str">
        <f>IF($A87="","",IF(COUNTIF($A$5:$A$299,$A87)&gt;1,"DUPLICATE - two different territories assigned",IF($B87="** NO TERRITORY SET **","No territory on Brand Family Territory (Enc)","")))</f>
        <v/>
      </c>
      <c r="P87" s="18" t="str">
        <f>IF($A87="","",IFERROR(INDEX([1]Products!$H$4:$H$4801,MATCH($A87,[1]Products!$G$4:$G$4801,0)),"(no products)"))</f>
        <v>DG Yuengling Inc</v>
      </c>
      <c r="Q87" s="19">
        <f>IF($A87="","",COUNTIFS([1]Products!$G$4:$G$4801,$A87,[1]Products!$L$4:$L$4801,"Yes"))</f>
        <v>2</v>
      </c>
      <c r="R87" s="19">
        <f>IF($A87="","",COUNTIFS([1]Products!$G$4:$G$4801,$A87,[1]Products!$L$4:$L$4801,"Yes",[1]Products!$K$4:$K$4801,"Draft"))</f>
        <v>1</v>
      </c>
      <c r="S87" s="19">
        <f>IF($A87="","",COUNTIFS([1]Products!$G$4:$G$4801,$A87,[1]Products!$L$4:$L$4801,"Yes",[1]Products!$K$4:$K$4801,"Package"))</f>
        <v>1</v>
      </c>
      <c r="T87" s="20" t="str" cm="1">
        <f t="array" ref="T87">IF($A87="","",_xlfn.IFS($Q87=0,"NO ACTIVE SKUs",AND($R87&gt;0,$S87&gt;0),"Draft &amp; Package",$R87&gt;0,"Draft only",TRUE,"Package only"))</f>
        <v>Draft &amp; Package</v>
      </c>
    </row>
    <row r="88" spans="1:20" x14ac:dyDescent="0.2">
      <c r="A88" s="9" t="str">
        <v>Dillon's Cocktails</v>
      </c>
      <c r="B88" s="10" t="str">
        <f>IF($A88="","",_xlfn.XLOOKUP($A88,'[1]Brand Family Territory (Enc)'!$A:$A,'[1]Brand Family Territory (Enc)'!$B:$B,"** NO TERRITORY SET **"))</f>
        <v>Core Market</v>
      </c>
      <c r="C88" s="11" t="str">
        <f>IF($A88="","",_xlfn.LET(_xlpm.t,MATCH($B88,'[1]Territory Definitions'!$B$5:$B$14,0),IF(ISNA(_xlpm.t),"NO TERRITORY",IF(INDEX('[1]Territory Definitions'!$D$5:$M$14,_xlpm.t,MATCH(C$4,'[1]Territory Definitions'!$D$4:$M$4,0))&lt;&gt;1,"NOT IN TERRITORY",IF(COUNTIFS('[1]Blackout Brand Fam Areas (Enc)'!$B$6:$B$998,$A88,'[1]Blackout Brand Fam Areas (Enc)'!$C$6:$C$998,C$4,'[1]Blackout Brand Fam Areas (Enc)'!$D$6:$D$998,"Inactive")&gt;0,"BLOCKED","CAN SELL")))))</f>
        <v>CAN SELL</v>
      </c>
      <c r="D88" s="11" t="str">
        <f>IF($A88="","",_xlfn.LET(_xlpm.t,MATCH($B88,'[1]Territory Definitions'!$B$5:$B$14,0),IF(ISNA(_xlpm.t),"NO TERRITORY",IF(INDEX('[1]Territory Definitions'!$D$5:$M$14,_xlpm.t,MATCH(D$4,'[1]Territory Definitions'!$D$4:$M$4,0))&lt;&gt;1,"NOT IN TERRITORY",IF(COUNTIFS('[1]Blackout Brand Fam Areas (Enc)'!$B$6:$B$998,$A88,'[1]Blackout Brand Fam Areas (Enc)'!$C$6:$C$998,D$4,'[1]Blackout Brand Fam Areas (Enc)'!$D$6:$D$998,"Inactive")&gt;0,"BLOCKED","CAN SELL")))))</f>
        <v>CAN SELL</v>
      </c>
      <c r="E88" s="11" t="str">
        <f>IF($A88="","",_xlfn.LET(_xlpm.t,MATCH($B88,'[1]Territory Definitions'!$B$5:$B$14,0),IF(ISNA(_xlpm.t),"NO TERRITORY",IF(INDEX('[1]Territory Definitions'!$D$5:$M$14,_xlpm.t,MATCH(E$4,'[1]Territory Definitions'!$D$4:$M$4,0))&lt;&gt;1,"NOT IN TERRITORY",IF(COUNTIFS('[1]Blackout Brand Fam Areas (Enc)'!$B$6:$B$998,$A88,'[1]Blackout Brand Fam Areas (Enc)'!$C$6:$C$998,E$4,'[1]Blackout Brand Fam Areas (Enc)'!$D$6:$D$998,"Inactive")&gt;0,"BLOCKED","CAN SELL")))))</f>
        <v>CAN SELL</v>
      </c>
      <c r="F88" s="11" t="str">
        <f>IF($A88="","",_xlfn.LET(_xlpm.t,MATCH($B88,'[1]Territory Definitions'!$B$5:$B$14,0),IF(ISNA(_xlpm.t),"NO TERRITORY",IF(INDEX('[1]Territory Definitions'!$D$5:$M$14,_xlpm.t,MATCH(F$4,'[1]Territory Definitions'!$D$4:$M$4,0))&lt;&gt;1,"NOT IN TERRITORY",IF(COUNTIFS('[1]Blackout Brand Fam Areas (Enc)'!$B$6:$B$998,$A88,'[1]Blackout Brand Fam Areas (Enc)'!$C$6:$C$998,F$4,'[1]Blackout Brand Fam Areas (Enc)'!$D$6:$D$998,"Inactive")&gt;0,"BLOCKED","CAN SELL")))))</f>
        <v>NOT IN TERRITORY</v>
      </c>
      <c r="G88" s="11" t="str">
        <f>IF($A88="","",_xlfn.LET(_xlpm.t,MATCH($B88,'[1]Territory Definitions'!$B$5:$B$14,0),IF(ISNA(_xlpm.t),"NO TERRITORY",IF(INDEX('[1]Territory Definitions'!$D$5:$M$14,_xlpm.t,MATCH(G$4,'[1]Territory Definitions'!$D$4:$M$4,0))&lt;&gt;1,"NOT IN TERRITORY",IF(COUNTIFS('[1]Blackout Brand Fam Areas (Enc)'!$B$6:$B$998,$A88,'[1]Blackout Brand Fam Areas (Enc)'!$C$6:$C$998,G$4,'[1]Blackout Brand Fam Areas (Enc)'!$D$6:$D$998,"Inactive")&gt;0,"BLOCKED","CAN SELL")))))</f>
        <v>NOT IN TERRITORY</v>
      </c>
      <c r="H88" s="11" t="str">
        <f>IF($A88="","",_xlfn.LET(_xlpm.t,MATCH($B88,'[1]Territory Definitions'!$B$5:$B$14,0),IF(ISNA(_xlpm.t),"NO TERRITORY",IF(INDEX('[1]Territory Definitions'!$D$5:$M$14,_xlpm.t,MATCH(H$4,'[1]Territory Definitions'!$D$4:$M$4,0))&lt;&gt;1,"NOT IN TERRITORY",IF(COUNTIFS('[1]Blackout Brand Fam Areas (Enc)'!$B$6:$B$998,$A88,'[1]Blackout Brand Fam Areas (Enc)'!$C$6:$C$998,H$4,'[1]Blackout Brand Fam Areas (Enc)'!$D$6:$D$998,"Inactive")&gt;0,"BLOCKED","CAN SELL")))))</f>
        <v>NOT IN TERRITORY</v>
      </c>
      <c r="I88" s="11" t="str">
        <f>IF($A88="","",_xlfn.LET(_xlpm.t,MATCH($B88,'[1]Territory Definitions'!$B$5:$B$14,0),IF(ISNA(_xlpm.t),"NO TERRITORY",IF(INDEX('[1]Territory Definitions'!$D$5:$M$14,_xlpm.t,MATCH(I$4,'[1]Territory Definitions'!$D$4:$M$4,0))&lt;&gt;1,"NOT IN TERRITORY",IF(COUNTIFS('[1]Blackout Brand Fam Areas (Enc)'!$B$6:$B$998,$A88,'[1]Blackout Brand Fam Areas (Enc)'!$C$6:$C$998,I$4,'[1]Blackout Brand Fam Areas (Enc)'!$D$6:$D$998,"Inactive")&gt;0,"BLOCKED","CAN SELL")))))</f>
        <v>CAN SELL</v>
      </c>
      <c r="J88" s="11" t="str">
        <f>IF($A88="","",_xlfn.LET(_xlpm.t,MATCH($B88,'[1]Territory Definitions'!$B$5:$B$14,0),IF(ISNA(_xlpm.t),"NO TERRITORY",IF(INDEX('[1]Territory Definitions'!$D$5:$M$14,_xlpm.t,MATCH(J$4,'[1]Territory Definitions'!$D$4:$M$4,0))&lt;&gt;1,"NOT IN TERRITORY",IF(COUNTIFS('[1]Blackout Brand Fam Areas (Enc)'!$B$6:$B$998,$A88,'[1]Blackout Brand Fam Areas (Enc)'!$C$6:$C$998,J$4,'[1]Blackout Brand Fam Areas (Enc)'!$D$6:$D$998,"Inactive")&gt;0,"BLOCKED","CAN SELL")))))</f>
        <v>CAN SELL</v>
      </c>
      <c r="K88" s="11" t="str">
        <f>IF($A88="","",_xlfn.LET(_xlpm.t,MATCH($B88,'[1]Territory Definitions'!$B$5:$B$14,0),IF(ISNA(_xlpm.t),"NO TERRITORY",IF(INDEX('[1]Territory Definitions'!$D$5:$M$14,_xlpm.t,MATCH(K$4,'[1]Territory Definitions'!$D$4:$M$4,0))&lt;&gt;1,"NOT IN TERRITORY",IF(COUNTIFS('[1]Blackout Brand Fam Areas (Enc)'!$B$6:$B$998,$A88,'[1]Blackout Brand Fam Areas (Enc)'!$C$6:$C$998,K$4,'[1]Blackout Brand Fam Areas (Enc)'!$D$6:$D$998,"Inactive")&gt;0,"BLOCKED","CAN SELL")))))</f>
        <v>NOT IN TERRITORY</v>
      </c>
      <c r="L88" s="11" t="str">
        <f>IF($A88="","",_xlfn.LET(_xlpm.t,MATCH($B88,'[1]Territory Definitions'!$B$5:$B$14,0),IF(ISNA(_xlpm.t),"NO TERRITORY",IF(INDEX('[1]Territory Definitions'!$D$5:$M$14,_xlpm.t,MATCH(L$4,'[1]Territory Definitions'!$D$4:$M$4,0))&lt;&gt;1,"NOT IN TERRITORY",IF(COUNTIFS('[1]Blackout Brand Fam Areas (Enc)'!$B$6:$B$998,$A88,'[1]Blackout Brand Fam Areas (Enc)'!$C$6:$C$998,L$4,'[1]Blackout Brand Fam Areas (Enc)'!$D$6:$D$998,"Inactive")&gt;0,"BLOCKED","CAN SELL")))))</f>
        <v>CAN SELL</v>
      </c>
      <c r="M88" s="12">
        <f>IF($A88="","",COUNTIF($C88:$L88,"CAN SELL"))</f>
        <v>6</v>
      </c>
      <c r="N88" s="13" cm="1">
        <f t="array" ref="N88">IF($A88="","",SUMPRODUCT(($C88:$L88="CAN SELL")*$C$3:$L$3))</f>
        <v>1596</v>
      </c>
      <c r="O88" s="14" t="str">
        <f>IF($A88="","",IF(COUNTIF($A$5:$A$299,$A88)&gt;1,"DUPLICATE - two different territories assigned",IF($B88="** NO TERRITORY SET **","No territory on Brand Family Territory (Enc)","")))</f>
        <v/>
      </c>
      <c r="P88" s="18" t="str">
        <f>IF($A88="","",IFERROR(INDEX([1]Products!$H$4:$H$4801,MATCH($A88,[1]Products!$G$4:$G$4801,0)),"(no products)"))</f>
        <v>Mark Anthony</v>
      </c>
      <c r="Q88" s="19">
        <f>IF($A88="","",COUNTIFS([1]Products!$G$4:$G$4801,$A88,[1]Products!$L$4:$L$4801,"Yes"))</f>
        <v>4</v>
      </c>
      <c r="R88" s="19">
        <f>IF($A88="","",COUNTIFS([1]Products!$G$4:$G$4801,$A88,[1]Products!$L$4:$L$4801,"Yes",[1]Products!$K$4:$K$4801,"Draft"))</f>
        <v>0</v>
      </c>
      <c r="S88" s="19">
        <f>IF($A88="","",COUNTIFS([1]Products!$G$4:$G$4801,$A88,[1]Products!$L$4:$L$4801,"Yes",[1]Products!$K$4:$K$4801,"Package"))</f>
        <v>0</v>
      </c>
      <c r="T88" s="20" t="str" cm="1">
        <f t="array" ref="T88">IF($A88="","",_xlfn.IFS($Q88=0,"NO ACTIVE SKUs",AND($R88&gt;0,$S88&gt;0),"Draft &amp; Package",$R88&gt;0,"Draft only",TRUE,"Package only"))</f>
        <v>Package only</v>
      </c>
    </row>
    <row r="89" spans="1:20" x14ac:dyDescent="0.2">
      <c r="A89" s="9" t="str">
        <v>Doc's</v>
      </c>
      <c r="B89" s="10" t="str">
        <f>IF($A89="","",_xlfn.XLOOKUP($A89,'[1]Brand Family Territory (Enc)'!$A:$A,'[1]Brand Family Territory (Enc)'!$B:$B,"** NO TERRITORY SET **"))</f>
        <v>All Counties</v>
      </c>
      <c r="C89" s="11" t="str">
        <f>IF($A89="","",_xlfn.LET(_xlpm.t,MATCH($B89,'[1]Territory Definitions'!$B$5:$B$14,0),IF(ISNA(_xlpm.t),"NO TERRITORY",IF(INDEX('[1]Territory Definitions'!$D$5:$M$14,_xlpm.t,MATCH(C$4,'[1]Territory Definitions'!$D$4:$M$4,0))&lt;&gt;1,"NOT IN TERRITORY",IF(COUNTIFS('[1]Blackout Brand Fam Areas (Enc)'!$B$6:$B$998,$A89,'[1]Blackout Brand Fam Areas (Enc)'!$C$6:$C$998,C$4,'[1]Blackout Brand Fam Areas (Enc)'!$D$6:$D$998,"Inactive")&gt;0,"BLOCKED","CAN SELL")))))</f>
        <v>CAN SELL</v>
      </c>
      <c r="D89" s="11" t="str">
        <f>IF($A89="","",_xlfn.LET(_xlpm.t,MATCH($B89,'[1]Territory Definitions'!$B$5:$B$14,0),IF(ISNA(_xlpm.t),"NO TERRITORY",IF(INDEX('[1]Territory Definitions'!$D$5:$M$14,_xlpm.t,MATCH(D$4,'[1]Territory Definitions'!$D$4:$M$4,0))&lt;&gt;1,"NOT IN TERRITORY",IF(COUNTIFS('[1]Blackout Brand Fam Areas (Enc)'!$B$6:$B$998,$A89,'[1]Blackout Brand Fam Areas (Enc)'!$C$6:$C$998,D$4,'[1]Blackout Brand Fam Areas (Enc)'!$D$6:$D$998,"Inactive")&gt;0,"BLOCKED","CAN SELL")))))</f>
        <v>CAN SELL</v>
      </c>
      <c r="E89" s="11" t="str">
        <f>IF($A89="","",_xlfn.LET(_xlpm.t,MATCH($B89,'[1]Territory Definitions'!$B$5:$B$14,0),IF(ISNA(_xlpm.t),"NO TERRITORY",IF(INDEX('[1]Territory Definitions'!$D$5:$M$14,_xlpm.t,MATCH(E$4,'[1]Territory Definitions'!$D$4:$M$4,0))&lt;&gt;1,"NOT IN TERRITORY",IF(COUNTIFS('[1]Blackout Brand Fam Areas (Enc)'!$B$6:$B$998,$A89,'[1]Blackout Brand Fam Areas (Enc)'!$C$6:$C$998,E$4,'[1]Blackout Brand Fam Areas (Enc)'!$D$6:$D$998,"Inactive")&gt;0,"BLOCKED","CAN SELL")))))</f>
        <v>CAN SELL</v>
      </c>
      <c r="F89" s="11" t="str">
        <f>IF($A89="","",_xlfn.LET(_xlpm.t,MATCH($B89,'[1]Territory Definitions'!$B$5:$B$14,0),IF(ISNA(_xlpm.t),"NO TERRITORY",IF(INDEX('[1]Territory Definitions'!$D$5:$M$14,_xlpm.t,MATCH(F$4,'[1]Territory Definitions'!$D$4:$M$4,0))&lt;&gt;1,"NOT IN TERRITORY",IF(COUNTIFS('[1]Blackout Brand Fam Areas (Enc)'!$B$6:$B$998,$A89,'[1]Blackout Brand Fam Areas (Enc)'!$C$6:$C$998,F$4,'[1]Blackout Brand Fam Areas (Enc)'!$D$6:$D$998,"Inactive")&gt;0,"BLOCKED","CAN SELL")))))</f>
        <v>CAN SELL</v>
      </c>
      <c r="G89" s="11" t="str">
        <f>IF($A89="","",_xlfn.LET(_xlpm.t,MATCH($B89,'[1]Territory Definitions'!$B$5:$B$14,0),IF(ISNA(_xlpm.t),"NO TERRITORY",IF(INDEX('[1]Territory Definitions'!$D$5:$M$14,_xlpm.t,MATCH(G$4,'[1]Territory Definitions'!$D$4:$M$4,0))&lt;&gt;1,"NOT IN TERRITORY",IF(COUNTIFS('[1]Blackout Brand Fam Areas (Enc)'!$B$6:$B$998,$A89,'[1]Blackout Brand Fam Areas (Enc)'!$C$6:$C$998,G$4,'[1]Blackout Brand Fam Areas (Enc)'!$D$6:$D$998,"Inactive")&gt;0,"BLOCKED","CAN SELL")))))</f>
        <v>CAN SELL</v>
      </c>
      <c r="H89" s="11" t="str">
        <f>IF($A89="","",_xlfn.LET(_xlpm.t,MATCH($B89,'[1]Territory Definitions'!$B$5:$B$14,0),IF(ISNA(_xlpm.t),"NO TERRITORY",IF(INDEX('[1]Territory Definitions'!$D$5:$M$14,_xlpm.t,MATCH(H$4,'[1]Territory Definitions'!$D$4:$M$4,0))&lt;&gt;1,"NOT IN TERRITORY",IF(COUNTIFS('[1]Blackout Brand Fam Areas (Enc)'!$B$6:$B$998,$A89,'[1]Blackout Brand Fam Areas (Enc)'!$C$6:$C$998,H$4,'[1]Blackout Brand Fam Areas (Enc)'!$D$6:$D$998,"Inactive")&gt;0,"BLOCKED","CAN SELL")))))</f>
        <v>CAN SELL</v>
      </c>
      <c r="I89" s="11" t="str">
        <f>IF($A89="","",_xlfn.LET(_xlpm.t,MATCH($B89,'[1]Territory Definitions'!$B$5:$B$14,0),IF(ISNA(_xlpm.t),"NO TERRITORY",IF(INDEX('[1]Territory Definitions'!$D$5:$M$14,_xlpm.t,MATCH(I$4,'[1]Territory Definitions'!$D$4:$M$4,0))&lt;&gt;1,"NOT IN TERRITORY",IF(COUNTIFS('[1]Blackout Brand Fam Areas (Enc)'!$B$6:$B$998,$A89,'[1]Blackout Brand Fam Areas (Enc)'!$C$6:$C$998,I$4,'[1]Blackout Brand Fam Areas (Enc)'!$D$6:$D$998,"Inactive")&gt;0,"BLOCKED","CAN SELL")))))</f>
        <v>CAN SELL</v>
      </c>
      <c r="J89" s="11" t="str">
        <f>IF($A89="","",_xlfn.LET(_xlpm.t,MATCH($B89,'[1]Territory Definitions'!$B$5:$B$14,0),IF(ISNA(_xlpm.t),"NO TERRITORY",IF(INDEX('[1]Territory Definitions'!$D$5:$M$14,_xlpm.t,MATCH(J$4,'[1]Territory Definitions'!$D$4:$M$4,0))&lt;&gt;1,"NOT IN TERRITORY",IF(COUNTIFS('[1]Blackout Brand Fam Areas (Enc)'!$B$6:$B$998,$A89,'[1]Blackout Brand Fam Areas (Enc)'!$C$6:$C$998,J$4,'[1]Blackout Brand Fam Areas (Enc)'!$D$6:$D$998,"Inactive")&gt;0,"BLOCKED","CAN SELL")))))</f>
        <v>CAN SELL</v>
      </c>
      <c r="K89" s="11" t="str">
        <f>IF($A89="","",_xlfn.LET(_xlpm.t,MATCH($B89,'[1]Territory Definitions'!$B$5:$B$14,0),IF(ISNA(_xlpm.t),"NO TERRITORY",IF(INDEX('[1]Territory Definitions'!$D$5:$M$14,_xlpm.t,MATCH(K$4,'[1]Territory Definitions'!$D$4:$M$4,0))&lt;&gt;1,"NOT IN TERRITORY",IF(COUNTIFS('[1]Blackout Brand Fam Areas (Enc)'!$B$6:$B$998,$A89,'[1]Blackout Brand Fam Areas (Enc)'!$C$6:$C$998,K$4,'[1]Blackout Brand Fam Areas (Enc)'!$D$6:$D$998,"Inactive")&gt;0,"BLOCKED","CAN SELL")))))</f>
        <v>CAN SELL</v>
      </c>
      <c r="L89" s="11" t="str">
        <f>IF($A89="","",_xlfn.LET(_xlpm.t,MATCH($B89,'[1]Territory Definitions'!$B$5:$B$14,0),IF(ISNA(_xlpm.t),"NO TERRITORY",IF(INDEX('[1]Territory Definitions'!$D$5:$M$14,_xlpm.t,MATCH(L$4,'[1]Territory Definitions'!$D$4:$M$4,0))&lt;&gt;1,"NOT IN TERRITORY",IF(COUNTIFS('[1]Blackout Brand Fam Areas (Enc)'!$B$6:$B$998,$A89,'[1]Blackout Brand Fam Areas (Enc)'!$C$6:$C$998,L$4,'[1]Blackout Brand Fam Areas (Enc)'!$D$6:$D$998,"Inactive")&gt;0,"BLOCKED","CAN SELL")))))</f>
        <v>CAN SELL</v>
      </c>
      <c r="M89" s="12">
        <f>IF($A89="","",COUNTIF($C89:$L89,"CAN SELL"))</f>
        <v>10</v>
      </c>
      <c r="N89" s="13" cm="1">
        <f t="array" ref="N89">IF($A89="","",SUMPRODUCT(($C89:$L89="CAN SELL")*$C$3:$L$3))</f>
        <v>2306</v>
      </c>
      <c r="O89" s="14" t="str">
        <f>IF($A89="","",IF(COUNTIF($A$5:$A$299,$A89)&gt;1,"DUPLICATE - two different territories assigned",IF($B89="** NO TERRITORY SET **","No territory on Brand Family Territory (Enc)","")))</f>
        <v/>
      </c>
      <c r="P89" s="18" t="str">
        <f>IF($A89="","",IFERROR(INDEX([1]Products!$H$4:$H$4801,MATCH($A89,[1]Products!$G$4:$G$4801,0)),"(no products)"))</f>
        <v>Warwick Valley</v>
      </c>
      <c r="Q89" s="19">
        <f>IF($A89="","",COUNTIFS([1]Products!$G$4:$G$4801,$A89,[1]Products!$L$4:$L$4801,"Yes"))</f>
        <v>26</v>
      </c>
      <c r="R89" s="19">
        <f>IF($A89="","",COUNTIFS([1]Products!$G$4:$G$4801,$A89,[1]Products!$L$4:$L$4801,"Yes",[1]Products!$K$4:$K$4801,"Draft"))</f>
        <v>12</v>
      </c>
      <c r="S89" s="19">
        <f>IF($A89="","",COUNTIFS([1]Products!$G$4:$G$4801,$A89,[1]Products!$L$4:$L$4801,"Yes",[1]Products!$K$4:$K$4801,"Package"))</f>
        <v>14</v>
      </c>
      <c r="T89" s="20" t="str" cm="1">
        <f t="array" ref="T89">IF($A89="","",_xlfn.IFS($Q89=0,"NO ACTIVE SKUs",AND($R89&gt;0,$S89&gt;0),"Draft &amp; Package",$R89&gt;0,"Draft only",TRUE,"Package only"))</f>
        <v>Draft &amp; Package</v>
      </c>
    </row>
    <row r="90" spans="1:20" x14ac:dyDescent="0.2">
      <c r="A90" s="9" t="str">
        <v>Dogfish Head Beer</v>
      </c>
      <c r="B90" s="10" t="str">
        <f>IF($A90="","",_xlfn.XLOOKUP($A90,'[1]Brand Family Territory (Enc)'!$A:$A,'[1]Brand Family Territory (Enc)'!$B:$B,"** NO TERRITORY SET **"))</f>
        <v>Core Market</v>
      </c>
      <c r="C90" s="11" t="str">
        <f>IF($A90="","",_xlfn.LET(_xlpm.t,MATCH($B90,'[1]Territory Definitions'!$B$5:$B$14,0),IF(ISNA(_xlpm.t),"NO TERRITORY",IF(INDEX('[1]Territory Definitions'!$D$5:$M$14,_xlpm.t,MATCH(C$4,'[1]Territory Definitions'!$D$4:$M$4,0))&lt;&gt;1,"NOT IN TERRITORY",IF(COUNTIFS('[1]Blackout Brand Fam Areas (Enc)'!$B$6:$B$998,$A90,'[1]Blackout Brand Fam Areas (Enc)'!$C$6:$C$998,C$4,'[1]Blackout Brand Fam Areas (Enc)'!$D$6:$D$998,"Inactive")&gt;0,"BLOCKED","CAN SELL")))))</f>
        <v>CAN SELL</v>
      </c>
      <c r="D90" s="11" t="str">
        <f>IF($A90="","",_xlfn.LET(_xlpm.t,MATCH($B90,'[1]Territory Definitions'!$B$5:$B$14,0),IF(ISNA(_xlpm.t),"NO TERRITORY",IF(INDEX('[1]Territory Definitions'!$D$5:$M$14,_xlpm.t,MATCH(D$4,'[1]Territory Definitions'!$D$4:$M$4,0))&lt;&gt;1,"NOT IN TERRITORY",IF(COUNTIFS('[1]Blackout Brand Fam Areas (Enc)'!$B$6:$B$998,$A90,'[1]Blackout Brand Fam Areas (Enc)'!$C$6:$C$998,D$4,'[1]Blackout Brand Fam Areas (Enc)'!$D$6:$D$998,"Inactive")&gt;0,"BLOCKED","CAN SELL")))))</f>
        <v>CAN SELL</v>
      </c>
      <c r="E90" s="11" t="str">
        <f>IF($A90="","",_xlfn.LET(_xlpm.t,MATCH($B90,'[1]Territory Definitions'!$B$5:$B$14,0),IF(ISNA(_xlpm.t),"NO TERRITORY",IF(INDEX('[1]Territory Definitions'!$D$5:$M$14,_xlpm.t,MATCH(E$4,'[1]Territory Definitions'!$D$4:$M$4,0))&lt;&gt;1,"NOT IN TERRITORY",IF(COUNTIFS('[1]Blackout Brand Fam Areas (Enc)'!$B$6:$B$998,$A90,'[1]Blackout Brand Fam Areas (Enc)'!$C$6:$C$998,E$4,'[1]Blackout Brand Fam Areas (Enc)'!$D$6:$D$998,"Inactive")&gt;0,"BLOCKED","CAN SELL")))))</f>
        <v>CAN SELL</v>
      </c>
      <c r="F90" s="11" t="str">
        <f>IF($A90="","",_xlfn.LET(_xlpm.t,MATCH($B90,'[1]Territory Definitions'!$B$5:$B$14,0),IF(ISNA(_xlpm.t),"NO TERRITORY",IF(INDEX('[1]Territory Definitions'!$D$5:$M$14,_xlpm.t,MATCH(F$4,'[1]Territory Definitions'!$D$4:$M$4,0))&lt;&gt;1,"NOT IN TERRITORY",IF(COUNTIFS('[1]Blackout Brand Fam Areas (Enc)'!$B$6:$B$998,$A90,'[1]Blackout Brand Fam Areas (Enc)'!$C$6:$C$998,F$4,'[1]Blackout Brand Fam Areas (Enc)'!$D$6:$D$998,"Inactive")&gt;0,"BLOCKED","CAN SELL")))))</f>
        <v>NOT IN TERRITORY</v>
      </c>
      <c r="G90" s="11" t="str">
        <f>IF($A90="","",_xlfn.LET(_xlpm.t,MATCH($B90,'[1]Territory Definitions'!$B$5:$B$14,0),IF(ISNA(_xlpm.t),"NO TERRITORY",IF(INDEX('[1]Territory Definitions'!$D$5:$M$14,_xlpm.t,MATCH(G$4,'[1]Territory Definitions'!$D$4:$M$4,0))&lt;&gt;1,"NOT IN TERRITORY",IF(COUNTIFS('[1]Blackout Brand Fam Areas (Enc)'!$B$6:$B$998,$A90,'[1]Blackout Brand Fam Areas (Enc)'!$C$6:$C$998,G$4,'[1]Blackout Brand Fam Areas (Enc)'!$D$6:$D$998,"Inactive")&gt;0,"BLOCKED","CAN SELL")))))</f>
        <v>NOT IN TERRITORY</v>
      </c>
      <c r="H90" s="11" t="str">
        <f>IF($A90="","",_xlfn.LET(_xlpm.t,MATCH($B90,'[1]Territory Definitions'!$B$5:$B$14,0),IF(ISNA(_xlpm.t),"NO TERRITORY",IF(INDEX('[1]Territory Definitions'!$D$5:$M$14,_xlpm.t,MATCH(H$4,'[1]Territory Definitions'!$D$4:$M$4,0))&lt;&gt;1,"NOT IN TERRITORY",IF(COUNTIFS('[1]Blackout Brand Fam Areas (Enc)'!$B$6:$B$998,$A90,'[1]Blackout Brand Fam Areas (Enc)'!$C$6:$C$998,H$4,'[1]Blackout Brand Fam Areas (Enc)'!$D$6:$D$998,"Inactive")&gt;0,"BLOCKED","CAN SELL")))))</f>
        <v>NOT IN TERRITORY</v>
      </c>
      <c r="I90" s="11" t="str">
        <f>IF($A90="","",_xlfn.LET(_xlpm.t,MATCH($B90,'[1]Territory Definitions'!$B$5:$B$14,0),IF(ISNA(_xlpm.t),"NO TERRITORY",IF(INDEX('[1]Territory Definitions'!$D$5:$M$14,_xlpm.t,MATCH(I$4,'[1]Territory Definitions'!$D$4:$M$4,0))&lt;&gt;1,"NOT IN TERRITORY",IF(COUNTIFS('[1]Blackout Brand Fam Areas (Enc)'!$B$6:$B$998,$A90,'[1]Blackout Brand Fam Areas (Enc)'!$C$6:$C$998,I$4,'[1]Blackout Brand Fam Areas (Enc)'!$D$6:$D$998,"Inactive")&gt;0,"BLOCKED","CAN SELL")))))</f>
        <v>CAN SELL</v>
      </c>
      <c r="J90" s="11" t="str">
        <f>IF($A90="","",_xlfn.LET(_xlpm.t,MATCH($B90,'[1]Territory Definitions'!$B$5:$B$14,0),IF(ISNA(_xlpm.t),"NO TERRITORY",IF(INDEX('[1]Territory Definitions'!$D$5:$M$14,_xlpm.t,MATCH(J$4,'[1]Territory Definitions'!$D$4:$M$4,0))&lt;&gt;1,"NOT IN TERRITORY",IF(COUNTIFS('[1]Blackout Brand Fam Areas (Enc)'!$B$6:$B$998,$A90,'[1]Blackout Brand Fam Areas (Enc)'!$C$6:$C$998,J$4,'[1]Blackout Brand Fam Areas (Enc)'!$D$6:$D$998,"Inactive")&gt;0,"BLOCKED","CAN SELL")))))</f>
        <v>CAN SELL</v>
      </c>
      <c r="K90" s="11" t="str">
        <f>IF($A90="","",_xlfn.LET(_xlpm.t,MATCH($B90,'[1]Territory Definitions'!$B$5:$B$14,0),IF(ISNA(_xlpm.t),"NO TERRITORY",IF(INDEX('[1]Territory Definitions'!$D$5:$M$14,_xlpm.t,MATCH(K$4,'[1]Territory Definitions'!$D$4:$M$4,0))&lt;&gt;1,"NOT IN TERRITORY",IF(COUNTIFS('[1]Blackout Brand Fam Areas (Enc)'!$B$6:$B$998,$A90,'[1]Blackout Brand Fam Areas (Enc)'!$C$6:$C$998,K$4,'[1]Blackout Brand Fam Areas (Enc)'!$D$6:$D$998,"Inactive")&gt;0,"BLOCKED","CAN SELL")))))</f>
        <v>NOT IN TERRITORY</v>
      </c>
      <c r="L90" s="11" t="str">
        <f>IF($A90="","",_xlfn.LET(_xlpm.t,MATCH($B90,'[1]Territory Definitions'!$B$5:$B$14,0),IF(ISNA(_xlpm.t),"NO TERRITORY",IF(INDEX('[1]Territory Definitions'!$D$5:$M$14,_xlpm.t,MATCH(L$4,'[1]Territory Definitions'!$D$4:$M$4,0))&lt;&gt;1,"NOT IN TERRITORY",IF(COUNTIFS('[1]Blackout Brand Fam Areas (Enc)'!$B$6:$B$998,$A90,'[1]Blackout Brand Fam Areas (Enc)'!$C$6:$C$998,L$4,'[1]Blackout Brand Fam Areas (Enc)'!$D$6:$D$998,"Inactive")&gt;0,"BLOCKED","CAN SELL")))))</f>
        <v>CAN SELL</v>
      </c>
      <c r="M90" s="12">
        <f>IF($A90="","",COUNTIF($C90:$L90,"CAN SELL"))</f>
        <v>6</v>
      </c>
      <c r="N90" s="13" cm="1">
        <f t="array" ref="N90">IF($A90="","",SUMPRODUCT(($C90:$L90="CAN SELL")*$C$3:$L$3))</f>
        <v>1596</v>
      </c>
      <c r="O90" s="14" t="str">
        <f>IF($A90="","",IF(COUNTIF($A$5:$A$299,$A90)&gt;1,"DUPLICATE - two different territories assigned",IF($B90="** NO TERRITORY SET **","No territory on Brand Family Territory (Enc)","")))</f>
        <v/>
      </c>
      <c r="P90" s="18" t="str">
        <f>IF($A90="","",IFERROR(INDEX([1]Products!$H$4:$H$4801,MATCH($A90,[1]Products!$G$4:$G$4801,0)),"(no products)"))</f>
        <v>Boston Beer Company</v>
      </c>
      <c r="Q90" s="19">
        <f>IF($A90="","",COUNTIFS([1]Products!$G$4:$G$4801,$A90,[1]Products!$L$4:$L$4801,"Yes"))</f>
        <v>85</v>
      </c>
      <c r="R90" s="19">
        <f>IF($A90="","",COUNTIFS([1]Products!$G$4:$G$4801,$A90,[1]Products!$L$4:$L$4801,"Yes",[1]Products!$K$4:$K$4801,"Draft"))</f>
        <v>25</v>
      </c>
      <c r="S90" s="19">
        <f>IF($A90="","",COUNTIFS([1]Products!$G$4:$G$4801,$A90,[1]Products!$L$4:$L$4801,"Yes",[1]Products!$K$4:$K$4801,"Package"))</f>
        <v>60</v>
      </c>
      <c r="T90" s="20" t="str" cm="1">
        <f t="array" ref="T90">IF($A90="","",_xlfn.IFS($Q90=0,"NO ACTIVE SKUs",AND($R90&gt;0,$S90&gt;0),"Draft &amp; Package",$R90&gt;0,"Draft only",TRUE,"Package only"))</f>
        <v>Draft &amp; Package</v>
      </c>
    </row>
    <row r="91" spans="1:20" x14ac:dyDescent="0.2">
      <c r="A91" s="9" t="str">
        <v>Dogfish Head Spirits</v>
      </c>
      <c r="B91" s="10" t="str">
        <f>IF($A91="","",_xlfn.XLOOKUP($A91,'[1]Brand Family Territory (Enc)'!$A:$A,'[1]Brand Family Territory (Enc)'!$B:$B,"** NO TERRITORY SET **"))</f>
        <v>Core Market</v>
      </c>
      <c r="C91" s="11" t="str">
        <f>IF($A91="","",_xlfn.LET(_xlpm.t,MATCH($B91,'[1]Territory Definitions'!$B$5:$B$14,0),IF(ISNA(_xlpm.t),"NO TERRITORY",IF(INDEX('[1]Territory Definitions'!$D$5:$M$14,_xlpm.t,MATCH(C$4,'[1]Territory Definitions'!$D$4:$M$4,0))&lt;&gt;1,"NOT IN TERRITORY",IF(COUNTIFS('[1]Blackout Brand Fam Areas (Enc)'!$B$6:$B$998,$A91,'[1]Blackout Brand Fam Areas (Enc)'!$C$6:$C$998,C$4,'[1]Blackout Brand Fam Areas (Enc)'!$D$6:$D$998,"Inactive")&gt;0,"BLOCKED","CAN SELL")))))</f>
        <v>CAN SELL</v>
      </c>
      <c r="D91" s="11" t="str">
        <f>IF($A91="","",_xlfn.LET(_xlpm.t,MATCH($B91,'[1]Territory Definitions'!$B$5:$B$14,0),IF(ISNA(_xlpm.t),"NO TERRITORY",IF(INDEX('[1]Territory Definitions'!$D$5:$M$14,_xlpm.t,MATCH(D$4,'[1]Territory Definitions'!$D$4:$M$4,0))&lt;&gt;1,"NOT IN TERRITORY",IF(COUNTIFS('[1]Blackout Brand Fam Areas (Enc)'!$B$6:$B$998,$A91,'[1]Blackout Brand Fam Areas (Enc)'!$C$6:$C$998,D$4,'[1]Blackout Brand Fam Areas (Enc)'!$D$6:$D$998,"Inactive")&gt;0,"BLOCKED","CAN SELL")))))</f>
        <v>CAN SELL</v>
      </c>
      <c r="E91" s="11" t="str">
        <f>IF($A91="","",_xlfn.LET(_xlpm.t,MATCH($B91,'[1]Territory Definitions'!$B$5:$B$14,0),IF(ISNA(_xlpm.t),"NO TERRITORY",IF(INDEX('[1]Territory Definitions'!$D$5:$M$14,_xlpm.t,MATCH(E$4,'[1]Territory Definitions'!$D$4:$M$4,0))&lt;&gt;1,"NOT IN TERRITORY",IF(COUNTIFS('[1]Blackout Brand Fam Areas (Enc)'!$B$6:$B$998,$A91,'[1]Blackout Brand Fam Areas (Enc)'!$C$6:$C$998,E$4,'[1]Blackout Brand Fam Areas (Enc)'!$D$6:$D$998,"Inactive")&gt;0,"BLOCKED","CAN SELL")))))</f>
        <v>CAN SELL</v>
      </c>
      <c r="F91" s="11" t="str">
        <f>IF($A91="","",_xlfn.LET(_xlpm.t,MATCH($B91,'[1]Territory Definitions'!$B$5:$B$14,0),IF(ISNA(_xlpm.t),"NO TERRITORY",IF(INDEX('[1]Territory Definitions'!$D$5:$M$14,_xlpm.t,MATCH(F$4,'[1]Territory Definitions'!$D$4:$M$4,0))&lt;&gt;1,"NOT IN TERRITORY",IF(COUNTIFS('[1]Blackout Brand Fam Areas (Enc)'!$B$6:$B$998,$A91,'[1]Blackout Brand Fam Areas (Enc)'!$C$6:$C$998,F$4,'[1]Blackout Brand Fam Areas (Enc)'!$D$6:$D$998,"Inactive")&gt;0,"BLOCKED","CAN SELL")))))</f>
        <v>NOT IN TERRITORY</v>
      </c>
      <c r="G91" s="11" t="str">
        <f>IF($A91="","",_xlfn.LET(_xlpm.t,MATCH($B91,'[1]Territory Definitions'!$B$5:$B$14,0),IF(ISNA(_xlpm.t),"NO TERRITORY",IF(INDEX('[1]Territory Definitions'!$D$5:$M$14,_xlpm.t,MATCH(G$4,'[1]Territory Definitions'!$D$4:$M$4,0))&lt;&gt;1,"NOT IN TERRITORY",IF(COUNTIFS('[1]Blackout Brand Fam Areas (Enc)'!$B$6:$B$998,$A91,'[1]Blackout Brand Fam Areas (Enc)'!$C$6:$C$998,G$4,'[1]Blackout Brand Fam Areas (Enc)'!$D$6:$D$998,"Inactive")&gt;0,"BLOCKED","CAN SELL")))))</f>
        <v>NOT IN TERRITORY</v>
      </c>
      <c r="H91" s="11" t="str">
        <f>IF($A91="","",_xlfn.LET(_xlpm.t,MATCH($B91,'[1]Territory Definitions'!$B$5:$B$14,0),IF(ISNA(_xlpm.t),"NO TERRITORY",IF(INDEX('[1]Territory Definitions'!$D$5:$M$14,_xlpm.t,MATCH(H$4,'[1]Territory Definitions'!$D$4:$M$4,0))&lt;&gt;1,"NOT IN TERRITORY",IF(COUNTIFS('[1]Blackout Brand Fam Areas (Enc)'!$B$6:$B$998,$A91,'[1]Blackout Brand Fam Areas (Enc)'!$C$6:$C$998,H$4,'[1]Blackout Brand Fam Areas (Enc)'!$D$6:$D$998,"Inactive")&gt;0,"BLOCKED","CAN SELL")))))</f>
        <v>NOT IN TERRITORY</v>
      </c>
      <c r="I91" s="11" t="str">
        <f>IF($A91="","",_xlfn.LET(_xlpm.t,MATCH($B91,'[1]Territory Definitions'!$B$5:$B$14,0),IF(ISNA(_xlpm.t),"NO TERRITORY",IF(INDEX('[1]Territory Definitions'!$D$5:$M$14,_xlpm.t,MATCH(I$4,'[1]Territory Definitions'!$D$4:$M$4,0))&lt;&gt;1,"NOT IN TERRITORY",IF(COUNTIFS('[1]Blackout Brand Fam Areas (Enc)'!$B$6:$B$998,$A91,'[1]Blackout Brand Fam Areas (Enc)'!$C$6:$C$998,I$4,'[1]Blackout Brand Fam Areas (Enc)'!$D$6:$D$998,"Inactive")&gt;0,"BLOCKED","CAN SELL")))))</f>
        <v>CAN SELL</v>
      </c>
      <c r="J91" s="11" t="str">
        <f>IF($A91="","",_xlfn.LET(_xlpm.t,MATCH($B91,'[1]Territory Definitions'!$B$5:$B$14,0),IF(ISNA(_xlpm.t),"NO TERRITORY",IF(INDEX('[1]Territory Definitions'!$D$5:$M$14,_xlpm.t,MATCH(J$4,'[1]Territory Definitions'!$D$4:$M$4,0))&lt;&gt;1,"NOT IN TERRITORY",IF(COUNTIFS('[1]Blackout Brand Fam Areas (Enc)'!$B$6:$B$998,$A91,'[1]Blackout Brand Fam Areas (Enc)'!$C$6:$C$998,J$4,'[1]Blackout Brand Fam Areas (Enc)'!$D$6:$D$998,"Inactive")&gt;0,"BLOCKED","CAN SELL")))))</f>
        <v>CAN SELL</v>
      </c>
      <c r="K91" s="11" t="str">
        <f>IF($A91="","",_xlfn.LET(_xlpm.t,MATCH($B91,'[1]Territory Definitions'!$B$5:$B$14,0),IF(ISNA(_xlpm.t),"NO TERRITORY",IF(INDEX('[1]Territory Definitions'!$D$5:$M$14,_xlpm.t,MATCH(K$4,'[1]Territory Definitions'!$D$4:$M$4,0))&lt;&gt;1,"NOT IN TERRITORY",IF(COUNTIFS('[1]Blackout Brand Fam Areas (Enc)'!$B$6:$B$998,$A91,'[1]Blackout Brand Fam Areas (Enc)'!$C$6:$C$998,K$4,'[1]Blackout Brand Fam Areas (Enc)'!$D$6:$D$998,"Inactive")&gt;0,"BLOCKED","CAN SELL")))))</f>
        <v>NOT IN TERRITORY</v>
      </c>
      <c r="L91" s="11" t="str">
        <f>IF($A91="","",_xlfn.LET(_xlpm.t,MATCH($B91,'[1]Territory Definitions'!$B$5:$B$14,0),IF(ISNA(_xlpm.t),"NO TERRITORY",IF(INDEX('[1]Territory Definitions'!$D$5:$M$14,_xlpm.t,MATCH(L$4,'[1]Territory Definitions'!$D$4:$M$4,0))&lt;&gt;1,"NOT IN TERRITORY",IF(COUNTIFS('[1]Blackout Brand Fam Areas (Enc)'!$B$6:$B$998,$A91,'[1]Blackout Brand Fam Areas (Enc)'!$C$6:$C$998,L$4,'[1]Blackout Brand Fam Areas (Enc)'!$D$6:$D$998,"Inactive")&gt;0,"BLOCKED","CAN SELL")))))</f>
        <v>CAN SELL</v>
      </c>
      <c r="M91" s="12">
        <f>IF($A91="","",COUNTIF($C91:$L91,"CAN SELL"))</f>
        <v>6</v>
      </c>
      <c r="N91" s="13" cm="1">
        <f t="array" ref="N91">IF($A91="","",SUMPRODUCT(($C91:$L91="CAN SELL")*$C$3:$L$3))</f>
        <v>1596</v>
      </c>
      <c r="O91" s="14" t="str">
        <f>IF($A91="","",IF(COUNTIF($A$5:$A$299,$A91)&gt;1,"DUPLICATE - two different territories assigned",IF($B91="** NO TERRITORY SET **","No territory on Brand Family Territory (Enc)","")))</f>
        <v/>
      </c>
      <c r="P91" s="18" t="str">
        <f>IF($A91="","",IFERROR(INDEX([1]Products!$H$4:$H$4801,MATCH($A91,[1]Products!$G$4:$G$4801,0)),"(no products)"))</f>
        <v>Boston Beer Company</v>
      </c>
      <c r="Q91" s="19">
        <f>IF($A91="","",COUNTIFS([1]Products!$G$4:$G$4801,$A91,[1]Products!$L$4:$L$4801,"Yes"))</f>
        <v>24</v>
      </c>
      <c r="R91" s="19">
        <f>IF($A91="","",COUNTIFS([1]Products!$G$4:$G$4801,$A91,[1]Products!$L$4:$L$4801,"Yes",[1]Products!$K$4:$K$4801,"Draft"))</f>
        <v>0</v>
      </c>
      <c r="S91" s="19">
        <f>IF($A91="","",COUNTIFS([1]Products!$G$4:$G$4801,$A91,[1]Products!$L$4:$L$4801,"Yes",[1]Products!$K$4:$K$4801,"Package"))</f>
        <v>0</v>
      </c>
      <c r="T91" s="20" t="str" cm="1">
        <f t="array" ref="T91">IF($A91="","",_xlfn.IFS($Q91=0,"NO ACTIVE SKUs",AND($R91&gt;0,$S91&gt;0),"Draft &amp; Package",$R91&gt;0,"Draft only",TRUE,"Package only"))</f>
        <v>Package only</v>
      </c>
    </row>
    <row r="92" spans="1:20" x14ac:dyDescent="0.2">
      <c r="A92" s="9" t="str">
        <v>Dos Equis</v>
      </c>
      <c r="B92" s="10" t="str">
        <f>IF($A92="","",_xlfn.XLOOKUP($A92,'[1]Brand Family Territory (Enc)'!$A:$A,'[1]Brand Family Territory (Enc)'!$B:$B,"** NO TERRITORY SET **"))</f>
        <v>Bergen &amp; Passaic</v>
      </c>
      <c r="C92" s="11" t="str">
        <f>IF($A92="","",_xlfn.LET(_xlpm.t,MATCH($B92,'[1]Territory Definitions'!$B$5:$B$14,0),IF(ISNA(_xlpm.t),"NO TERRITORY",IF(INDEX('[1]Territory Definitions'!$D$5:$M$14,_xlpm.t,MATCH(C$4,'[1]Territory Definitions'!$D$4:$M$4,0))&lt;&gt;1,"NOT IN TERRITORY",IF(COUNTIFS('[1]Blackout Brand Fam Areas (Enc)'!$B$6:$B$998,$A92,'[1]Blackout Brand Fam Areas (Enc)'!$C$6:$C$998,C$4,'[1]Blackout Brand Fam Areas (Enc)'!$D$6:$D$998,"Inactive")&gt;0,"BLOCKED","CAN SELL")))))</f>
        <v>CAN SELL</v>
      </c>
      <c r="D92" s="11" t="str">
        <f>IF($A92="","",_xlfn.LET(_xlpm.t,MATCH($B92,'[1]Territory Definitions'!$B$5:$B$14,0),IF(ISNA(_xlpm.t),"NO TERRITORY",IF(INDEX('[1]Territory Definitions'!$D$5:$M$14,_xlpm.t,MATCH(D$4,'[1]Territory Definitions'!$D$4:$M$4,0))&lt;&gt;1,"NOT IN TERRITORY",IF(COUNTIFS('[1]Blackout Brand Fam Areas (Enc)'!$B$6:$B$998,$A92,'[1]Blackout Brand Fam Areas (Enc)'!$C$6:$C$998,D$4,'[1]Blackout Brand Fam Areas (Enc)'!$D$6:$D$998,"Inactive")&gt;0,"BLOCKED","CAN SELL")))))</f>
        <v>CAN SELL</v>
      </c>
      <c r="E92" s="11" t="str">
        <f>IF($A92="","",_xlfn.LET(_xlpm.t,MATCH($B92,'[1]Territory Definitions'!$B$5:$B$14,0),IF(ISNA(_xlpm.t),"NO TERRITORY",IF(INDEX('[1]Territory Definitions'!$D$5:$M$14,_xlpm.t,MATCH(E$4,'[1]Territory Definitions'!$D$4:$M$4,0))&lt;&gt;1,"NOT IN TERRITORY",IF(COUNTIFS('[1]Blackout Brand Fam Areas (Enc)'!$B$6:$B$998,$A92,'[1]Blackout Brand Fam Areas (Enc)'!$C$6:$C$998,E$4,'[1]Blackout Brand Fam Areas (Enc)'!$D$6:$D$998,"Inactive")&gt;0,"BLOCKED","CAN SELL")))))</f>
        <v>CAN SELL</v>
      </c>
      <c r="F92" s="11" t="str">
        <f>IF($A92="","",_xlfn.LET(_xlpm.t,MATCH($B92,'[1]Territory Definitions'!$B$5:$B$14,0),IF(ISNA(_xlpm.t),"NO TERRITORY",IF(INDEX('[1]Territory Definitions'!$D$5:$M$14,_xlpm.t,MATCH(F$4,'[1]Territory Definitions'!$D$4:$M$4,0))&lt;&gt;1,"NOT IN TERRITORY",IF(COUNTIFS('[1]Blackout Brand Fam Areas (Enc)'!$B$6:$B$998,$A92,'[1]Blackout Brand Fam Areas (Enc)'!$C$6:$C$998,F$4,'[1]Blackout Brand Fam Areas (Enc)'!$D$6:$D$998,"Inactive")&gt;0,"BLOCKED","CAN SELL")))))</f>
        <v>NOT IN TERRITORY</v>
      </c>
      <c r="G92" s="11" t="str">
        <f>IF($A92="","",_xlfn.LET(_xlpm.t,MATCH($B92,'[1]Territory Definitions'!$B$5:$B$14,0),IF(ISNA(_xlpm.t),"NO TERRITORY",IF(INDEX('[1]Territory Definitions'!$D$5:$M$14,_xlpm.t,MATCH(G$4,'[1]Territory Definitions'!$D$4:$M$4,0))&lt;&gt;1,"NOT IN TERRITORY",IF(COUNTIFS('[1]Blackout Brand Fam Areas (Enc)'!$B$6:$B$998,$A92,'[1]Blackout Brand Fam Areas (Enc)'!$C$6:$C$998,G$4,'[1]Blackout Brand Fam Areas (Enc)'!$D$6:$D$998,"Inactive")&gt;0,"BLOCKED","CAN SELL")))))</f>
        <v>NOT IN TERRITORY</v>
      </c>
      <c r="H92" s="11" t="str">
        <f>IF($A92="","",_xlfn.LET(_xlpm.t,MATCH($B92,'[1]Territory Definitions'!$B$5:$B$14,0),IF(ISNA(_xlpm.t),"NO TERRITORY",IF(INDEX('[1]Territory Definitions'!$D$5:$M$14,_xlpm.t,MATCH(H$4,'[1]Territory Definitions'!$D$4:$M$4,0))&lt;&gt;1,"NOT IN TERRITORY",IF(COUNTIFS('[1]Blackout Brand Fam Areas (Enc)'!$B$6:$B$998,$A92,'[1]Blackout Brand Fam Areas (Enc)'!$C$6:$C$998,H$4,'[1]Blackout Brand Fam Areas (Enc)'!$D$6:$D$998,"Inactive")&gt;0,"BLOCKED","CAN SELL")))))</f>
        <v>NOT IN TERRITORY</v>
      </c>
      <c r="I92" s="11" t="str">
        <f>IF($A92="","",_xlfn.LET(_xlpm.t,MATCH($B92,'[1]Territory Definitions'!$B$5:$B$14,0),IF(ISNA(_xlpm.t),"NO TERRITORY",IF(INDEX('[1]Territory Definitions'!$D$5:$M$14,_xlpm.t,MATCH(I$4,'[1]Territory Definitions'!$D$4:$M$4,0))&lt;&gt;1,"NOT IN TERRITORY",IF(COUNTIFS('[1]Blackout Brand Fam Areas (Enc)'!$B$6:$B$998,$A92,'[1]Blackout Brand Fam Areas (Enc)'!$C$6:$C$998,I$4,'[1]Blackout Brand Fam Areas (Enc)'!$D$6:$D$998,"Inactive")&gt;0,"BLOCKED","CAN SELL")))))</f>
        <v>NOT IN TERRITORY</v>
      </c>
      <c r="J92" s="11" t="str">
        <f>IF($A92="","",_xlfn.LET(_xlpm.t,MATCH($B92,'[1]Territory Definitions'!$B$5:$B$14,0),IF(ISNA(_xlpm.t),"NO TERRITORY",IF(INDEX('[1]Territory Definitions'!$D$5:$M$14,_xlpm.t,MATCH(J$4,'[1]Territory Definitions'!$D$4:$M$4,0))&lt;&gt;1,"NOT IN TERRITORY",IF(COUNTIFS('[1]Blackout Brand Fam Areas (Enc)'!$B$6:$B$998,$A92,'[1]Blackout Brand Fam Areas (Enc)'!$C$6:$C$998,J$4,'[1]Blackout Brand Fam Areas (Enc)'!$D$6:$D$998,"Inactive")&gt;0,"BLOCKED","CAN SELL")))))</f>
        <v>NOT IN TERRITORY</v>
      </c>
      <c r="K92" s="11" t="str">
        <f>IF($A92="","",_xlfn.LET(_xlpm.t,MATCH($B92,'[1]Territory Definitions'!$B$5:$B$14,0),IF(ISNA(_xlpm.t),"NO TERRITORY",IF(INDEX('[1]Territory Definitions'!$D$5:$M$14,_xlpm.t,MATCH(K$4,'[1]Territory Definitions'!$D$4:$M$4,0))&lt;&gt;1,"NOT IN TERRITORY",IF(COUNTIFS('[1]Blackout Brand Fam Areas (Enc)'!$B$6:$B$998,$A92,'[1]Blackout Brand Fam Areas (Enc)'!$C$6:$C$998,K$4,'[1]Blackout Brand Fam Areas (Enc)'!$D$6:$D$998,"Inactive")&gt;0,"BLOCKED","CAN SELL")))))</f>
        <v>NOT IN TERRITORY</v>
      </c>
      <c r="L92" s="11" t="str">
        <f>IF($A92="","",_xlfn.LET(_xlpm.t,MATCH($B92,'[1]Territory Definitions'!$B$5:$B$14,0),IF(ISNA(_xlpm.t),"NO TERRITORY",IF(INDEX('[1]Territory Definitions'!$D$5:$M$14,_xlpm.t,MATCH(L$4,'[1]Territory Definitions'!$D$4:$M$4,0))&lt;&gt;1,"NOT IN TERRITORY",IF(COUNTIFS('[1]Blackout Brand Fam Areas (Enc)'!$B$6:$B$998,$A92,'[1]Blackout Brand Fam Areas (Enc)'!$C$6:$C$998,L$4,'[1]Blackout Brand Fam Areas (Enc)'!$D$6:$D$998,"Inactive")&gt;0,"BLOCKED","CAN SELL")))))</f>
        <v>NOT IN TERRITORY</v>
      </c>
      <c r="M92" s="12">
        <f>IF($A92="","",COUNTIF($C92:$L92,"CAN SELL"))</f>
        <v>3</v>
      </c>
      <c r="N92" s="13" cm="1">
        <f t="array" ref="N92">IF($A92="","",SUMPRODUCT(($C92:$L92="CAN SELL")*$C$3:$L$3))</f>
        <v>1282</v>
      </c>
      <c r="O92" s="14" t="str">
        <f>IF($A92="","",IF(COUNTIF($A$5:$A$299,$A92)&gt;1,"DUPLICATE - two different territories assigned",IF($B92="** NO TERRITORY SET **","No territory on Brand Family Territory (Enc)","")))</f>
        <v/>
      </c>
      <c r="P92" s="18" t="str">
        <f>IF($A92="","",IFERROR(INDEX([1]Products!$H$4:$H$4801,MATCH($A92,[1]Products!$G$4:$G$4801,0)),"(no products)"))</f>
        <v>Heineken USA</v>
      </c>
      <c r="Q92" s="19">
        <f>IF($A92="","",COUNTIFS([1]Products!$G$4:$G$4801,$A92,[1]Products!$L$4:$L$4801,"Yes"))</f>
        <v>12</v>
      </c>
      <c r="R92" s="19">
        <f>IF($A92="","",COUNTIFS([1]Products!$G$4:$G$4801,$A92,[1]Products!$L$4:$L$4801,"Yes",[1]Products!$K$4:$K$4801,"Draft"))</f>
        <v>4</v>
      </c>
      <c r="S92" s="19">
        <f>IF($A92="","",COUNTIFS([1]Products!$G$4:$G$4801,$A92,[1]Products!$L$4:$L$4801,"Yes",[1]Products!$K$4:$K$4801,"Package"))</f>
        <v>8</v>
      </c>
      <c r="T92" s="20" t="str" cm="1">
        <f t="array" ref="T92">IF($A92="","",_xlfn.IFS($Q92=0,"NO ACTIVE SKUs",AND($R92&gt;0,$S92&gt;0),"Draft &amp; Package",$R92&gt;0,"Draft only",TRUE,"Package only"))</f>
        <v>Draft &amp; Package</v>
      </c>
    </row>
    <row r="93" spans="1:20" x14ac:dyDescent="0.2">
      <c r="A93" s="9" t="str">
        <v>Dragon Stout</v>
      </c>
      <c r="B93" s="10" t="str">
        <f>IF($A93="","",_xlfn.XLOOKUP($A93,'[1]Brand Family Territory (Enc)'!$A:$A,'[1]Brand Family Territory (Enc)'!$B:$B,"** NO TERRITORY SET **"))</f>
        <v>All Counties</v>
      </c>
      <c r="C93" s="11" t="str">
        <f>IF($A93="","",_xlfn.LET(_xlpm.t,MATCH($B93,'[1]Territory Definitions'!$B$5:$B$14,0),IF(ISNA(_xlpm.t),"NO TERRITORY",IF(INDEX('[1]Territory Definitions'!$D$5:$M$14,_xlpm.t,MATCH(C$4,'[1]Territory Definitions'!$D$4:$M$4,0))&lt;&gt;1,"NOT IN TERRITORY",IF(COUNTIFS('[1]Blackout Brand Fam Areas (Enc)'!$B$6:$B$998,$A93,'[1]Blackout Brand Fam Areas (Enc)'!$C$6:$C$998,C$4,'[1]Blackout Brand Fam Areas (Enc)'!$D$6:$D$998,"Inactive")&gt;0,"BLOCKED","CAN SELL")))))</f>
        <v>CAN SELL</v>
      </c>
      <c r="D93" s="11" t="str">
        <f>IF($A93="","",_xlfn.LET(_xlpm.t,MATCH($B93,'[1]Territory Definitions'!$B$5:$B$14,0),IF(ISNA(_xlpm.t),"NO TERRITORY",IF(INDEX('[1]Territory Definitions'!$D$5:$M$14,_xlpm.t,MATCH(D$4,'[1]Territory Definitions'!$D$4:$M$4,0))&lt;&gt;1,"NOT IN TERRITORY",IF(COUNTIFS('[1]Blackout Brand Fam Areas (Enc)'!$B$6:$B$998,$A93,'[1]Blackout Brand Fam Areas (Enc)'!$C$6:$C$998,D$4,'[1]Blackout Brand Fam Areas (Enc)'!$D$6:$D$998,"Inactive")&gt;0,"BLOCKED","CAN SELL")))))</f>
        <v>CAN SELL</v>
      </c>
      <c r="E93" s="11" t="str">
        <f>IF($A93="","",_xlfn.LET(_xlpm.t,MATCH($B93,'[1]Territory Definitions'!$B$5:$B$14,0),IF(ISNA(_xlpm.t),"NO TERRITORY",IF(INDEX('[1]Territory Definitions'!$D$5:$M$14,_xlpm.t,MATCH(E$4,'[1]Territory Definitions'!$D$4:$M$4,0))&lt;&gt;1,"NOT IN TERRITORY",IF(COUNTIFS('[1]Blackout Brand Fam Areas (Enc)'!$B$6:$B$998,$A93,'[1]Blackout Brand Fam Areas (Enc)'!$C$6:$C$998,E$4,'[1]Blackout Brand Fam Areas (Enc)'!$D$6:$D$998,"Inactive")&gt;0,"BLOCKED","CAN SELL")))))</f>
        <v>CAN SELL</v>
      </c>
      <c r="F93" s="11" t="str">
        <f>IF($A93="","",_xlfn.LET(_xlpm.t,MATCH($B93,'[1]Territory Definitions'!$B$5:$B$14,0),IF(ISNA(_xlpm.t),"NO TERRITORY",IF(INDEX('[1]Territory Definitions'!$D$5:$M$14,_xlpm.t,MATCH(F$4,'[1]Territory Definitions'!$D$4:$M$4,0))&lt;&gt;1,"NOT IN TERRITORY",IF(COUNTIFS('[1]Blackout Brand Fam Areas (Enc)'!$B$6:$B$998,$A93,'[1]Blackout Brand Fam Areas (Enc)'!$C$6:$C$998,F$4,'[1]Blackout Brand Fam Areas (Enc)'!$D$6:$D$998,"Inactive")&gt;0,"BLOCKED","CAN SELL")))))</f>
        <v>CAN SELL</v>
      </c>
      <c r="G93" s="11" t="str">
        <f>IF($A93="","",_xlfn.LET(_xlpm.t,MATCH($B93,'[1]Territory Definitions'!$B$5:$B$14,0),IF(ISNA(_xlpm.t),"NO TERRITORY",IF(INDEX('[1]Territory Definitions'!$D$5:$M$14,_xlpm.t,MATCH(G$4,'[1]Territory Definitions'!$D$4:$M$4,0))&lt;&gt;1,"NOT IN TERRITORY",IF(COUNTIFS('[1]Blackout Brand Fam Areas (Enc)'!$B$6:$B$998,$A93,'[1]Blackout Brand Fam Areas (Enc)'!$C$6:$C$998,G$4,'[1]Blackout Brand Fam Areas (Enc)'!$D$6:$D$998,"Inactive")&gt;0,"BLOCKED","CAN SELL")))))</f>
        <v>CAN SELL</v>
      </c>
      <c r="H93" s="11" t="str">
        <f>IF($A93="","",_xlfn.LET(_xlpm.t,MATCH($B93,'[1]Territory Definitions'!$B$5:$B$14,0),IF(ISNA(_xlpm.t),"NO TERRITORY",IF(INDEX('[1]Territory Definitions'!$D$5:$M$14,_xlpm.t,MATCH(H$4,'[1]Territory Definitions'!$D$4:$M$4,0))&lt;&gt;1,"NOT IN TERRITORY",IF(COUNTIFS('[1]Blackout Brand Fam Areas (Enc)'!$B$6:$B$998,$A93,'[1]Blackout Brand Fam Areas (Enc)'!$C$6:$C$998,H$4,'[1]Blackout Brand Fam Areas (Enc)'!$D$6:$D$998,"Inactive")&gt;0,"BLOCKED","CAN SELL")))))</f>
        <v>CAN SELL</v>
      </c>
      <c r="I93" s="11" t="str">
        <f>IF($A93="","",_xlfn.LET(_xlpm.t,MATCH($B93,'[1]Territory Definitions'!$B$5:$B$14,0),IF(ISNA(_xlpm.t),"NO TERRITORY",IF(INDEX('[1]Territory Definitions'!$D$5:$M$14,_xlpm.t,MATCH(I$4,'[1]Territory Definitions'!$D$4:$M$4,0))&lt;&gt;1,"NOT IN TERRITORY",IF(COUNTIFS('[1]Blackout Brand Fam Areas (Enc)'!$B$6:$B$998,$A93,'[1]Blackout Brand Fam Areas (Enc)'!$C$6:$C$998,I$4,'[1]Blackout Brand Fam Areas (Enc)'!$D$6:$D$998,"Inactive")&gt;0,"BLOCKED","CAN SELL")))))</f>
        <v>CAN SELL</v>
      </c>
      <c r="J93" s="11" t="str">
        <f>IF($A93="","",_xlfn.LET(_xlpm.t,MATCH($B93,'[1]Territory Definitions'!$B$5:$B$14,0),IF(ISNA(_xlpm.t),"NO TERRITORY",IF(INDEX('[1]Territory Definitions'!$D$5:$M$14,_xlpm.t,MATCH(J$4,'[1]Territory Definitions'!$D$4:$M$4,0))&lt;&gt;1,"NOT IN TERRITORY",IF(COUNTIFS('[1]Blackout Brand Fam Areas (Enc)'!$B$6:$B$998,$A93,'[1]Blackout Brand Fam Areas (Enc)'!$C$6:$C$998,J$4,'[1]Blackout Brand Fam Areas (Enc)'!$D$6:$D$998,"Inactive")&gt;0,"BLOCKED","CAN SELL")))))</f>
        <v>CAN SELL</v>
      </c>
      <c r="K93" s="11" t="str">
        <f>IF($A93="","",_xlfn.LET(_xlpm.t,MATCH($B93,'[1]Territory Definitions'!$B$5:$B$14,0),IF(ISNA(_xlpm.t),"NO TERRITORY",IF(INDEX('[1]Territory Definitions'!$D$5:$M$14,_xlpm.t,MATCH(K$4,'[1]Territory Definitions'!$D$4:$M$4,0))&lt;&gt;1,"NOT IN TERRITORY",IF(COUNTIFS('[1]Blackout Brand Fam Areas (Enc)'!$B$6:$B$998,$A93,'[1]Blackout Brand Fam Areas (Enc)'!$C$6:$C$998,K$4,'[1]Blackout Brand Fam Areas (Enc)'!$D$6:$D$998,"Inactive")&gt;0,"BLOCKED","CAN SELL")))))</f>
        <v>CAN SELL</v>
      </c>
      <c r="L93" s="11" t="str">
        <f>IF($A93="","",_xlfn.LET(_xlpm.t,MATCH($B93,'[1]Territory Definitions'!$B$5:$B$14,0),IF(ISNA(_xlpm.t),"NO TERRITORY",IF(INDEX('[1]Territory Definitions'!$D$5:$M$14,_xlpm.t,MATCH(L$4,'[1]Territory Definitions'!$D$4:$M$4,0))&lt;&gt;1,"NOT IN TERRITORY",IF(COUNTIFS('[1]Blackout Brand Fam Areas (Enc)'!$B$6:$B$998,$A93,'[1]Blackout Brand Fam Areas (Enc)'!$C$6:$C$998,L$4,'[1]Blackout Brand Fam Areas (Enc)'!$D$6:$D$998,"Inactive")&gt;0,"BLOCKED","CAN SELL")))))</f>
        <v>CAN SELL</v>
      </c>
      <c r="M93" s="12">
        <f>IF($A93="","",COUNTIF($C93:$L93,"CAN SELL"))</f>
        <v>10</v>
      </c>
      <c r="N93" s="13" cm="1">
        <f t="array" ref="N93">IF($A93="","",SUMPRODUCT(($C93:$L93="CAN SELL")*$C$3:$L$3))</f>
        <v>2306</v>
      </c>
      <c r="O93" s="14" t="str">
        <f>IF($A93="","",IF(COUNTIF($A$5:$A$299,$A93)&gt;1,"DUPLICATE - two different territories assigned",IF($B93="** NO TERRITORY SET **","No territory on Brand Family Territory (Enc)","")))</f>
        <v/>
      </c>
      <c r="P93" s="18" t="str">
        <f>IF($A93="","",IFERROR(INDEX([1]Products!$H$4:$H$4801,MATCH($A93,[1]Products!$G$4:$G$4801,0)),"(no products)"))</f>
        <v>US Beverage</v>
      </c>
      <c r="Q93" s="19">
        <f>IF($A93="","",COUNTIFS([1]Products!$G$4:$G$4801,$A93,[1]Products!$L$4:$L$4801,"Yes"))</f>
        <v>2</v>
      </c>
      <c r="R93" s="19">
        <f>IF($A93="","",COUNTIFS([1]Products!$G$4:$G$4801,$A93,[1]Products!$L$4:$L$4801,"Yes",[1]Products!$K$4:$K$4801,"Draft"))</f>
        <v>0</v>
      </c>
      <c r="S93" s="19">
        <f>IF($A93="","",COUNTIFS([1]Products!$G$4:$G$4801,$A93,[1]Products!$L$4:$L$4801,"Yes",[1]Products!$K$4:$K$4801,"Package"))</f>
        <v>2</v>
      </c>
      <c r="T93" s="20" t="str" cm="1">
        <f t="array" ref="T93">IF($A93="","",_xlfn.IFS($Q93=0,"NO ACTIVE SKUs",AND($R93&gt;0,$S93&gt;0),"Draft &amp; Package",$R93&gt;0,"Draft only",TRUE,"Package only"))</f>
        <v>Package only</v>
      </c>
    </row>
    <row r="94" spans="1:20" x14ac:dyDescent="0.2">
      <c r="A94" s="9" t="str">
        <v>Duclaw</v>
      </c>
      <c r="B94" s="10" t="str">
        <f>IF($A94="","",_xlfn.XLOOKUP($A94,'[1]Brand Family Territory (Enc)'!$A:$A,'[1]Brand Family Territory (Enc)'!$B:$B,"** NO TERRITORY SET **"))</f>
        <v>All Counties</v>
      </c>
      <c r="C94" s="11" t="str">
        <f>IF($A94="","",_xlfn.LET(_xlpm.t,MATCH($B94,'[1]Territory Definitions'!$B$5:$B$14,0),IF(ISNA(_xlpm.t),"NO TERRITORY",IF(INDEX('[1]Territory Definitions'!$D$5:$M$14,_xlpm.t,MATCH(C$4,'[1]Territory Definitions'!$D$4:$M$4,0))&lt;&gt;1,"NOT IN TERRITORY",IF(COUNTIFS('[1]Blackout Brand Fam Areas (Enc)'!$B$6:$B$998,$A94,'[1]Blackout Brand Fam Areas (Enc)'!$C$6:$C$998,C$4,'[1]Blackout Brand Fam Areas (Enc)'!$D$6:$D$998,"Inactive")&gt;0,"BLOCKED","CAN SELL")))))</f>
        <v>CAN SELL</v>
      </c>
      <c r="D94" s="11" t="str">
        <f>IF($A94="","",_xlfn.LET(_xlpm.t,MATCH($B94,'[1]Territory Definitions'!$B$5:$B$14,0),IF(ISNA(_xlpm.t),"NO TERRITORY",IF(INDEX('[1]Territory Definitions'!$D$5:$M$14,_xlpm.t,MATCH(D$4,'[1]Territory Definitions'!$D$4:$M$4,0))&lt;&gt;1,"NOT IN TERRITORY",IF(COUNTIFS('[1]Blackout Brand Fam Areas (Enc)'!$B$6:$B$998,$A94,'[1]Blackout Brand Fam Areas (Enc)'!$C$6:$C$998,D$4,'[1]Blackout Brand Fam Areas (Enc)'!$D$6:$D$998,"Inactive")&gt;0,"BLOCKED","CAN SELL")))))</f>
        <v>CAN SELL</v>
      </c>
      <c r="E94" s="11" t="str">
        <f>IF($A94="","",_xlfn.LET(_xlpm.t,MATCH($B94,'[1]Territory Definitions'!$B$5:$B$14,0),IF(ISNA(_xlpm.t),"NO TERRITORY",IF(INDEX('[1]Territory Definitions'!$D$5:$M$14,_xlpm.t,MATCH(E$4,'[1]Territory Definitions'!$D$4:$M$4,0))&lt;&gt;1,"NOT IN TERRITORY",IF(COUNTIFS('[1]Blackout Brand Fam Areas (Enc)'!$B$6:$B$998,$A94,'[1]Blackout Brand Fam Areas (Enc)'!$C$6:$C$998,E$4,'[1]Blackout Brand Fam Areas (Enc)'!$D$6:$D$998,"Inactive")&gt;0,"BLOCKED","CAN SELL")))))</f>
        <v>CAN SELL</v>
      </c>
      <c r="F94" s="11" t="str">
        <f>IF($A94="","",_xlfn.LET(_xlpm.t,MATCH($B94,'[1]Territory Definitions'!$B$5:$B$14,0),IF(ISNA(_xlpm.t),"NO TERRITORY",IF(INDEX('[1]Territory Definitions'!$D$5:$M$14,_xlpm.t,MATCH(F$4,'[1]Territory Definitions'!$D$4:$M$4,0))&lt;&gt;1,"NOT IN TERRITORY",IF(COUNTIFS('[1]Blackout Brand Fam Areas (Enc)'!$B$6:$B$998,$A94,'[1]Blackout Brand Fam Areas (Enc)'!$C$6:$C$998,F$4,'[1]Blackout Brand Fam Areas (Enc)'!$D$6:$D$998,"Inactive")&gt;0,"BLOCKED","CAN SELL")))))</f>
        <v>CAN SELL</v>
      </c>
      <c r="G94" s="11" t="str">
        <f>IF($A94="","",_xlfn.LET(_xlpm.t,MATCH($B94,'[1]Territory Definitions'!$B$5:$B$14,0),IF(ISNA(_xlpm.t),"NO TERRITORY",IF(INDEX('[1]Territory Definitions'!$D$5:$M$14,_xlpm.t,MATCH(G$4,'[1]Territory Definitions'!$D$4:$M$4,0))&lt;&gt;1,"NOT IN TERRITORY",IF(COUNTIFS('[1]Blackout Brand Fam Areas (Enc)'!$B$6:$B$998,$A94,'[1]Blackout Brand Fam Areas (Enc)'!$C$6:$C$998,G$4,'[1]Blackout Brand Fam Areas (Enc)'!$D$6:$D$998,"Inactive")&gt;0,"BLOCKED","CAN SELL")))))</f>
        <v>CAN SELL</v>
      </c>
      <c r="H94" s="11" t="str">
        <f>IF($A94="","",_xlfn.LET(_xlpm.t,MATCH($B94,'[1]Territory Definitions'!$B$5:$B$14,0),IF(ISNA(_xlpm.t),"NO TERRITORY",IF(INDEX('[1]Territory Definitions'!$D$5:$M$14,_xlpm.t,MATCH(H$4,'[1]Territory Definitions'!$D$4:$M$4,0))&lt;&gt;1,"NOT IN TERRITORY",IF(COUNTIFS('[1]Blackout Brand Fam Areas (Enc)'!$B$6:$B$998,$A94,'[1]Blackout Brand Fam Areas (Enc)'!$C$6:$C$998,H$4,'[1]Blackout Brand Fam Areas (Enc)'!$D$6:$D$998,"Inactive")&gt;0,"BLOCKED","CAN SELL")))))</f>
        <v>CAN SELL</v>
      </c>
      <c r="I94" s="11" t="str">
        <f>IF($A94="","",_xlfn.LET(_xlpm.t,MATCH($B94,'[1]Territory Definitions'!$B$5:$B$14,0),IF(ISNA(_xlpm.t),"NO TERRITORY",IF(INDEX('[1]Territory Definitions'!$D$5:$M$14,_xlpm.t,MATCH(I$4,'[1]Territory Definitions'!$D$4:$M$4,0))&lt;&gt;1,"NOT IN TERRITORY",IF(COUNTIFS('[1]Blackout Brand Fam Areas (Enc)'!$B$6:$B$998,$A94,'[1]Blackout Brand Fam Areas (Enc)'!$C$6:$C$998,I$4,'[1]Blackout Brand Fam Areas (Enc)'!$D$6:$D$998,"Inactive")&gt;0,"BLOCKED","CAN SELL")))))</f>
        <v>CAN SELL</v>
      </c>
      <c r="J94" s="11" t="str">
        <f>IF($A94="","",_xlfn.LET(_xlpm.t,MATCH($B94,'[1]Territory Definitions'!$B$5:$B$14,0),IF(ISNA(_xlpm.t),"NO TERRITORY",IF(INDEX('[1]Territory Definitions'!$D$5:$M$14,_xlpm.t,MATCH(J$4,'[1]Territory Definitions'!$D$4:$M$4,0))&lt;&gt;1,"NOT IN TERRITORY",IF(COUNTIFS('[1]Blackout Brand Fam Areas (Enc)'!$B$6:$B$998,$A94,'[1]Blackout Brand Fam Areas (Enc)'!$C$6:$C$998,J$4,'[1]Blackout Brand Fam Areas (Enc)'!$D$6:$D$998,"Inactive")&gt;0,"BLOCKED","CAN SELL")))))</f>
        <v>CAN SELL</v>
      </c>
      <c r="K94" s="11" t="str">
        <f>IF($A94="","",_xlfn.LET(_xlpm.t,MATCH($B94,'[1]Territory Definitions'!$B$5:$B$14,0),IF(ISNA(_xlpm.t),"NO TERRITORY",IF(INDEX('[1]Territory Definitions'!$D$5:$M$14,_xlpm.t,MATCH(K$4,'[1]Territory Definitions'!$D$4:$M$4,0))&lt;&gt;1,"NOT IN TERRITORY",IF(COUNTIFS('[1]Blackout Brand Fam Areas (Enc)'!$B$6:$B$998,$A94,'[1]Blackout Brand Fam Areas (Enc)'!$C$6:$C$998,K$4,'[1]Blackout Brand Fam Areas (Enc)'!$D$6:$D$998,"Inactive")&gt;0,"BLOCKED","CAN SELL")))))</f>
        <v>CAN SELL</v>
      </c>
      <c r="L94" s="11" t="str">
        <f>IF($A94="","",_xlfn.LET(_xlpm.t,MATCH($B94,'[1]Territory Definitions'!$B$5:$B$14,0),IF(ISNA(_xlpm.t),"NO TERRITORY",IF(INDEX('[1]Territory Definitions'!$D$5:$M$14,_xlpm.t,MATCH(L$4,'[1]Territory Definitions'!$D$4:$M$4,0))&lt;&gt;1,"NOT IN TERRITORY",IF(COUNTIFS('[1]Blackout Brand Fam Areas (Enc)'!$B$6:$B$998,$A94,'[1]Blackout Brand Fam Areas (Enc)'!$C$6:$C$998,L$4,'[1]Blackout Brand Fam Areas (Enc)'!$D$6:$D$998,"Inactive")&gt;0,"BLOCKED","CAN SELL")))))</f>
        <v>CAN SELL</v>
      </c>
      <c r="M94" s="12">
        <f>IF($A94="","",COUNTIF($C94:$L94,"CAN SELL"))</f>
        <v>10</v>
      </c>
      <c r="N94" s="13" cm="1">
        <f t="array" ref="N94">IF($A94="","",SUMPRODUCT(($C94:$L94="CAN SELL")*$C$3:$L$3))</f>
        <v>2306</v>
      </c>
      <c r="O94" s="14" t="str">
        <f>IF($A94="","",IF(COUNTIF($A$5:$A$299,$A94)&gt;1,"DUPLICATE - two different territories assigned",IF($B94="** NO TERRITORY SET **","No territory on Brand Family Territory (Enc)","")))</f>
        <v/>
      </c>
      <c r="P94" s="18" t="str">
        <f>IF($A94="","",IFERROR(INDEX([1]Products!$H$4:$H$4801,MATCH($A94,[1]Products!$G$4:$G$4801,0)),"(no products)"))</f>
        <v>Duclaw Brewing</v>
      </c>
      <c r="Q94" s="19">
        <f>IF($A94="","",COUNTIFS([1]Products!$G$4:$G$4801,$A94,[1]Products!$L$4:$L$4801,"Yes"))</f>
        <v>0</v>
      </c>
      <c r="R94" s="19">
        <f>IF($A94="","",COUNTIFS([1]Products!$G$4:$G$4801,$A94,[1]Products!$L$4:$L$4801,"Yes",[1]Products!$K$4:$K$4801,"Draft"))</f>
        <v>0</v>
      </c>
      <c r="S94" s="19">
        <f>IF($A94="","",COUNTIFS([1]Products!$G$4:$G$4801,$A94,[1]Products!$L$4:$L$4801,"Yes",[1]Products!$K$4:$K$4801,"Package"))</f>
        <v>0</v>
      </c>
      <c r="T94" s="20" t="str" cm="1">
        <f t="array" ref="T94">IF($A94="","",_xlfn.IFS($Q94=0,"NO ACTIVE SKUs",AND($R94&gt;0,$S94&gt;0),"Draft &amp; Package",$R94&gt;0,"Draft only",TRUE,"Package only"))</f>
        <v>NO ACTIVE SKUs</v>
      </c>
    </row>
    <row r="95" spans="1:20" x14ac:dyDescent="0.2">
      <c r="A95" s="9" t="str">
        <v>Earthquake</v>
      </c>
      <c r="B95" s="10" t="str">
        <f>IF($A95="","",_xlfn.XLOOKUP($A95,'[1]Brand Family Territory (Enc)'!$A:$A,'[1]Brand Family Territory (Enc)'!$B:$B,"** NO TERRITORY SET **"))</f>
        <v>Core Less Essex (Alt)</v>
      </c>
      <c r="C95" s="11" t="str">
        <f>IF($A95="","",_xlfn.LET(_xlpm.t,MATCH($B95,'[1]Territory Definitions'!$B$5:$B$14,0),IF(ISNA(_xlpm.t),"NO TERRITORY",IF(INDEX('[1]Territory Definitions'!$D$5:$M$14,_xlpm.t,MATCH(C$4,'[1]Territory Definitions'!$D$4:$M$4,0))&lt;&gt;1,"NOT IN TERRITORY",IF(COUNTIFS('[1]Blackout Brand Fam Areas (Enc)'!$B$6:$B$998,$A95,'[1]Blackout Brand Fam Areas (Enc)'!$C$6:$C$998,C$4,'[1]Blackout Brand Fam Areas (Enc)'!$D$6:$D$998,"Inactive")&gt;0,"BLOCKED","CAN SELL")))))</f>
        <v>CAN SELL</v>
      </c>
      <c r="D95" s="11" t="str">
        <f>IF($A95="","",_xlfn.LET(_xlpm.t,MATCH($B95,'[1]Territory Definitions'!$B$5:$B$14,0),IF(ISNA(_xlpm.t),"NO TERRITORY",IF(INDEX('[1]Territory Definitions'!$D$5:$M$14,_xlpm.t,MATCH(D$4,'[1]Territory Definitions'!$D$4:$M$4,0))&lt;&gt;1,"NOT IN TERRITORY",IF(COUNTIFS('[1]Blackout Brand Fam Areas (Enc)'!$B$6:$B$998,$A95,'[1]Blackout Brand Fam Areas (Enc)'!$C$6:$C$998,D$4,'[1]Blackout Brand Fam Areas (Enc)'!$D$6:$D$998,"Inactive")&gt;0,"BLOCKED","CAN SELL")))))</f>
        <v>CAN SELL</v>
      </c>
      <c r="E95" s="11" t="str">
        <f>IF($A95="","",_xlfn.LET(_xlpm.t,MATCH($B95,'[1]Territory Definitions'!$B$5:$B$14,0),IF(ISNA(_xlpm.t),"NO TERRITORY",IF(INDEX('[1]Territory Definitions'!$D$5:$M$14,_xlpm.t,MATCH(E$4,'[1]Territory Definitions'!$D$4:$M$4,0))&lt;&gt;1,"NOT IN TERRITORY",IF(COUNTIFS('[1]Blackout Brand Fam Areas (Enc)'!$B$6:$B$998,$A95,'[1]Blackout Brand Fam Areas (Enc)'!$C$6:$C$998,E$4,'[1]Blackout Brand Fam Areas (Enc)'!$D$6:$D$998,"Inactive")&gt;0,"BLOCKED","CAN SELL")))))</f>
        <v>CAN SELL</v>
      </c>
      <c r="F95" s="11" t="str">
        <f>IF($A95="","",_xlfn.LET(_xlpm.t,MATCH($B95,'[1]Territory Definitions'!$B$5:$B$14,0),IF(ISNA(_xlpm.t),"NO TERRITORY",IF(INDEX('[1]Territory Definitions'!$D$5:$M$14,_xlpm.t,MATCH(F$4,'[1]Territory Definitions'!$D$4:$M$4,0))&lt;&gt;1,"NOT IN TERRITORY",IF(COUNTIFS('[1]Blackout Brand Fam Areas (Enc)'!$B$6:$B$998,$A95,'[1]Blackout Brand Fam Areas (Enc)'!$C$6:$C$998,F$4,'[1]Blackout Brand Fam Areas (Enc)'!$D$6:$D$998,"Inactive")&gt;0,"BLOCKED","CAN SELL")))))</f>
        <v>NOT IN TERRITORY</v>
      </c>
      <c r="G95" s="11" t="str">
        <f>IF($A95="","",_xlfn.LET(_xlpm.t,MATCH($B95,'[1]Territory Definitions'!$B$5:$B$14,0),IF(ISNA(_xlpm.t),"NO TERRITORY",IF(INDEX('[1]Territory Definitions'!$D$5:$M$14,_xlpm.t,MATCH(G$4,'[1]Territory Definitions'!$D$4:$M$4,0))&lt;&gt;1,"NOT IN TERRITORY",IF(COUNTIFS('[1]Blackout Brand Fam Areas (Enc)'!$B$6:$B$998,$A95,'[1]Blackout Brand Fam Areas (Enc)'!$C$6:$C$998,G$4,'[1]Blackout Brand Fam Areas (Enc)'!$D$6:$D$998,"Inactive")&gt;0,"BLOCKED","CAN SELL")))))</f>
        <v>CAN SELL</v>
      </c>
      <c r="H95" s="11" t="str">
        <f>IF($A95="","",_xlfn.LET(_xlpm.t,MATCH($B95,'[1]Territory Definitions'!$B$5:$B$14,0),IF(ISNA(_xlpm.t),"NO TERRITORY",IF(INDEX('[1]Territory Definitions'!$D$5:$M$14,_xlpm.t,MATCH(H$4,'[1]Territory Definitions'!$D$4:$M$4,0))&lt;&gt;1,"NOT IN TERRITORY",IF(COUNTIFS('[1]Blackout Brand Fam Areas (Enc)'!$B$6:$B$998,$A95,'[1]Blackout Brand Fam Areas (Enc)'!$C$6:$C$998,H$4,'[1]Blackout Brand Fam Areas (Enc)'!$D$6:$D$998,"Inactive")&gt;0,"BLOCKED","CAN SELL")))))</f>
        <v>NOT IN TERRITORY</v>
      </c>
      <c r="I95" s="11" t="str">
        <f>IF($A95="","",_xlfn.LET(_xlpm.t,MATCH($B95,'[1]Territory Definitions'!$B$5:$B$14,0),IF(ISNA(_xlpm.t),"NO TERRITORY",IF(INDEX('[1]Territory Definitions'!$D$5:$M$14,_xlpm.t,MATCH(I$4,'[1]Territory Definitions'!$D$4:$M$4,0))&lt;&gt;1,"NOT IN TERRITORY",IF(COUNTIFS('[1]Blackout Brand Fam Areas (Enc)'!$B$6:$B$998,$A95,'[1]Blackout Brand Fam Areas (Enc)'!$C$6:$C$998,I$4,'[1]Blackout Brand Fam Areas (Enc)'!$D$6:$D$998,"Inactive")&gt;0,"BLOCKED","CAN SELL")))))</f>
        <v>CAN SELL</v>
      </c>
      <c r="J95" s="11" t="str">
        <f>IF($A95="","",_xlfn.LET(_xlpm.t,MATCH($B95,'[1]Territory Definitions'!$B$5:$B$14,0),IF(ISNA(_xlpm.t),"NO TERRITORY",IF(INDEX('[1]Territory Definitions'!$D$5:$M$14,_xlpm.t,MATCH(J$4,'[1]Territory Definitions'!$D$4:$M$4,0))&lt;&gt;1,"NOT IN TERRITORY",IF(COUNTIFS('[1]Blackout Brand Fam Areas (Enc)'!$B$6:$B$998,$A95,'[1]Blackout Brand Fam Areas (Enc)'!$C$6:$C$998,J$4,'[1]Blackout Brand Fam Areas (Enc)'!$D$6:$D$998,"Inactive")&gt;0,"BLOCKED","CAN SELL")))))</f>
        <v>CAN SELL</v>
      </c>
      <c r="K95" s="11" t="str">
        <f>IF($A95="","",_xlfn.LET(_xlpm.t,MATCH($B95,'[1]Territory Definitions'!$B$5:$B$14,0),IF(ISNA(_xlpm.t),"NO TERRITORY",IF(INDEX('[1]Territory Definitions'!$D$5:$M$14,_xlpm.t,MATCH(K$4,'[1]Territory Definitions'!$D$4:$M$4,0))&lt;&gt;1,"NOT IN TERRITORY",IF(COUNTIFS('[1]Blackout Brand Fam Areas (Enc)'!$B$6:$B$998,$A95,'[1]Blackout Brand Fam Areas (Enc)'!$C$6:$C$998,K$4,'[1]Blackout Brand Fam Areas (Enc)'!$D$6:$D$998,"Inactive")&gt;0,"BLOCKED","CAN SELL")))))</f>
        <v>NOT IN TERRITORY</v>
      </c>
      <c r="L95" s="11" t="str">
        <f>IF($A95="","",_xlfn.LET(_xlpm.t,MATCH($B95,'[1]Territory Definitions'!$B$5:$B$14,0),IF(ISNA(_xlpm.t),"NO TERRITORY",IF(INDEX('[1]Territory Definitions'!$D$5:$M$14,_xlpm.t,MATCH(L$4,'[1]Territory Definitions'!$D$4:$M$4,0))&lt;&gt;1,"NOT IN TERRITORY",IF(COUNTIFS('[1]Blackout Brand Fam Areas (Enc)'!$B$6:$B$998,$A95,'[1]Blackout Brand Fam Areas (Enc)'!$C$6:$C$998,L$4,'[1]Blackout Brand Fam Areas (Enc)'!$D$6:$D$998,"Inactive")&gt;0,"BLOCKED","CAN SELL")))))</f>
        <v>CAN SELL</v>
      </c>
      <c r="M95" s="12">
        <f>IF($A95="","",COUNTIF($C95:$L95,"CAN SELL"))</f>
        <v>7</v>
      </c>
      <c r="N95" s="13" cm="1">
        <f t="array" ref="N95">IF($A95="","",SUMPRODUCT(($C95:$L95="CAN SELL")*$C$3:$L$3))</f>
        <v>1924</v>
      </c>
      <c r="O95" s="14" t="str">
        <f>IF($A95="","",IF(COUNTIF($A$5:$A$299,$A95)&gt;1,"DUPLICATE - two different territories assigned",IF($B95="** NO TERRITORY SET **","No territory on Brand Family Territory (Enc)","")))</f>
        <v/>
      </c>
      <c r="P95" s="18" t="str">
        <f>IF($A95="","",IFERROR(INDEX([1]Products!$H$4:$H$4801,MATCH($A95,[1]Products!$G$4:$G$4801,0)),"(no products)"))</f>
        <v>Phusion Projects</v>
      </c>
      <c r="Q95" s="19">
        <f>IF($A95="","",COUNTIFS([1]Products!$G$4:$G$4801,$A95,[1]Products!$L$4:$L$4801,"Yes"))</f>
        <v>1</v>
      </c>
      <c r="R95" s="19">
        <f>IF($A95="","",COUNTIFS([1]Products!$G$4:$G$4801,$A95,[1]Products!$L$4:$L$4801,"Yes",[1]Products!$K$4:$K$4801,"Draft"))</f>
        <v>0</v>
      </c>
      <c r="S95" s="19">
        <f>IF($A95="","",COUNTIFS([1]Products!$G$4:$G$4801,$A95,[1]Products!$L$4:$L$4801,"Yes",[1]Products!$K$4:$K$4801,"Package"))</f>
        <v>1</v>
      </c>
      <c r="T95" s="20" t="str" cm="1">
        <f t="array" ref="T95">IF($A95="","",_xlfn.IFS($Q95=0,"NO ACTIVE SKUs",AND($R95&gt;0,$S95&gt;0),"Draft &amp; Package",$R95&gt;0,"Draft only",TRUE,"Package only"))</f>
        <v>Package only</v>
      </c>
    </row>
    <row r="96" spans="1:20" x14ac:dyDescent="0.2">
      <c r="A96" s="9" t="str">
        <v>Ecaana</v>
      </c>
      <c r="B96" s="10" t="str">
        <f>IF($A96="","",_xlfn.XLOOKUP($A96,'[1]Brand Family Territory (Enc)'!$A:$A,'[1]Brand Family Territory (Enc)'!$B:$B,"** NO TERRITORY SET **"))</f>
        <v>All Counties</v>
      </c>
      <c r="C96" s="11" t="str">
        <f>IF($A96="","",_xlfn.LET(_xlpm.t,MATCH($B96,'[1]Territory Definitions'!$B$5:$B$14,0),IF(ISNA(_xlpm.t),"NO TERRITORY",IF(INDEX('[1]Territory Definitions'!$D$5:$M$14,_xlpm.t,MATCH(C$4,'[1]Territory Definitions'!$D$4:$M$4,0))&lt;&gt;1,"NOT IN TERRITORY",IF(COUNTIFS('[1]Blackout Brand Fam Areas (Enc)'!$B$6:$B$998,$A96,'[1]Blackout Brand Fam Areas (Enc)'!$C$6:$C$998,C$4,'[1]Blackout Brand Fam Areas (Enc)'!$D$6:$D$998,"Inactive")&gt;0,"BLOCKED","CAN SELL")))))</f>
        <v>CAN SELL</v>
      </c>
      <c r="D96" s="11" t="str">
        <f>IF($A96="","",_xlfn.LET(_xlpm.t,MATCH($B96,'[1]Territory Definitions'!$B$5:$B$14,0),IF(ISNA(_xlpm.t),"NO TERRITORY",IF(INDEX('[1]Territory Definitions'!$D$5:$M$14,_xlpm.t,MATCH(D$4,'[1]Territory Definitions'!$D$4:$M$4,0))&lt;&gt;1,"NOT IN TERRITORY",IF(COUNTIFS('[1]Blackout Brand Fam Areas (Enc)'!$B$6:$B$998,$A96,'[1]Blackout Brand Fam Areas (Enc)'!$C$6:$C$998,D$4,'[1]Blackout Brand Fam Areas (Enc)'!$D$6:$D$998,"Inactive")&gt;0,"BLOCKED","CAN SELL")))))</f>
        <v>CAN SELL</v>
      </c>
      <c r="E96" s="11" t="str">
        <f>IF($A96="","",_xlfn.LET(_xlpm.t,MATCH($B96,'[1]Territory Definitions'!$B$5:$B$14,0),IF(ISNA(_xlpm.t),"NO TERRITORY",IF(INDEX('[1]Territory Definitions'!$D$5:$M$14,_xlpm.t,MATCH(E$4,'[1]Territory Definitions'!$D$4:$M$4,0))&lt;&gt;1,"NOT IN TERRITORY",IF(COUNTIFS('[1]Blackout Brand Fam Areas (Enc)'!$B$6:$B$998,$A96,'[1]Blackout Brand Fam Areas (Enc)'!$C$6:$C$998,E$4,'[1]Blackout Brand Fam Areas (Enc)'!$D$6:$D$998,"Inactive")&gt;0,"BLOCKED","CAN SELL")))))</f>
        <v>CAN SELL</v>
      </c>
      <c r="F96" s="11" t="str">
        <f>IF($A96="","",_xlfn.LET(_xlpm.t,MATCH($B96,'[1]Territory Definitions'!$B$5:$B$14,0),IF(ISNA(_xlpm.t),"NO TERRITORY",IF(INDEX('[1]Territory Definitions'!$D$5:$M$14,_xlpm.t,MATCH(F$4,'[1]Territory Definitions'!$D$4:$M$4,0))&lt;&gt;1,"NOT IN TERRITORY",IF(COUNTIFS('[1]Blackout Brand Fam Areas (Enc)'!$B$6:$B$998,$A96,'[1]Blackout Brand Fam Areas (Enc)'!$C$6:$C$998,F$4,'[1]Blackout Brand Fam Areas (Enc)'!$D$6:$D$998,"Inactive")&gt;0,"BLOCKED","CAN SELL")))))</f>
        <v>CAN SELL</v>
      </c>
      <c r="G96" s="11" t="str">
        <f>IF($A96="","",_xlfn.LET(_xlpm.t,MATCH($B96,'[1]Territory Definitions'!$B$5:$B$14,0),IF(ISNA(_xlpm.t),"NO TERRITORY",IF(INDEX('[1]Territory Definitions'!$D$5:$M$14,_xlpm.t,MATCH(G$4,'[1]Territory Definitions'!$D$4:$M$4,0))&lt;&gt;1,"NOT IN TERRITORY",IF(COUNTIFS('[1]Blackout Brand Fam Areas (Enc)'!$B$6:$B$998,$A96,'[1]Blackout Brand Fam Areas (Enc)'!$C$6:$C$998,G$4,'[1]Blackout Brand Fam Areas (Enc)'!$D$6:$D$998,"Inactive")&gt;0,"BLOCKED","CAN SELL")))))</f>
        <v>CAN SELL</v>
      </c>
      <c r="H96" s="11" t="str">
        <f>IF($A96="","",_xlfn.LET(_xlpm.t,MATCH($B96,'[1]Territory Definitions'!$B$5:$B$14,0),IF(ISNA(_xlpm.t),"NO TERRITORY",IF(INDEX('[1]Territory Definitions'!$D$5:$M$14,_xlpm.t,MATCH(H$4,'[1]Territory Definitions'!$D$4:$M$4,0))&lt;&gt;1,"NOT IN TERRITORY",IF(COUNTIFS('[1]Blackout Brand Fam Areas (Enc)'!$B$6:$B$998,$A96,'[1]Blackout Brand Fam Areas (Enc)'!$C$6:$C$998,H$4,'[1]Blackout Brand Fam Areas (Enc)'!$D$6:$D$998,"Inactive")&gt;0,"BLOCKED","CAN SELL")))))</f>
        <v>CAN SELL</v>
      </c>
      <c r="I96" s="11" t="str">
        <f>IF($A96="","",_xlfn.LET(_xlpm.t,MATCH($B96,'[1]Territory Definitions'!$B$5:$B$14,0),IF(ISNA(_xlpm.t),"NO TERRITORY",IF(INDEX('[1]Territory Definitions'!$D$5:$M$14,_xlpm.t,MATCH(I$4,'[1]Territory Definitions'!$D$4:$M$4,0))&lt;&gt;1,"NOT IN TERRITORY",IF(COUNTIFS('[1]Blackout Brand Fam Areas (Enc)'!$B$6:$B$998,$A96,'[1]Blackout Brand Fam Areas (Enc)'!$C$6:$C$998,I$4,'[1]Blackout Brand Fam Areas (Enc)'!$D$6:$D$998,"Inactive")&gt;0,"BLOCKED","CAN SELL")))))</f>
        <v>CAN SELL</v>
      </c>
      <c r="J96" s="11" t="str">
        <f>IF($A96="","",_xlfn.LET(_xlpm.t,MATCH($B96,'[1]Territory Definitions'!$B$5:$B$14,0),IF(ISNA(_xlpm.t),"NO TERRITORY",IF(INDEX('[1]Territory Definitions'!$D$5:$M$14,_xlpm.t,MATCH(J$4,'[1]Territory Definitions'!$D$4:$M$4,0))&lt;&gt;1,"NOT IN TERRITORY",IF(COUNTIFS('[1]Blackout Brand Fam Areas (Enc)'!$B$6:$B$998,$A96,'[1]Blackout Brand Fam Areas (Enc)'!$C$6:$C$998,J$4,'[1]Blackout Brand Fam Areas (Enc)'!$D$6:$D$998,"Inactive")&gt;0,"BLOCKED","CAN SELL")))))</f>
        <v>CAN SELL</v>
      </c>
      <c r="K96" s="11" t="str">
        <f>IF($A96="","",_xlfn.LET(_xlpm.t,MATCH($B96,'[1]Territory Definitions'!$B$5:$B$14,0),IF(ISNA(_xlpm.t),"NO TERRITORY",IF(INDEX('[1]Territory Definitions'!$D$5:$M$14,_xlpm.t,MATCH(K$4,'[1]Territory Definitions'!$D$4:$M$4,0))&lt;&gt;1,"NOT IN TERRITORY",IF(COUNTIFS('[1]Blackout Brand Fam Areas (Enc)'!$B$6:$B$998,$A96,'[1]Blackout Brand Fam Areas (Enc)'!$C$6:$C$998,K$4,'[1]Blackout Brand Fam Areas (Enc)'!$D$6:$D$998,"Inactive")&gt;0,"BLOCKED","CAN SELL")))))</f>
        <v>CAN SELL</v>
      </c>
      <c r="L96" s="11" t="str">
        <f>IF($A96="","",_xlfn.LET(_xlpm.t,MATCH($B96,'[1]Territory Definitions'!$B$5:$B$14,0),IF(ISNA(_xlpm.t),"NO TERRITORY",IF(INDEX('[1]Territory Definitions'!$D$5:$M$14,_xlpm.t,MATCH(L$4,'[1]Territory Definitions'!$D$4:$M$4,0))&lt;&gt;1,"NOT IN TERRITORY",IF(COUNTIFS('[1]Blackout Brand Fam Areas (Enc)'!$B$6:$B$998,$A96,'[1]Blackout Brand Fam Areas (Enc)'!$C$6:$C$998,L$4,'[1]Blackout Brand Fam Areas (Enc)'!$D$6:$D$998,"Inactive")&gt;0,"BLOCKED","CAN SELL")))))</f>
        <v>CAN SELL</v>
      </c>
      <c r="M96" s="12">
        <f>IF($A96="","",COUNTIF($C96:$L96,"CAN SELL"))</f>
        <v>10</v>
      </c>
      <c r="N96" s="13" cm="1">
        <f t="array" ref="N96">IF($A96="","",SUMPRODUCT(($C96:$L96="CAN SELL")*$C$3:$L$3))</f>
        <v>2306</v>
      </c>
      <c r="O96" s="14" t="str">
        <f>IF($A96="","",IF(COUNTIF($A$5:$A$299,$A96)&gt;1,"DUPLICATE - two different territories assigned",IF($B96="** NO TERRITORY SET **","No territory on Brand Family Territory (Enc)","")))</f>
        <v/>
      </c>
      <c r="P96" s="18" t="str">
        <f>IF($A96="","",IFERROR(INDEX([1]Products!$H$4:$H$4801,MATCH($A96,[1]Products!$G$4:$G$4801,0)),"(no products)"))</f>
        <v>Riviera Imports</v>
      </c>
      <c r="Q96" s="19">
        <f>IF($A96="","",COUNTIFS([1]Products!$G$4:$G$4801,$A96,[1]Products!$L$4:$L$4801,"Yes"))</f>
        <v>2</v>
      </c>
      <c r="R96" s="19">
        <f>IF($A96="","",COUNTIFS([1]Products!$G$4:$G$4801,$A96,[1]Products!$L$4:$L$4801,"Yes",[1]Products!$K$4:$K$4801,"Draft"))</f>
        <v>0</v>
      </c>
      <c r="S96" s="19">
        <f>IF($A96="","",COUNTIFS([1]Products!$G$4:$G$4801,$A96,[1]Products!$L$4:$L$4801,"Yes",[1]Products!$K$4:$K$4801,"Package"))</f>
        <v>0</v>
      </c>
      <c r="T96" s="20" t="str" cm="1">
        <f t="array" ref="T96">IF($A96="","",_xlfn.IFS($Q96=0,"NO ACTIVE SKUs",AND($R96&gt;0,$S96&gt;0),"Draft &amp; Package",$R96&gt;0,"Draft only",TRUE,"Package only"))</f>
        <v>Package only</v>
      </c>
    </row>
    <row r="97" spans="1:20" x14ac:dyDescent="0.2">
      <c r="A97" s="9" t="str">
        <v>Efes</v>
      </c>
      <c r="B97" s="10" t="str">
        <f>IF($A97="","",_xlfn.XLOOKUP($A97,'[1]Brand Family Territory (Enc)'!$A:$A,'[1]Brand Family Territory (Enc)'!$B:$B,"** NO TERRITORY SET **"))</f>
        <v>All Counties</v>
      </c>
      <c r="C97" s="11" t="str">
        <f>IF($A97="","",_xlfn.LET(_xlpm.t,MATCH($B97,'[1]Territory Definitions'!$B$5:$B$14,0),IF(ISNA(_xlpm.t),"NO TERRITORY",IF(INDEX('[1]Territory Definitions'!$D$5:$M$14,_xlpm.t,MATCH(C$4,'[1]Territory Definitions'!$D$4:$M$4,0))&lt;&gt;1,"NOT IN TERRITORY",IF(COUNTIFS('[1]Blackout Brand Fam Areas (Enc)'!$B$6:$B$998,$A97,'[1]Blackout Brand Fam Areas (Enc)'!$C$6:$C$998,C$4,'[1]Blackout Brand Fam Areas (Enc)'!$D$6:$D$998,"Inactive")&gt;0,"BLOCKED","CAN SELL")))))</f>
        <v>CAN SELL</v>
      </c>
      <c r="D97" s="11" t="str">
        <f>IF($A97="","",_xlfn.LET(_xlpm.t,MATCH($B97,'[1]Territory Definitions'!$B$5:$B$14,0),IF(ISNA(_xlpm.t),"NO TERRITORY",IF(INDEX('[1]Territory Definitions'!$D$5:$M$14,_xlpm.t,MATCH(D$4,'[1]Territory Definitions'!$D$4:$M$4,0))&lt;&gt;1,"NOT IN TERRITORY",IF(COUNTIFS('[1]Blackout Brand Fam Areas (Enc)'!$B$6:$B$998,$A97,'[1]Blackout Brand Fam Areas (Enc)'!$C$6:$C$998,D$4,'[1]Blackout Brand Fam Areas (Enc)'!$D$6:$D$998,"Inactive")&gt;0,"BLOCKED","CAN SELL")))))</f>
        <v>CAN SELL</v>
      </c>
      <c r="E97" s="11" t="str">
        <f>IF($A97="","",_xlfn.LET(_xlpm.t,MATCH($B97,'[1]Territory Definitions'!$B$5:$B$14,0),IF(ISNA(_xlpm.t),"NO TERRITORY",IF(INDEX('[1]Territory Definitions'!$D$5:$M$14,_xlpm.t,MATCH(E$4,'[1]Territory Definitions'!$D$4:$M$4,0))&lt;&gt;1,"NOT IN TERRITORY",IF(COUNTIFS('[1]Blackout Brand Fam Areas (Enc)'!$B$6:$B$998,$A97,'[1]Blackout Brand Fam Areas (Enc)'!$C$6:$C$998,E$4,'[1]Blackout Brand Fam Areas (Enc)'!$D$6:$D$998,"Inactive")&gt;0,"BLOCKED","CAN SELL")))))</f>
        <v>CAN SELL</v>
      </c>
      <c r="F97" s="11" t="str">
        <f>IF($A97="","",_xlfn.LET(_xlpm.t,MATCH($B97,'[1]Territory Definitions'!$B$5:$B$14,0),IF(ISNA(_xlpm.t),"NO TERRITORY",IF(INDEX('[1]Territory Definitions'!$D$5:$M$14,_xlpm.t,MATCH(F$4,'[1]Territory Definitions'!$D$4:$M$4,0))&lt;&gt;1,"NOT IN TERRITORY",IF(COUNTIFS('[1]Blackout Brand Fam Areas (Enc)'!$B$6:$B$998,$A97,'[1]Blackout Brand Fam Areas (Enc)'!$C$6:$C$998,F$4,'[1]Blackout Brand Fam Areas (Enc)'!$D$6:$D$998,"Inactive")&gt;0,"BLOCKED","CAN SELL")))))</f>
        <v>CAN SELL</v>
      </c>
      <c r="G97" s="11" t="str">
        <f>IF($A97="","",_xlfn.LET(_xlpm.t,MATCH($B97,'[1]Territory Definitions'!$B$5:$B$14,0),IF(ISNA(_xlpm.t),"NO TERRITORY",IF(INDEX('[1]Territory Definitions'!$D$5:$M$14,_xlpm.t,MATCH(G$4,'[1]Territory Definitions'!$D$4:$M$4,0))&lt;&gt;1,"NOT IN TERRITORY",IF(COUNTIFS('[1]Blackout Brand Fam Areas (Enc)'!$B$6:$B$998,$A97,'[1]Blackout Brand Fam Areas (Enc)'!$C$6:$C$998,G$4,'[1]Blackout Brand Fam Areas (Enc)'!$D$6:$D$998,"Inactive")&gt;0,"BLOCKED","CAN SELL")))))</f>
        <v>CAN SELL</v>
      </c>
      <c r="H97" s="11" t="str">
        <f>IF($A97="","",_xlfn.LET(_xlpm.t,MATCH($B97,'[1]Territory Definitions'!$B$5:$B$14,0),IF(ISNA(_xlpm.t),"NO TERRITORY",IF(INDEX('[1]Territory Definitions'!$D$5:$M$14,_xlpm.t,MATCH(H$4,'[1]Territory Definitions'!$D$4:$M$4,0))&lt;&gt;1,"NOT IN TERRITORY",IF(COUNTIFS('[1]Blackout Brand Fam Areas (Enc)'!$B$6:$B$998,$A97,'[1]Blackout Brand Fam Areas (Enc)'!$C$6:$C$998,H$4,'[1]Blackout Brand Fam Areas (Enc)'!$D$6:$D$998,"Inactive")&gt;0,"BLOCKED","CAN SELL")))))</f>
        <v>CAN SELL</v>
      </c>
      <c r="I97" s="11" t="str">
        <f>IF($A97="","",_xlfn.LET(_xlpm.t,MATCH($B97,'[1]Territory Definitions'!$B$5:$B$14,0),IF(ISNA(_xlpm.t),"NO TERRITORY",IF(INDEX('[1]Territory Definitions'!$D$5:$M$14,_xlpm.t,MATCH(I$4,'[1]Territory Definitions'!$D$4:$M$4,0))&lt;&gt;1,"NOT IN TERRITORY",IF(COUNTIFS('[1]Blackout Brand Fam Areas (Enc)'!$B$6:$B$998,$A97,'[1]Blackout Brand Fam Areas (Enc)'!$C$6:$C$998,I$4,'[1]Blackout Brand Fam Areas (Enc)'!$D$6:$D$998,"Inactive")&gt;0,"BLOCKED","CAN SELL")))))</f>
        <v>CAN SELL</v>
      </c>
      <c r="J97" s="11" t="str">
        <f>IF($A97="","",_xlfn.LET(_xlpm.t,MATCH($B97,'[1]Territory Definitions'!$B$5:$B$14,0),IF(ISNA(_xlpm.t),"NO TERRITORY",IF(INDEX('[1]Territory Definitions'!$D$5:$M$14,_xlpm.t,MATCH(J$4,'[1]Territory Definitions'!$D$4:$M$4,0))&lt;&gt;1,"NOT IN TERRITORY",IF(COUNTIFS('[1]Blackout Brand Fam Areas (Enc)'!$B$6:$B$998,$A97,'[1]Blackout Brand Fam Areas (Enc)'!$C$6:$C$998,J$4,'[1]Blackout Brand Fam Areas (Enc)'!$D$6:$D$998,"Inactive")&gt;0,"BLOCKED","CAN SELL")))))</f>
        <v>CAN SELL</v>
      </c>
      <c r="K97" s="11" t="str">
        <f>IF($A97="","",_xlfn.LET(_xlpm.t,MATCH($B97,'[1]Territory Definitions'!$B$5:$B$14,0),IF(ISNA(_xlpm.t),"NO TERRITORY",IF(INDEX('[1]Territory Definitions'!$D$5:$M$14,_xlpm.t,MATCH(K$4,'[1]Territory Definitions'!$D$4:$M$4,0))&lt;&gt;1,"NOT IN TERRITORY",IF(COUNTIFS('[1]Blackout Brand Fam Areas (Enc)'!$B$6:$B$998,$A97,'[1]Blackout Brand Fam Areas (Enc)'!$C$6:$C$998,K$4,'[1]Blackout Brand Fam Areas (Enc)'!$D$6:$D$998,"Inactive")&gt;0,"BLOCKED","CAN SELL")))))</f>
        <v>CAN SELL</v>
      </c>
      <c r="L97" s="11" t="str">
        <f>IF($A97="","",_xlfn.LET(_xlpm.t,MATCH($B97,'[1]Territory Definitions'!$B$5:$B$14,0),IF(ISNA(_xlpm.t),"NO TERRITORY",IF(INDEX('[1]Territory Definitions'!$D$5:$M$14,_xlpm.t,MATCH(L$4,'[1]Territory Definitions'!$D$4:$M$4,0))&lt;&gt;1,"NOT IN TERRITORY",IF(COUNTIFS('[1]Blackout Brand Fam Areas (Enc)'!$B$6:$B$998,$A97,'[1]Blackout Brand Fam Areas (Enc)'!$C$6:$C$998,L$4,'[1]Blackout Brand Fam Areas (Enc)'!$D$6:$D$998,"Inactive")&gt;0,"BLOCKED","CAN SELL")))))</f>
        <v>CAN SELL</v>
      </c>
      <c r="M97" s="12">
        <f>IF($A97="","",COUNTIF($C97:$L97,"CAN SELL"))</f>
        <v>10</v>
      </c>
      <c r="N97" s="13" cm="1">
        <f t="array" ref="N97">IF($A97="","",SUMPRODUCT(($C97:$L97="CAN SELL")*$C$3:$L$3))</f>
        <v>2306</v>
      </c>
      <c r="O97" s="14" t="str">
        <f>IF($A97="","",IF(COUNTIF($A$5:$A$299,$A97)&gt;1,"DUPLICATE - two different territories assigned",IF($B97="** NO TERRITORY SET **","No territory on Brand Family Territory (Enc)","")))</f>
        <v/>
      </c>
      <c r="P97" s="18" t="str">
        <f>IF($A97="","",IFERROR(INDEX([1]Products!$H$4:$H$4801,MATCH($A97,[1]Products!$G$4:$G$4801,0)),"(no products)"))</f>
        <v>Efes</v>
      </c>
      <c r="Q97" s="19">
        <f>IF($A97="","",COUNTIFS([1]Products!$G$4:$G$4801,$A97,[1]Products!$L$4:$L$4801,"Yes"))</f>
        <v>1</v>
      </c>
      <c r="R97" s="19">
        <f>IF($A97="","",COUNTIFS([1]Products!$G$4:$G$4801,$A97,[1]Products!$L$4:$L$4801,"Yes",[1]Products!$K$4:$K$4801,"Draft"))</f>
        <v>0</v>
      </c>
      <c r="S97" s="19">
        <f>IF($A97="","",COUNTIFS([1]Products!$G$4:$G$4801,$A97,[1]Products!$L$4:$L$4801,"Yes",[1]Products!$K$4:$K$4801,"Package"))</f>
        <v>1</v>
      </c>
      <c r="T97" s="20" t="str" cm="1">
        <f t="array" ref="T97">IF($A97="","",_xlfn.IFS($Q97=0,"NO ACTIVE SKUs",AND($R97&gt;0,$S97&gt;0),"Draft &amp; Package",$R97&gt;0,"Draft only",TRUE,"Package only"))</f>
        <v>Package only</v>
      </c>
    </row>
    <row r="98" spans="1:20" x14ac:dyDescent="0.2">
      <c r="A98" s="9" t="str">
        <v>EL Jimador</v>
      </c>
      <c r="B98" s="10" t="str">
        <f>IF($A98="","",_xlfn.XLOOKUP($A98,'[1]Brand Family Territory (Enc)'!$A:$A,'[1]Brand Family Territory (Enc)'!$B:$B,"** NO TERRITORY SET **"))</f>
        <v>All Counties</v>
      </c>
      <c r="C98" s="11" t="str">
        <f>IF($A98="","",_xlfn.LET(_xlpm.t,MATCH($B98,'[1]Territory Definitions'!$B$5:$B$14,0),IF(ISNA(_xlpm.t),"NO TERRITORY",IF(INDEX('[1]Territory Definitions'!$D$5:$M$14,_xlpm.t,MATCH(C$4,'[1]Territory Definitions'!$D$4:$M$4,0))&lt;&gt;1,"NOT IN TERRITORY",IF(COUNTIFS('[1]Blackout Brand Fam Areas (Enc)'!$B$6:$B$998,$A98,'[1]Blackout Brand Fam Areas (Enc)'!$C$6:$C$998,C$4,'[1]Blackout Brand Fam Areas (Enc)'!$D$6:$D$998,"Inactive")&gt;0,"BLOCKED","CAN SELL")))))</f>
        <v>CAN SELL</v>
      </c>
      <c r="D98" s="11" t="str">
        <f>IF($A98="","",_xlfn.LET(_xlpm.t,MATCH($B98,'[1]Territory Definitions'!$B$5:$B$14,0),IF(ISNA(_xlpm.t),"NO TERRITORY",IF(INDEX('[1]Territory Definitions'!$D$5:$M$14,_xlpm.t,MATCH(D$4,'[1]Territory Definitions'!$D$4:$M$4,0))&lt;&gt;1,"NOT IN TERRITORY",IF(COUNTIFS('[1]Blackout Brand Fam Areas (Enc)'!$B$6:$B$998,$A98,'[1]Blackout Brand Fam Areas (Enc)'!$C$6:$C$998,D$4,'[1]Blackout Brand Fam Areas (Enc)'!$D$6:$D$998,"Inactive")&gt;0,"BLOCKED","CAN SELL")))))</f>
        <v>CAN SELL</v>
      </c>
      <c r="E98" s="11" t="str">
        <f>IF($A98="","",_xlfn.LET(_xlpm.t,MATCH($B98,'[1]Territory Definitions'!$B$5:$B$14,0),IF(ISNA(_xlpm.t),"NO TERRITORY",IF(INDEX('[1]Territory Definitions'!$D$5:$M$14,_xlpm.t,MATCH(E$4,'[1]Territory Definitions'!$D$4:$M$4,0))&lt;&gt;1,"NOT IN TERRITORY",IF(COUNTIFS('[1]Blackout Brand Fam Areas (Enc)'!$B$6:$B$998,$A98,'[1]Blackout Brand Fam Areas (Enc)'!$C$6:$C$998,E$4,'[1]Blackout Brand Fam Areas (Enc)'!$D$6:$D$998,"Inactive")&gt;0,"BLOCKED","CAN SELL")))))</f>
        <v>CAN SELL</v>
      </c>
      <c r="F98" s="11" t="str">
        <f>IF($A98="","",_xlfn.LET(_xlpm.t,MATCH($B98,'[1]Territory Definitions'!$B$5:$B$14,0),IF(ISNA(_xlpm.t),"NO TERRITORY",IF(INDEX('[1]Territory Definitions'!$D$5:$M$14,_xlpm.t,MATCH(F$4,'[1]Territory Definitions'!$D$4:$M$4,0))&lt;&gt;1,"NOT IN TERRITORY",IF(COUNTIFS('[1]Blackout Brand Fam Areas (Enc)'!$B$6:$B$998,$A98,'[1]Blackout Brand Fam Areas (Enc)'!$C$6:$C$998,F$4,'[1]Blackout Brand Fam Areas (Enc)'!$D$6:$D$998,"Inactive")&gt;0,"BLOCKED","CAN SELL")))))</f>
        <v>CAN SELL</v>
      </c>
      <c r="G98" s="11" t="str">
        <f>IF($A98="","",_xlfn.LET(_xlpm.t,MATCH($B98,'[1]Territory Definitions'!$B$5:$B$14,0),IF(ISNA(_xlpm.t),"NO TERRITORY",IF(INDEX('[1]Territory Definitions'!$D$5:$M$14,_xlpm.t,MATCH(G$4,'[1]Territory Definitions'!$D$4:$M$4,0))&lt;&gt;1,"NOT IN TERRITORY",IF(COUNTIFS('[1]Blackout Brand Fam Areas (Enc)'!$B$6:$B$998,$A98,'[1]Blackout Brand Fam Areas (Enc)'!$C$6:$C$998,G$4,'[1]Blackout Brand Fam Areas (Enc)'!$D$6:$D$998,"Inactive")&gt;0,"BLOCKED","CAN SELL")))))</f>
        <v>CAN SELL</v>
      </c>
      <c r="H98" s="11" t="str">
        <f>IF($A98="","",_xlfn.LET(_xlpm.t,MATCH($B98,'[1]Territory Definitions'!$B$5:$B$14,0),IF(ISNA(_xlpm.t),"NO TERRITORY",IF(INDEX('[1]Territory Definitions'!$D$5:$M$14,_xlpm.t,MATCH(H$4,'[1]Territory Definitions'!$D$4:$M$4,0))&lt;&gt;1,"NOT IN TERRITORY",IF(COUNTIFS('[1]Blackout Brand Fam Areas (Enc)'!$B$6:$B$998,$A98,'[1]Blackout Brand Fam Areas (Enc)'!$C$6:$C$998,H$4,'[1]Blackout Brand Fam Areas (Enc)'!$D$6:$D$998,"Inactive")&gt;0,"BLOCKED","CAN SELL")))))</f>
        <v>CAN SELL</v>
      </c>
      <c r="I98" s="11" t="str">
        <f>IF($A98="","",_xlfn.LET(_xlpm.t,MATCH($B98,'[1]Territory Definitions'!$B$5:$B$14,0),IF(ISNA(_xlpm.t),"NO TERRITORY",IF(INDEX('[1]Territory Definitions'!$D$5:$M$14,_xlpm.t,MATCH(I$4,'[1]Territory Definitions'!$D$4:$M$4,0))&lt;&gt;1,"NOT IN TERRITORY",IF(COUNTIFS('[1]Blackout Brand Fam Areas (Enc)'!$B$6:$B$998,$A98,'[1]Blackout Brand Fam Areas (Enc)'!$C$6:$C$998,I$4,'[1]Blackout Brand Fam Areas (Enc)'!$D$6:$D$998,"Inactive")&gt;0,"BLOCKED","CAN SELL")))))</f>
        <v>CAN SELL</v>
      </c>
      <c r="J98" s="11" t="str">
        <f>IF($A98="","",_xlfn.LET(_xlpm.t,MATCH($B98,'[1]Territory Definitions'!$B$5:$B$14,0),IF(ISNA(_xlpm.t),"NO TERRITORY",IF(INDEX('[1]Territory Definitions'!$D$5:$M$14,_xlpm.t,MATCH(J$4,'[1]Territory Definitions'!$D$4:$M$4,0))&lt;&gt;1,"NOT IN TERRITORY",IF(COUNTIFS('[1]Blackout Brand Fam Areas (Enc)'!$B$6:$B$998,$A98,'[1]Blackout Brand Fam Areas (Enc)'!$C$6:$C$998,J$4,'[1]Blackout Brand Fam Areas (Enc)'!$D$6:$D$998,"Inactive")&gt;0,"BLOCKED","CAN SELL")))))</f>
        <v>CAN SELL</v>
      </c>
      <c r="K98" s="11" t="str">
        <f>IF($A98="","",_xlfn.LET(_xlpm.t,MATCH($B98,'[1]Territory Definitions'!$B$5:$B$14,0),IF(ISNA(_xlpm.t),"NO TERRITORY",IF(INDEX('[1]Territory Definitions'!$D$5:$M$14,_xlpm.t,MATCH(K$4,'[1]Territory Definitions'!$D$4:$M$4,0))&lt;&gt;1,"NOT IN TERRITORY",IF(COUNTIFS('[1]Blackout Brand Fam Areas (Enc)'!$B$6:$B$998,$A98,'[1]Blackout Brand Fam Areas (Enc)'!$C$6:$C$998,K$4,'[1]Blackout Brand Fam Areas (Enc)'!$D$6:$D$998,"Inactive")&gt;0,"BLOCKED","CAN SELL")))))</f>
        <v>CAN SELL</v>
      </c>
      <c r="L98" s="11" t="str">
        <f>IF($A98="","",_xlfn.LET(_xlpm.t,MATCH($B98,'[1]Territory Definitions'!$B$5:$B$14,0),IF(ISNA(_xlpm.t),"NO TERRITORY",IF(INDEX('[1]Territory Definitions'!$D$5:$M$14,_xlpm.t,MATCH(L$4,'[1]Territory Definitions'!$D$4:$M$4,0))&lt;&gt;1,"NOT IN TERRITORY",IF(COUNTIFS('[1]Blackout Brand Fam Areas (Enc)'!$B$6:$B$998,$A98,'[1]Blackout Brand Fam Areas (Enc)'!$C$6:$C$998,L$4,'[1]Blackout Brand Fam Areas (Enc)'!$D$6:$D$998,"Inactive")&gt;0,"BLOCKED","CAN SELL")))))</f>
        <v>CAN SELL</v>
      </c>
      <c r="M98" s="12">
        <f>IF($A98="","",COUNTIF($C98:$L98,"CAN SELL"))</f>
        <v>10</v>
      </c>
      <c r="N98" s="13" cm="1">
        <f t="array" ref="N98">IF($A98="","",SUMPRODUCT(($C98:$L98="CAN SELL")*$C$3:$L$3))</f>
        <v>2306</v>
      </c>
      <c r="O98" s="14" t="str">
        <f>IF($A98="","",IF(COUNTIF($A$5:$A$299,$A98)&gt;1,"DUPLICATE - two different territories assigned",IF($B98="** NO TERRITORY SET **","No territory on Brand Family Territory (Enc)","")))</f>
        <v/>
      </c>
      <c r="P98" s="18" t="str">
        <f>IF($A98="","",IFERROR(INDEX([1]Products!$H$4:$H$4801,MATCH($A98,[1]Products!$G$4:$G$4801,0)),"(no products)"))</f>
        <v>(no products)</v>
      </c>
      <c r="Q98" s="19">
        <f>IF($A98="","",COUNTIFS([1]Products!$G$4:$G$4801,$A98,[1]Products!$L$4:$L$4801,"Yes"))</f>
        <v>0</v>
      </c>
      <c r="R98" s="19">
        <f>IF($A98="","",COUNTIFS([1]Products!$G$4:$G$4801,$A98,[1]Products!$L$4:$L$4801,"Yes",[1]Products!$K$4:$K$4801,"Draft"))</f>
        <v>0</v>
      </c>
      <c r="S98" s="19">
        <f>IF($A98="","",COUNTIFS([1]Products!$G$4:$G$4801,$A98,[1]Products!$L$4:$L$4801,"Yes",[1]Products!$K$4:$K$4801,"Package"))</f>
        <v>0</v>
      </c>
      <c r="T98" s="20" t="str" cm="1">
        <f t="array" ref="T98">IF($A98="","",_xlfn.IFS($Q98=0,"NO ACTIVE SKUs",AND($R98&gt;0,$S98&gt;0),"Draft &amp; Package",$R98&gt;0,"Draft only",TRUE,"Package only"))</f>
        <v>NO ACTIVE SKUs</v>
      </c>
    </row>
    <row r="99" spans="1:20" x14ac:dyDescent="0.2">
      <c r="A99" s="9" t="str">
        <v>Eleven20 Tequila</v>
      </c>
      <c r="B99" s="10" t="str">
        <f>IF($A99="","",_xlfn.XLOOKUP($A99,'[1]Brand Family Territory (Enc)'!$A:$A,'[1]Brand Family Territory (Enc)'!$B:$B,"** NO TERRITORY SET **"))</f>
        <v>All Counties</v>
      </c>
      <c r="C99" s="11" t="str">
        <f>IF($A99="","",_xlfn.LET(_xlpm.t,MATCH($B99,'[1]Territory Definitions'!$B$5:$B$14,0),IF(ISNA(_xlpm.t),"NO TERRITORY",IF(INDEX('[1]Territory Definitions'!$D$5:$M$14,_xlpm.t,MATCH(C$4,'[1]Territory Definitions'!$D$4:$M$4,0))&lt;&gt;1,"NOT IN TERRITORY",IF(COUNTIFS('[1]Blackout Brand Fam Areas (Enc)'!$B$6:$B$998,$A99,'[1]Blackout Brand Fam Areas (Enc)'!$C$6:$C$998,C$4,'[1]Blackout Brand Fam Areas (Enc)'!$D$6:$D$998,"Inactive")&gt;0,"BLOCKED","CAN SELL")))))</f>
        <v>CAN SELL</v>
      </c>
      <c r="D99" s="11" t="str">
        <f>IF($A99="","",_xlfn.LET(_xlpm.t,MATCH($B99,'[1]Territory Definitions'!$B$5:$B$14,0),IF(ISNA(_xlpm.t),"NO TERRITORY",IF(INDEX('[1]Territory Definitions'!$D$5:$M$14,_xlpm.t,MATCH(D$4,'[1]Territory Definitions'!$D$4:$M$4,0))&lt;&gt;1,"NOT IN TERRITORY",IF(COUNTIFS('[1]Blackout Brand Fam Areas (Enc)'!$B$6:$B$998,$A99,'[1]Blackout Brand Fam Areas (Enc)'!$C$6:$C$998,D$4,'[1]Blackout Brand Fam Areas (Enc)'!$D$6:$D$998,"Inactive")&gt;0,"BLOCKED","CAN SELL")))))</f>
        <v>CAN SELL</v>
      </c>
      <c r="E99" s="11" t="str">
        <f>IF($A99="","",_xlfn.LET(_xlpm.t,MATCH($B99,'[1]Territory Definitions'!$B$5:$B$14,0),IF(ISNA(_xlpm.t),"NO TERRITORY",IF(INDEX('[1]Territory Definitions'!$D$5:$M$14,_xlpm.t,MATCH(E$4,'[1]Territory Definitions'!$D$4:$M$4,0))&lt;&gt;1,"NOT IN TERRITORY",IF(COUNTIFS('[1]Blackout Brand Fam Areas (Enc)'!$B$6:$B$998,$A99,'[1]Blackout Brand Fam Areas (Enc)'!$C$6:$C$998,E$4,'[1]Blackout Brand Fam Areas (Enc)'!$D$6:$D$998,"Inactive")&gt;0,"BLOCKED","CAN SELL")))))</f>
        <v>CAN SELL</v>
      </c>
      <c r="F99" s="11" t="str">
        <f>IF($A99="","",_xlfn.LET(_xlpm.t,MATCH($B99,'[1]Territory Definitions'!$B$5:$B$14,0),IF(ISNA(_xlpm.t),"NO TERRITORY",IF(INDEX('[1]Territory Definitions'!$D$5:$M$14,_xlpm.t,MATCH(F$4,'[1]Territory Definitions'!$D$4:$M$4,0))&lt;&gt;1,"NOT IN TERRITORY",IF(COUNTIFS('[1]Blackout Brand Fam Areas (Enc)'!$B$6:$B$998,$A99,'[1]Blackout Brand Fam Areas (Enc)'!$C$6:$C$998,F$4,'[1]Blackout Brand Fam Areas (Enc)'!$D$6:$D$998,"Inactive")&gt;0,"BLOCKED","CAN SELL")))))</f>
        <v>CAN SELL</v>
      </c>
      <c r="G99" s="11" t="str">
        <f>IF($A99="","",_xlfn.LET(_xlpm.t,MATCH($B99,'[1]Territory Definitions'!$B$5:$B$14,0),IF(ISNA(_xlpm.t),"NO TERRITORY",IF(INDEX('[1]Territory Definitions'!$D$5:$M$14,_xlpm.t,MATCH(G$4,'[1]Territory Definitions'!$D$4:$M$4,0))&lt;&gt;1,"NOT IN TERRITORY",IF(COUNTIFS('[1]Blackout Brand Fam Areas (Enc)'!$B$6:$B$998,$A99,'[1]Blackout Brand Fam Areas (Enc)'!$C$6:$C$998,G$4,'[1]Blackout Brand Fam Areas (Enc)'!$D$6:$D$998,"Inactive")&gt;0,"BLOCKED","CAN SELL")))))</f>
        <v>CAN SELL</v>
      </c>
      <c r="H99" s="11" t="str">
        <f>IF($A99="","",_xlfn.LET(_xlpm.t,MATCH($B99,'[1]Territory Definitions'!$B$5:$B$14,0),IF(ISNA(_xlpm.t),"NO TERRITORY",IF(INDEX('[1]Territory Definitions'!$D$5:$M$14,_xlpm.t,MATCH(H$4,'[1]Territory Definitions'!$D$4:$M$4,0))&lt;&gt;1,"NOT IN TERRITORY",IF(COUNTIFS('[1]Blackout Brand Fam Areas (Enc)'!$B$6:$B$998,$A99,'[1]Blackout Brand Fam Areas (Enc)'!$C$6:$C$998,H$4,'[1]Blackout Brand Fam Areas (Enc)'!$D$6:$D$998,"Inactive")&gt;0,"BLOCKED","CAN SELL")))))</f>
        <v>CAN SELL</v>
      </c>
      <c r="I99" s="11" t="str">
        <f>IF($A99="","",_xlfn.LET(_xlpm.t,MATCH($B99,'[1]Territory Definitions'!$B$5:$B$14,0),IF(ISNA(_xlpm.t),"NO TERRITORY",IF(INDEX('[1]Territory Definitions'!$D$5:$M$14,_xlpm.t,MATCH(I$4,'[1]Territory Definitions'!$D$4:$M$4,0))&lt;&gt;1,"NOT IN TERRITORY",IF(COUNTIFS('[1]Blackout Brand Fam Areas (Enc)'!$B$6:$B$998,$A99,'[1]Blackout Brand Fam Areas (Enc)'!$C$6:$C$998,I$4,'[1]Blackout Brand Fam Areas (Enc)'!$D$6:$D$998,"Inactive")&gt;0,"BLOCKED","CAN SELL")))))</f>
        <v>CAN SELL</v>
      </c>
      <c r="J99" s="11" t="str">
        <f>IF($A99="","",_xlfn.LET(_xlpm.t,MATCH($B99,'[1]Territory Definitions'!$B$5:$B$14,0),IF(ISNA(_xlpm.t),"NO TERRITORY",IF(INDEX('[1]Territory Definitions'!$D$5:$M$14,_xlpm.t,MATCH(J$4,'[1]Territory Definitions'!$D$4:$M$4,0))&lt;&gt;1,"NOT IN TERRITORY",IF(COUNTIFS('[1]Blackout Brand Fam Areas (Enc)'!$B$6:$B$998,$A99,'[1]Blackout Brand Fam Areas (Enc)'!$C$6:$C$998,J$4,'[1]Blackout Brand Fam Areas (Enc)'!$D$6:$D$998,"Inactive")&gt;0,"BLOCKED","CAN SELL")))))</f>
        <v>CAN SELL</v>
      </c>
      <c r="K99" s="11" t="str">
        <f>IF($A99="","",_xlfn.LET(_xlpm.t,MATCH($B99,'[1]Territory Definitions'!$B$5:$B$14,0),IF(ISNA(_xlpm.t),"NO TERRITORY",IF(INDEX('[1]Territory Definitions'!$D$5:$M$14,_xlpm.t,MATCH(K$4,'[1]Territory Definitions'!$D$4:$M$4,0))&lt;&gt;1,"NOT IN TERRITORY",IF(COUNTIFS('[1]Blackout Brand Fam Areas (Enc)'!$B$6:$B$998,$A99,'[1]Blackout Brand Fam Areas (Enc)'!$C$6:$C$998,K$4,'[1]Blackout Brand Fam Areas (Enc)'!$D$6:$D$998,"Inactive")&gt;0,"BLOCKED","CAN SELL")))))</f>
        <v>CAN SELL</v>
      </c>
      <c r="L99" s="11" t="str">
        <f>IF($A99="","",_xlfn.LET(_xlpm.t,MATCH($B99,'[1]Territory Definitions'!$B$5:$B$14,0),IF(ISNA(_xlpm.t),"NO TERRITORY",IF(INDEX('[1]Territory Definitions'!$D$5:$M$14,_xlpm.t,MATCH(L$4,'[1]Territory Definitions'!$D$4:$M$4,0))&lt;&gt;1,"NOT IN TERRITORY",IF(COUNTIFS('[1]Blackout Brand Fam Areas (Enc)'!$B$6:$B$998,$A99,'[1]Blackout Brand Fam Areas (Enc)'!$C$6:$C$998,L$4,'[1]Blackout Brand Fam Areas (Enc)'!$D$6:$D$998,"Inactive")&gt;0,"BLOCKED","CAN SELL")))))</f>
        <v>CAN SELL</v>
      </c>
      <c r="M99" s="12">
        <f>IF($A99="","",COUNTIF($C99:$L99,"CAN SELL"))</f>
        <v>10</v>
      </c>
      <c r="N99" s="13" cm="1">
        <f t="array" ref="N99">IF($A99="","",SUMPRODUCT(($C99:$L99="CAN SELL")*$C$3:$L$3))</f>
        <v>2306</v>
      </c>
      <c r="O99" s="14" t="str">
        <f>IF($A99="","",IF(COUNTIF($A$5:$A$299,$A99)&gt;1,"DUPLICATE - two different territories assigned",IF($B99="** NO TERRITORY SET **","No territory on Brand Family Territory (Enc)","")))</f>
        <v/>
      </c>
      <c r="P99" s="18" t="str">
        <f>IF($A99="","",IFERROR(INDEX([1]Products!$H$4:$H$4801,MATCH($A99,[1]Products!$G$4:$G$4801,0)),"(no products)"))</f>
        <v>Eleven20</v>
      </c>
      <c r="Q99" s="19">
        <f>IF($A99="","",COUNTIFS([1]Products!$G$4:$G$4801,$A99,[1]Products!$L$4:$L$4801,"Yes"))</f>
        <v>5</v>
      </c>
      <c r="R99" s="19">
        <f>IF($A99="","",COUNTIFS([1]Products!$G$4:$G$4801,$A99,[1]Products!$L$4:$L$4801,"Yes",[1]Products!$K$4:$K$4801,"Draft"))</f>
        <v>0</v>
      </c>
      <c r="S99" s="19">
        <f>IF($A99="","",COUNTIFS([1]Products!$G$4:$G$4801,$A99,[1]Products!$L$4:$L$4801,"Yes",[1]Products!$K$4:$K$4801,"Package"))</f>
        <v>0</v>
      </c>
      <c r="T99" s="20" t="str" cm="1">
        <f t="array" ref="T99">IF($A99="","",_xlfn.IFS($Q99=0,"NO ACTIVE SKUs",AND($R99&gt;0,$S99&gt;0),"Draft &amp; Package",$R99&gt;0,"Draft only",TRUE,"Package only"))</f>
        <v>Package only</v>
      </c>
    </row>
    <row r="100" spans="1:20" x14ac:dyDescent="0.2">
      <c r="A100" s="9" t="str">
        <v>Estrella</v>
      </c>
      <c r="B100" s="10" t="str">
        <f>IF($A100="","",_xlfn.XLOOKUP($A100,'[1]Brand Family Territory (Enc)'!$A:$A,'[1]Brand Family Territory (Enc)'!$B:$B,"** NO TERRITORY SET **"))</f>
        <v>Metro Five County</v>
      </c>
      <c r="C100" s="11" t="str">
        <f>IF($A100="","",_xlfn.LET(_xlpm.t,MATCH($B100,'[1]Territory Definitions'!$B$5:$B$14,0),IF(ISNA(_xlpm.t),"NO TERRITORY",IF(INDEX('[1]Territory Definitions'!$D$5:$M$14,_xlpm.t,MATCH(C$4,'[1]Territory Definitions'!$D$4:$M$4,0))&lt;&gt;1,"NOT IN TERRITORY",IF(COUNTIFS('[1]Blackout Brand Fam Areas (Enc)'!$B$6:$B$998,$A100,'[1]Blackout Brand Fam Areas (Enc)'!$C$6:$C$998,C$4,'[1]Blackout Brand Fam Areas (Enc)'!$D$6:$D$998,"Inactive")&gt;0,"BLOCKED","CAN SELL")))))</f>
        <v>CAN SELL</v>
      </c>
      <c r="D100" s="11" t="str">
        <f>IF($A100="","",_xlfn.LET(_xlpm.t,MATCH($B100,'[1]Territory Definitions'!$B$5:$B$14,0),IF(ISNA(_xlpm.t),"NO TERRITORY",IF(INDEX('[1]Territory Definitions'!$D$5:$M$14,_xlpm.t,MATCH(D$4,'[1]Territory Definitions'!$D$4:$M$4,0))&lt;&gt;1,"NOT IN TERRITORY",IF(COUNTIFS('[1]Blackout Brand Fam Areas (Enc)'!$B$6:$B$998,$A100,'[1]Blackout Brand Fam Areas (Enc)'!$C$6:$C$998,D$4,'[1]Blackout Brand Fam Areas (Enc)'!$D$6:$D$998,"Inactive")&gt;0,"BLOCKED","CAN SELL")))))</f>
        <v>CAN SELL</v>
      </c>
      <c r="E100" s="11" t="str">
        <f>IF($A100="","",_xlfn.LET(_xlpm.t,MATCH($B100,'[1]Territory Definitions'!$B$5:$B$14,0),IF(ISNA(_xlpm.t),"NO TERRITORY",IF(INDEX('[1]Territory Definitions'!$D$5:$M$14,_xlpm.t,MATCH(E$4,'[1]Territory Definitions'!$D$4:$M$4,0))&lt;&gt;1,"NOT IN TERRITORY",IF(COUNTIFS('[1]Blackout Brand Fam Areas (Enc)'!$B$6:$B$998,$A100,'[1]Blackout Brand Fam Areas (Enc)'!$C$6:$C$998,E$4,'[1]Blackout Brand Fam Areas (Enc)'!$D$6:$D$998,"Inactive")&gt;0,"BLOCKED","CAN SELL")))))</f>
        <v>CAN SELL</v>
      </c>
      <c r="F100" s="11" t="str">
        <f>IF($A100="","",_xlfn.LET(_xlpm.t,MATCH($B100,'[1]Territory Definitions'!$B$5:$B$14,0),IF(ISNA(_xlpm.t),"NO TERRITORY",IF(INDEX('[1]Territory Definitions'!$D$5:$M$14,_xlpm.t,MATCH(F$4,'[1]Territory Definitions'!$D$4:$M$4,0))&lt;&gt;1,"NOT IN TERRITORY",IF(COUNTIFS('[1]Blackout Brand Fam Areas (Enc)'!$B$6:$B$998,$A100,'[1]Blackout Brand Fam Areas (Enc)'!$C$6:$C$998,F$4,'[1]Blackout Brand Fam Areas (Enc)'!$D$6:$D$998,"Inactive")&gt;0,"BLOCKED","CAN SELL")))))</f>
        <v>CAN SELL</v>
      </c>
      <c r="G100" s="11" t="str">
        <f>IF($A100="","",_xlfn.LET(_xlpm.t,MATCH($B100,'[1]Territory Definitions'!$B$5:$B$14,0),IF(ISNA(_xlpm.t),"NO TERRITORY",IF(INDEX('[1]Territory Definitions'!$D$5:$M$14,_xlpm.t,MATCH(G$4,'[1]Territory Definitions'!$D$4:$M$4,0))&lt;&gt;1,"NOT IN TERRITORY",IF(COUNTIFS('[1]Blackout Brand Fam Areas (Enc)'!$B$6:$B$998,$A100,'[1]Blackout Brand Fam Areas (Enc)'!$C$6:$C$998,G$4,'[1]Blackout Brand Fam Areas (Enc)'!$D$6:$D$998,"Inactive")&gt;0,"BLOCKED","CAN SELL")))))</f>
        <v>CAN SELL</v>
      </c>
      <c r="H100" s="11" t="str">
        <f>IF($A100="","",_xlfn.LET(_xlpm.t,MATCH($B100,'[1]Territory Definitions'!$B$5:$B$14,0),IF(ISNA(_xlpm.t),"NO TERRITORY",IF(INDEX('[1]Territory Definitions'!$D$5:$M$14,_xlpm.t,MATCH(H$4,'[1]Territory Definitions'!$D$4:$M$4,0))&lt;&gt;1,"NOT IN TERRITORY",IF(COUNTIFS('[1]Blackout Brand Fam Areas (Enc)'!$B$6:$B$998,$A100,'[1]Blackout Brand Fam Areas (Enc)'!$C$6:$C$998,H$4,'[1]Blackout Brand Fam Areas (Enc)'!$D$6:$D$998,"Inactive")&gt;0,"BLOCKED","CAN SELL")))))</f>
        <v>CAN SELL</v>
      </c>
      <c r="I100" s="11" t="str">
        <f>IF($A100="","",_xlfn.LET(_xlpm.t,MATCH($B100,'[1]Territory Definitions'!$B$5:$B$14,0),IF(ISNA(_xlpm.t),"NO TERRITORY",IF(INDEX('[1]Territory Definitions'!$D$5:$M$14,_xlpm.t,MATCH(I$4,'[1]Territory Definitions'!$D$4:$M$4,0))&lt;&gt;1,"NOT IN TERRITORY",IF(COUNTIFS('[1]Blackout Brand Fam Areas (Enc)'!$B$6:$B$998,$A100,'[1]Blackout Brand Fam Areas (Enc)'!$C$6:$C$998,I$4,'[1]Blackout Brand Fam Areas (Enc)'!$D$6:$D$998,"Inactive")&gt;0,"BLOCKED","CAN SELL")))))</f>
        <v>NOT IN TERRITORY</v>
      </c>
      <c r="J100" s="11" t="str">
        <f>IF($A100="","",_xlfn.LET(_xlpm.t,MATCH($B100,'[1]Territory Definitions'!$B$5:$B$14,0),IF(ISNA(_xlpm.t),"NO TERRITORY",IF(INDEX('[1]Territory Definitions'!$D$5:$M$14,_xlpm.t,MATCH(J$4,'[1]Territory Definitions'!$D$4:$M$4,0))&lt;&gt;1,"NOT IN TERRITORY",IF(COUNTIFS('[1]Blackout Brand Fam Areas (Enc)'!$B$6:$B$998,$A100,'[1]Blackout Brand Fam Areas (Enc)'!$C$6:$C$998,J$4,'[1]Blackout Brand Fam Areas (Enc)'!$D$6:$D$998,"Inactive")&gt;0,"BLOCKED","CAN SELL")))))</f>
        <v>NOT IN TERRITORY</v>
      </c>
      <c r="K100" s="11" t="str">
        <f>IF($A100="","",_xlfn.LET(_xlpm.t,MATCH($B100,'[1]Territory Definitions'!$B$5:$B$14,0),IF(ISNA(_xlpm.t),"NO TERRITORY",IF(INDEX('[1]Territory Definitions'!$D$5:$M$14,_xlpm.t,MATCH(K$4,'[1]Territory Definitions'!$D$4:$M$4,0))&lt;&gt;1,"NOT IN TERRITORY",IF(COUNTIFS('[1]Blackout Brand Fam Areas (Enc)'!$B$6:$B$998,$A100,'[1]Blackout Brand Fam Areas (Enc)'!$C$6:$C$998,K$4,'[1]Blackout Brand Fam Areas (Enc)'!$D$6:$D$998,"Inactive")&gt;0,"BLOCKED","CAN SELL")))))</f>
        <v>NOT IN TERRITORY</v>
      </c>
      <c r="L100" s="11" t="str">
        <f>IF($A100="","",_xlfn.LET(_xlpm.t,MATCH($B100,'[1]Territory Definitions'!$B$5:$B$14,0),IF(ISNA(_xlpm.t),"NO TERRITORY",IF(INDEX('[1]Territory Definitions'!$D$5:$M$14,_xlpm.t,MATCH(L$4,'[1]Territory Definitions'!$D$4:$M$4,0))&lt;&gt;1,"NOT IN TERRITORY",IF(COUNTIFS('[1]Blackout Brand Fam Areas (Enc)'!$B$6:$B$998,$A100,'[1]Blackout Brand Fam Areas (Enc)'!$C$6:$C$998,L$4,'[1]Blackout Brand Fam Areas (Enc)'!$D$6:$D$998,"Inactive")&gt;0,"BLOCKED","CAN SELL")))))</f>
        <v>NOT IN TERRITORY</v>
      </c>
      <c r="M100" s="12">
        <f>IF($A100="","",COUNTIF($C100:$L100,"CAN SELL"))</f>
        <v>6</v>
      </c>
      <c r="N100" s="13" cm="1">
        <f t="array" ref="N100">IF($A100="","",SUMPRODUCT(($C100:$L100="CAN SELL")*$C$3:$L$3))</f>
        <v>1992</v>
      </c>
      <c r="O100" s="14" t="str">
        <f>IF($A100="","",IF(COUNTIF($A$5:$A$299,$A100)&gt;1,"DUPLICATE - two different territories assigned",IF($B100="** NO TERRITORY SET **","No territory on Brand Family Territory (Enc)","")))</f>
        <v/>
      </c>
      <c r="P100" s="18" t="str">
        <f>IF($A100="","",IFERROR(INDEX([1]Products!$H$4:$H$4801,MATCH($A100,[1]Products!$G$4:$G$4801,0)),"(no products)"))</f>
        <v>US Beverage</v>
      </c>
      <c r="Q100" s="19">
        <f>IF($A100="","",COUNTIFS([1]Products!$G$4:$G$4801,$A100,[1]Products!$L$4:$L$4801,"Yes"))</f>
        <v>4</v>
      </c>
      <c r="R100" s="19">
        <f>IF($A100="","",COUNTIFS([1]Products!$G$4:$G$4801,$A100,[1]Products!$L$4:$L$4801,"Yes",[1]Products!$K$4:$K$4801,"Draft"))</f>
        <v>1</v>
      </c>
      <c r="S100" s="19">
        <f>IF($A100="","",COUNTIFS([1]Products!$G$4:$G$4801,$A100,[1]Products!$L$4:$L$4801,"Yes",[1]Products!$K$4:$K$4801,"Package"))</f>
        <v>3</v>
      </c>
      <c r="T100" s="20" t="str" cm="1">
        <f t="array" ref="T100">IF($A100="","",_xlfn.IFS($Q100=0,"NO ACTIVE SKUs",AND($R100&gt;0,$S100&gt;0),"Draft &amp; Package",$R100&gt;0,"Draft only",TRUE,"Package only"))</f>
        <v>Draft &amp; Package</v>
      </c>
    </row>
    <row r="101" spans="1:20" x14ac:dyDescent="0.2">
      <c r="A101" s="9" t="str">
        <v>Evil Genius</v>
      </c>
      <c r="B101" s="10" t="str">
        <f>IF($A101="","",_xlfn.XLOOKUP($A101,'[1]Brand Family Territory (Enc)'!$A:$A,'[1]Brand Family Territory (Enc)'!$B:$B,"** NO TERRITORY SET **"))</f>
        <v>All Counties</v>
      </c>
      <c r="C101" s="11" t="str">
        <f>IF($A101="","",_xlfn.LET(_xlpm.t,MATCH($B101,'[1]Territory Definitions'!$B$5:$B$14,0),IF(ISNA(_xlpm.t),"NO TERRITORY",IF(INDEX('[1]Territory Definitions'!$D$5:$M$14,_xlpm.t,MATCH(C$4,'[1]Territory Definitions'!$D$4:$M$4,0))&lt;&gt;1,"NOT IN TERRITORY",IF(COUNTIFS('[1]Blackout Brand Fam Areas (Enc)'!$B$6:$B$998,$A101,'[1]Blackout Brand Fam Areas (Enc)'!$C$6:$C$998,C$4,'[1]Blackout Brand Fam Areas (Enc)'!$D$6:$D$998,"Inactive")&gt;0,"BLOCKED","CAN SELL")))))</f>
        <v>CAN SELL</v>
      </c>
      <c r="D101" s="11" t="str">
        <f>IF($A101="","",_xlfn.LET(_xlpm.t,MATCH($B101,'[1]Territory Definitions'!$B$5:$B$14,0),IF(ISNA(_xlpm.t),"NO TERRITORY",IF(INDEX('[1]Territory Definitions'!$D$5:$M$14,_xlpm.t,MATCH(D$4,'[1]Territory Definitions'!$D$4:$M$4,0))&lt;&gt;1,"NOT IN TERRITORY",IF(COUNTIFS('[1]Blackout Brand Fam Areas (Enc)'!$B$6:$B$998,$A101,'[1]Blackout Brand Fam Areas (Enc)'!$C$6:$C$998,D$4,'[1]Blackout Brand Fam Areas (Enc)'!$D$6:$D$998,"Inactive")&gt;0,"BLOCKED","CAN SELL")))))</f>
        <v>CAN SELL</v>
      </c>
      <c r="E101" s="11" t="str">
        <f>IF($A101="","",_xlfn.LET(_xlpm.t,MATCH($B101,'[1]Territory Definitions'!$B$5:$B$14,0),IF(ISNA(_xlpm.t),"NO TERRITORY",IF(INDEX('[1]Territory Definitions'!$D$5:$M$14,_xlpm.t,MATCH(E$4,'[1]Territory Definitions'!$D$4:$M$4,0))&lt;&gt;1,"NOT IN TERRITORY",IF(COUNTIFS('[1]Blackout Brand Fam Areas (Enc)'!$B$6:$B$998,$A101,'[1]Blackout Brand Fam Areas (Enc)'!$C$6:$C$998,E$4,'[1]Blackout Brand Fam Areas (Enc)'!$D$6:$D$998,"Inactive")&gt;0,"BLOCKED","CAN SELL")))))</f>
        <v>CAN SELL</v>
      </c>
      <c r="F101" s="11" t="str">
        <f>IF($A101="","",_xlfn.LET(_xlpm.t,MATCH($B101,'[1]Territory Definitions'!$B$5:$B$14,0),IF(ISNA(_xlpm.t),"NO TERRITORY",IF(INDEX('[1]Territory Definitions'!$D$5:$M$14,_xlpm.t,MATCH(F$4,'[1]Territory Definitions'!$D$4:$M$4,0))&lt;&gt;1,"NOT IN TERRITORY",IF(COUNTIFS('[1]Blackout Brand Fam Areas (Enc)'!$B$6:$B$998,$A101,'[1]Blackout Brand Fam Areas (Enc)'!$C$6:$C$998,F$4,'[1]Blackout Brand Fam Areas (Enc)'!$D$6:$D$998,"Inactive")&gt;0,"BLOCKED","CAN SELL")))))</f>
        <v>CAN SELL</v>
      </c>
      <c r="G101" s="11" t="str">
        <f>IF($A101="","",_xlfn.LET(_xlpm.t,MATCH($B101,'[1]Territory Definitions'!$B$5:$B$14,0),IF(ISNA(_xlpm.t),"NO TERRITORY",IF(INDEX('[1]Territory Definitions'!$D$5:$M$14,_xlpm.t,MATCH(G$4,'[1]Territory Definitions'!$D$4:$M$4,0))&lt;&gt;1,"NOT IN TERRITORY",IF(COUNTIFS('[1]Blackout Brand Fam Areas (Enc)'!$B$6:$B$998,$A101,'[1]Blackout Brand Fam Areas (Enc)'!$C$6:$C$998,G$4,'[1]Blackout Brand Fam Areas (Enc)'!$D$6:$D$998,"Inactive")&gt;0,"BLOCKED","CAN SELL")))))</f>
        <v>CAN SELL</v>
      </c>
      <c r="H101" s="11" t="str">
        <f>IF($A101="","",_xlfn.LET(_xlpm.t,MATCH($B101,'[1]Territory Definitions'!$B$5:$B$14,0),IF(ISNA(_xlpm.t),"NO TERRITORY",IF(INDEX('[1]Territory Definitions'!$D$5:$M$14,_xlpm.t,MATCH(H$4,'[1]Territory Definitions'!$D$4:$M$4,0))&lt;&gt;1,"NOT IN TERRITORY",IF(COUNTIFS('[1]Blackout Brand Fam Areas (Enc)'!$B$6:$B$998,$A101,'[1]Blackout Brand Fam Areas (Enc)'!$C$6:$C$998,H$4,'[1]Blackout Brand Fam Areas (Enc)'!$D$6:$D$998,"Inactive")&gt;0,"BLOCKED","CAN SELL")))))</f>
        <v>CAN SELL</v>
      </c>
      <c r="I101" s="11" t="str">
        <f>IF($A101="","",_xlfn.LET(_xlpm.t,MATCH($B101,'[1]Territory Definitions'!$B$5:$B$14,0),IF(ISNA(_xlpm.t),"NO TERRITORY",IF(INDEX('[1]Territory Definitions'!$D$5:$M$14,_xlpm.t,MATCH(I$4,'[1]Territory Definitions'!$D$4:$M$4,0))&lt;&gt;1,"NOT IN TERRITORY",IF(COUNTIFS('[1]Blackout Brand Fam Areas (Enc)'!$B$6:$B$998,$A101,'[1]Blackout Brand Fam Areas (Enc)'!$C$6:$C$998,I$4,'[1]Blackout Brand Fam Areas (Enc)'!$D$6:$D$998,"Inactive")&gt;0,"BLOCKED","CAN SELL")))))</f>
        <v>CAN SELL</v>
      </c>
      <c r="J101" s="11" t="str">
        <f>IF($A101="","",_xlfn.LET(_xlpm.t,MATCH($B101,'[1]Territory Definitions'!$B$5:$B$14,0),IF(ISNA(_xlpm.t),"NO TERRITORY",IF(INDEX('[1]Territory Definitions'!$D$5:$M$14,_xlpm.t,MATCH(J$4,'[1]Territory Definitions'!$D$4:$M$4,0))&lt;&gt;1,"NOT IN TERRITORY",IF(COUNTIFS('[1]Blackout Brand Fam Areas (Enc)'!$B$6:$B$998,$A101,'[1]Blackout Brand Fam Areas (Enc)'!$C$6:$C$998,J$4,'[1]Blackout Brand Fam Areas (Enc)'!$D$6:$D$998,"Inactive")&gt;0,"BLOCKED","CAN SELL")))))</f>
        <v>CAN SELL</v>
      </c>
      <c r="K101" s="11" t="str">
        <f>IF($A101="","",_xlfn.LET(_xlpm.t,MATCH($B101,'[1]Territory Definitions'!$B$5:$B$14,0),IF(ISNA(_xlpm.t),"NO TERRITORY",IF(INDEX('[1]Territory Definitions'!$D$5:$M$14,_xlpm.t,MATCH(K$4,'[1]Territory Definitions'!$D$4:$M$4,0))&lt;&gt;1,"NOT IN TERRITORY",IF(COUNTIFS('[1]Blackout Brand Fam Areas (Enc)'!$B$6:$B$998,$A101,'[1]Blackout Brand Fam Areas (Enc)'!$C$6:$C$998,K$4,'[1]Blackout Brand Fam Areas (Enc)'!$D$6:$D$998,"Inactive")&gt;0,"BLOCKED","CAN SELL")))))</f>
        <v>CAN SELL</v>
      </c>
      <c r="L101" s="11" t="str">
        <f>IF($A101="","",_xlfn.LET(_xlpm.t,MATCH($B101,'[1]Territory Definitions'!$B$5:$B$14,0),IF(ISNA(_xlpm.t),"NO TERRITORY",IF(INDEX('[1]Territory Definitions'!$D$5:$M$14,_xlpm.t,MATCH(L$4,'[1]Territory Definitions'!$D$4:$M$4,0))&lt;&gt;1,"NOT IN TERRITORY",IF(COUNTIFS('[1]Blackout Brand Fam Areas (Enc)'!$B$6:$B$998,$A101,'[1]Blackout Brand Fam Areas (Enc)'!$C$6:$C$998,L$4,'[1]Blackout Brand Fam Areas (Enc)'!$D$6:$D$998,"Inactive")&gt;0,"BLOCKED","CAN SELL")))))</f>
        <v>CAN SELL</v>
      </c>
      <c r="M101" s="12">
        <f>IF($A101="","",COUNTIF($C101:$L101,"CAN SELL"))</f>
        <v>10</v>
      </c>
      <c r="N101" s="13" cm="1">
        <f t="array" ref="N101">IF($A101="","",SUMPRODUCT(($C101:$L101="CAN SELL")*$C$3:$L$3))</f>
        <v>2306</v>
      </c>
      <c r="O101" s="14" t="str">
        <f>IF($A101="","",IF(COUNTIF($A$5:$A$299,$A101)&gt;1,"DUPLICATE - two different territories assigned",IF($B101="** NO TERRITORY SET **","No territory on Brand Family Territory (Enc)","")))</f>
        <v/>
      </c>
      <c r="P101" s="18" t="str">
        <f>IF($A101="","",IFERROR(INDEX([1]Products!$H$4:$H$4801,MATCH($A101,[1]Products!$G$4:$G$4801,0)),"(no products)"))</f>
        <v>Evil Genius</v>
      </c>
      <c r="Q101" s="19">
        <f>IF($A101="","",COUNTIFS([1]Products!$G$4:$G$4801,$A101,[1]Products!$L$4:$L$4801,"Yes"))</f>
        <v>28</v>
      </c>
      <c r="R101" s="19">
        <f>IF($A101="","",COUNTIFS([1]Products!$G$4:$G$4801,$A101,[1]Products!$L$4:$L$4801,"Yes",[1]Products!$K$4:$K$4801,"Draft"))</f>
        <v>14</v>
      </c>
      <c r="S101" s="19">
        <f>IF($A101="","",COUNTIFS([1]Products!$G$4:$G$4801,$A101,[1]Products!$L$4:$L$4801,"Yes",[1]Products!$K$4:$K$4801,"Package"))</f>
        <v>14</v>
      </c>
      <c r="T101" s="20" t="str" cm="1">
        <f t="array" ref="T101">IF($A101="","",_xlfn.IFS($Q101=0,"NO ACTIVE SKUs",AND($R101&gt;0,$S101&gt;0),"Draft &amp; Package",$R101&gt;0,"Draft only",TRUE,"Package only"))</f>
        <v>Draft &amp; Package</v>
      </c>
    </row>
    <row r="102" spans="1:20" x14ac:dyDescent="0.2">
      <c r="A102" s="9" t="str">
        <v>Famosa</v>
      </c>
      <c r="B102" s="10" t="str">
        <f>IF($A102="","",_xlfn.XLOOKUP($A102,'[1]Brand Family Territory (Enc)'!$A:$A,'[1]Brand Family Territory (Enc)'!$B:$B,"** NO TERRITORY SET **"))</f>
        <v>Metro Five County</v>
      </c>
      <c r="C102" s="11" t="str">
        <f>IF($A102="","",_xlfn.LET(_xlpm.t,MATCH($B102,'[1]Territory Definitions'!$B$5:$B$14,0),IF(ISNA(_xlpm.t),"NO TERRITORY",IF(INDEX('[1]Territory Definitions'!$D$5:$M$14,_xlpm.t,MATCH(C$4,'[1]Territory Definitions'!$D$4:$M$4,0))&lt;&gt;1,"NOT IN TERRITORY",IF(COUNTIFS('[1]Blackout Brand Fam Areas (Enc)'!$B$6:$B$998,$A102,'[1]Blackout Brand Fam Areas (Enc)'!$C$6:$C$998,C$4,'[1]Blackout Brand Fam Areas (Enc)'!$D$6:$D$998,"Inactive")&gt;0,"BLOCKED","CAN SELL")))))</f>
        <v>CAN SELL</v>
      </c>
      <c r="D102" s="11" t="str">
        <f>IF($A102="","",_xlfn.LET(_xlpm.t,MATCH($B102,'[1]Territory Definitions'!$B$5:$B$14,0),IF(ISNA(_xlpm.t),"NO TERRITORY",IF(INDEX('[1]Territory Definitions'!$D$5:$M$14,_xlpm.t,MATCH(D$4,'[1]Territory Definitions'!$D$4:$M$4,0))&lt;&gt;1,"NOT IN TERRITORY",IF(COUNTIFS('[1]Blackout Brand Fam Areas (Enc)'!$B$6:$B$998,$A102,'[1]Blackout Brand Fam Areas (Enc)'!$C$6:$C$998,D$4,'[1]Blackout Brand Fam Areas (Enc)'!$D$6:$D$998,"Inactive")&gt;0,"BLOCKED","CAN SELL")))))</f>
        <v>CAN SELL</v>
      </c>
      <c r="E102" s="11" t="str">
        <f>IF($A102="","",_xlfn.LET(_xlpm.t,MATCH($B102,'[1]Territory Definitions'!$B$5:$B$14,0),IF(ISNA(_xlpm.t),"NO TERRITORY",IF(INDEX('[1]Territory Definitions'!$D$5:$M$14,_xlpm.t,MATCH(E$4,'[1]Territory Definitions'!$D$4:$M$4,0))&lt;&gt;1,"NOT IN TERRITORY",IF(COUNTIFS('[1]Blackout Brand Fam Areas (Enc)'!$B$6:$B$998,$A102,'[1]Blackout Brand Fam Areas (Enc)'!$C$6:$C$998,E$4,'[1]Blackout Brand Fam Areas (Enc)'!$D$6:$D$998,"Inactive")&gt;0,"BLOCKED","CAN SELL")))))</f>
        <v>CAN SELL</v>
      </c>
      <c r="F102" s="11" t="str">
        <f>IF($A102="","",_xlfn.LET(_xlpm.t,MATCH($B102,'[1]Territory Definitions'!$B$5:$B$14,0),IF(ISNA(_xlpm.t),"NO TERRITORY",IF(INDEX('[1]Territory Definitions'!$D$5:$M$14,_xlpm.t,MATCH(F$4,'[1]Territory Definitions'!$D$4:$M$4,0))&lt;&gt;1,"NOT IN TERRITORY",IF(COUNTIFS('[1]Blackout Brand Fam Areas (Enc)'!$B$6:$B$998,$A102,'[1]Blackout Brand Fam Areas (Enc)'!$C$6:$C$998,F$4,'[1]Blackout Brand Fam Areas (Enc)'!$D$6:$D$998,"Inactive")&gt;0,"BLOCKED","CAN SELL")))))</f>
        <v>CAN SELL</v>
      </c>
      <c r="G102" s="11" t="str">
        <f>IF($A102="","",_xlfn.LET(_xlpm.t,MATCH($B102,'[1]Territory Definitions'!$B$5:$B$14,0),IF(ISNA(_xlpm.t),"NO TERRITORY",IF(INDEX('[1]Territory Definitions'!$D$5:$M$14,_xlpm.t,MATCH(G$4,'[1]Territory Definitions'!$D$4:$M$4,0))&lt;&gt;1,"NOT IN TERRITORY",IF(COUNTIFS('[1]Blackout Brand Fam Areas (Enc)'!$B$6:$B$998,$A102,'[1]Blackout Brand Fam Areas (Enc)'!$C$6:$C$998,G$4,'[1]Blackout Brand Fam Areas (Enc)'!$D$6:$D$998,"Inactive")&gt;0,"BLOCKED","CAN SELL")))))</f>
        <v>CAN SELL</v>
      </c>
      <c r="H102" s="11" t="str">
        <f>IF($A102="","",_xlfn.LET(_xlpm.t,MATCH($B102,'[1]Territory Definitions'!$B$5:$B$14,0),IF(ISNA(_xlpm.t),"NO TERRITORY",IF(INDEX('[1]Territory Definitions'!$D$5:$M$14,_xlpm.t,MATCH(H$4,'[1]Territory Definitions'!$D$4:$M$4,0))&lt;&gt;1,"NOT IN TERRITORY",IF(COUNTIFS('[1]Blackout Brand Fam Areas (Enc)'!$B$6:$B$998,$A102,'[1]Blackout Brand Fam Areas (Enc)'!$C$6:$C$998,H$4,'[1]Blackout Brand Fam Areas (Enc)'!$D$6:$D$998,"Inactive")&gt;0,"BLOCKED","CAN SELL")))))</f>
        <v>CAN SELL</v>
      </c>
      <c r="I102" s="11" t="str">
        <f>IF($A102="","",_xlfn.LET(_xlpm.t,MATCH($B102,'[1]Territory Definitions'!$B$5:$B$14,0),IF(ISNA(_xlpm.t),"NO TERRITORY",IF(INDEX('[1]Territory Definitions'!$D$5:$M$14,_xlpm.t,MATCH(I$4,'[1]Territory Definitions'!$D$4:$M$4,0))&lt;&gt;1,"NOT IN TERRITORY",IF(COUNTIFS('[1]Blackout Brand Fam Areas (Enc)'!$B$6:$B$998,$A102,'[1]Blackout Brand Fam Areas (Enc)'!$C$6:$C$998,I$4,'[1]Blackout Brand Fam Areas (Enc)'!$D$6:$D$998,"Inactive")&gt;0,"BLOCKED","CAN SELL")))))</f>
        <v>NOT IN TERRITORY</v>
      </c>
      <c r="J102" s="11" t="str">
        <f>IF($A102="","",_xlfn.LET(_xlpm.t,MATCH($B102,'[1]Territory Definitions'!$B$5:$B$14,0),IF(ISNA(_xlpm.t),"NO TERRITORY",IF(INDEX('[1]Territory Definitions'!$D$5:$M$14,_xlpm.t,MATCH(J$4,'[1]Territory Definitions'!$D$4:$M$4,0))&lt;&gt;1,"NOT IN TERRITORY",IF(COUNTIFS('[1]Blackout Brand Fam Areas (Enc)'!$B$6:$B$998,$A102,'[1]Blackout Brand Fam Areas (Enc)'!$C$6:$C$998,J$4,'[1]Blackout Brand Fam Areas (Enc)'!$D$6:$D$998,"Inactive")&gt;0,"BLOCKED","CAN SELL")))))</f>
        <v>NOT IN TERRITORY</v>
      </c>
      <c r="K102" s="11" t="str">
        <f>IF($A102="","",_xlfn.LET(_xlpm.t,MATCH($B102,'[1]Territory Definitions'!$B$5:$B$14,0),IF(ISNA(_xlpm.t),"NO TERRITORY",IF(INDEX('[1]Territory Definitions'!$D$5:$M$14,_xlpm.t,MATCH(K$4,'[1]Territory Definitions'!$D$4:$M$4,0))&lt;&gt;1,"NOT IN TERRITORY",IF(COUNTIFS('[1]Blackout Brand Fam Areas (Enc)'!$B$6:$B$998,$A102,'[1]Blackout Brand Fam Areas (Enc)'!$C$6:$C$998,K$4,'[1]Blackout Brand Fam Areas (Enc)'!$D$6:$D$998,"Inactive")&gt;0,"BLOCKED","CAN SELL")))))</f>
        <v>NOT IN TERRITORY</v>
      </c>
      <c r="L102" s="11" t="str">
        <f>IF($A102="","",_xlfn.LET(_xlpm.t,MATCH($B102,'[1]Territory Definitions'!$B$5:$B$14,0),IF(ISNA(_xlpm.t),"NO TERRITORY",IF(INDEX('[1]Territory Definitions'!$D$5:$M$14,_xlpm.t,MATCH(L$4,'[1]Territory Definitions'!$D$4:$M$4,0))&lt;&gt;1,"NOT IN TERRITORY",IF(COUNTIFS('[1]Blackout Brand Fam Areas (Enc)'!$B$6:$B$998,$A102,'[1]Blackout Brand Fam Areas (Enc)'!$C$6:$C$998,L$4,'[1]Blackout Brand Fam Areas (Enc)'!$D$6:$D$998,"Inactive")&gt;0,"BLOCKED","CAN SELL")))))</f>
        <v>NOT IN TERRITORY</v>
      </c>
      <c r="M102" s="12">
        <f>IF($A102="","",COUNTIF($C102:$L102,"CAN SELL"))</f>
        <v>6</v>
      </c>
      <c r="N102" s="13" cm="1">
        <f t="array" ref="N102">IF($A102="","",SUMPRODUCT(($C102:$L102="CAN SELL")*$C$3:$L$3))</f>
        <v>1992</v>
      </c>
      <c r="O102" s="14" t="str">
        <f>IF($A102="","",IF(COUNTIF($A$5:$A$299,$A102)&gt;1,"DUPLICATE - two different territories assigned",IF($B102="** NO TERRITORY SET **","No territory on Brand Family Territory (Enc)","")))</f>
        <v/>
      </c>
      <c r="P102" s="18" t="str">
        <f>IF($A102="","",IFERROR(INDEX([1]Products!$H$4:$H$4801,MATCH($A102,[1]Products!$G$4:$G$4801,0)),"(no products)"))</f>
        <v>Famosa</v>
      </c>
      <c r="Q102" s="19">
        <f>IF($A102="","",COUNTIFS([1]Products!$G$4:$G$4801,$A102,[1]Products!$L$4:$L$4801,"Yes"))</f>
        <v>6</v>
      </c>
      <c r="R102" s="19">
        <f>IF($A102="","",COUNTIFS([1]Products!$G$4:$G$4801,$A102,[1]Products!$L$4:$L$4801,"Yes",[1]Products!$K$4:$K$4801,"Draft"))</f>
        <v>0</v>
      </c>
      <c r="S102" s="19">
        <f>IF($A102="","",COUNTIFS([1]Products!$G$4:$G$4801,$A102,[1]Products!$L$4:$L$4801,"Yes",[1]Products!$K$4:$K$4801,"Package"))</f>
        <v>6</v>
      </c>
      <c r="T102" s="20" t="str" cm="1">
        <f t="array" ref="T102">IF($A102="","",_xlfn.IFS($Q102=0,"NO ACTIVE SKUs",AND($R102&gt;0,$S102&gt;0),"Draft &amp; Package",$R102&gt;0,"Draft only",TRUE,"Package only"))</f>
        <v>Package only</v>
      </c>
    </row>
    <row r="103" spans="1:20" x14ac:dyDescent="0.2">
      <c r="A103" s="9" t="str">
        <v>Fat Tire Family</v>
      </c>
      <c r="B103" s="10" t="str">
        <f>IF($A103="","",_xlfn.XLOOKUP($A103,'[1]Brand Family Territory (Enc)'!$A:$A,'[1]Brand Family Territory (Enc)'!$B:$B,"** NO TERRITORY SET **"))</f>
        <v>Core Market</v>
      </c>
      <c r="C103" s="11" t="str">
        <f>IF($A103="","",_xlfn.LET(_xlpm.t,MATCH($B103,'[1]Territory Definitions'!$B$5:$B$14,0),IF(ISNA(_xlpm.t),"NO TERRITORY",IF(INDEX('[1]Territory Definitions'!$D$5:$M$14,_xlpm.t,MATCH(C$4,'[1]Territory Definitions'!$D$4:$M$4,0))&lt;&gt;1,"NOT IN TERRITORY",IF(COUNTIFS('[1]Blackout Brand Fam Areas (Enc)'!$B$6:$B$998,$A103,'[1]Blackout Brand Fam Areas (Enc)'!$C$6:$C$998,C$4,'[1]Blackout Brand Fam Areas (Enc)'!$D$6:$D$998,"Inactive")&gt;0,"BLOCKED","CAN SELL")))))</f>
        <v>CAN SELL</v>
      </c>
      <c r="D103" s="11" t="str">
        <f>IF($A103="","",_xlfn.LET(_xlpm.t,MATCH($B103,'[1]Territory Definitions'!$B$5:$B$14,0),IF(ISNA(_xlpm.t),"NO TERRITORY",IF(INDEX('[1]Territory Definitions'!$D$5:$M$14,_xlpm.t,MATCH(D$4,'[1]Territory Definitions'!$D$4:$M$4,0))&lt;&gt;1,"NOT IN TERRITORY",IF(COUNTIFS('[1]Blackout Brand Fam Areas (Enc)'!$B$6:$B$998,$A103,'[1]Blackout Brand Fam Areas (Enc)'!$C$6:$C$998,D$4,'[1]Blackout Brand Fam Areas (Enc)'!$D$6:$D$998,"Inactive")&gt;0,"BLOCKED","CAN SELL")))))</f>
        <v>CAN SELL</v>
      </c>
      <c r="E103" s="11" t="str">
        <f>IF($A103="","",_xlfn.LET(_xlpm.t,MATCH($B103,'[1]Territory Definitions'!$B$5:$B$14,0),IF(ISNA(_xlpm.t),"NO TERRITORY",IF(INDEX('[1]Territory Definitions'!$D$5:$M$14,_xlpm.t,MATCH(E$4,'[1]Territory Definitions'!$D$4:$M$4,0))&lt;&gt;1,"NOT IN TERRITORY",IF(COUNTIFS('[1]Blackout Brand Fam Areas (Enc)'!$B$6:$B$998,$A103,'[1]Blackout Brand Fam Areas (Enc)'!$C$6:$C$998,E$4,'[1]Blackout Brand Fam Areas (Enc)'!$D$6:$D$998,"Inactive")&gt;0,"BLOCKED","CAN SELL")))))</f>
        <v>CAN SELL</v>
      </c>
      <c r="F103" s="11" t="str">
        <f>IF($A103="","",_xlfn.LET(_xlpm.t,MATCH($B103,'[1]Territory Definitions'!$B$5:$B$14,0),IF(ISNA(_xlpm.t),"NO TERRITORY",IF(INDEX('[1]Territory Definitions'!$D$5:$M$14,_xlpm.t,MATCH(F$4,'[1]Territory Definitions'!$D$4:$M$4,0))&lt;&gt;1,"NOT IN TERRITORY",IF(COUNTIFS('[1]Blackout Brand Fam Areas (Enc)'!$B$6:$B$998,$A103,'[1]Blackout Brand Fam Areas (Enc)'!$C$6:$C$998,F$4,'[1]Blackout Brand Fam Areas (Enc)'!$D$6:$D$998,"Inactive")&gt;0,"BLOCKED","CAN SELL")))))</f>
        <v>NOT IN TERRITORY</v>
      </c>
      <c r="G103" s="11" t="str">
        <f>IF($A103="","",_xlfn.LET(_xlpm.t,MATCH($B103,'[1]Territory Definitions'!$B$5:$B$14,0),IF(ISNA(_xlpm.t),"NO TERRITORY",IF(INDEX('[1]Territory Definitions'!$D$5:$M$14,_xlpm.t,MATCH(G$4,'[1]Territory Definitions'!$D$4:$M$4,0))&lt;&gt;1,"NOT IN TERRITORY",IF(COUNTIFS('[1]Blackout Brand Fam Areas (Enc)'!$B$6:$B$998,$A103,'[1]Blackout Brand Fam Areas (Enc)'!$C$6:$C$998,G$4,'[1]Blackout Brand Fam Areas (Enc)'!$D$6:$D$998,"Inactive")&gt;0,"BLOCKED","CAN SELL")))))</f>
        <v>NOT IN TERRITORY</v>
      </c>
      <c r="H103" s="11" t="str">
        <f>IF($A103="","",_xlfn.LET(_xlpm.t,MATCH($B103,'[1]Territory Definitions'!$B$5:$B$14,0),IF(ISNA(_xlpm.t),"NO TERRITORY",IF(INDEX('[1]Territory Definitions'!$D$5:$M$14,_xlpm.t,MATCH(H$4,'[1]Territory Definitions'!$D$4:$M$4,0))&lt;&gt;1,"NOT IN TERRITORY",IF(COUNTIFS('[1]Blackout Brand Fam Areas (Enc)'!$B$6:$B$998,$A103,'[1]Blackout Brand Fam Areas (Enc)'!$C$6:$C$998,H$4,'[1]Blackout Brand Fam Areas (Enc)'!$D$6:$D$998,"Inactive")&gt;0,"BLOCKED","CAN SELL")))))</f>
        <v>NOT IN TERRITORY</v>
      </c>
      <c r="I103" s="11" t="str">
        <f>IF($A103="","",_xlfn.LET(_xlpm.t,MATCH($B103,'[1]Territory Definitions'!$B$5:$B$14,0),IF(ISNA(_xlpm.t),"NO TERRITORY",IF(INDEX('[1]Territory Definitions'!$D$5:$M$14,_xlpm.t,MATCH(I$4,'[1]Territory Definitions'!$D$4:$M$4,0))&lt;&gt;1,"NOT IN TERRITORY",IF(COUNTIFS('[1]Blackout Brand Fam Areas (Enc)'!$B$6:$B$998,$A103,'[1]Blackout Brand Fam Areas (Enc)'!$C$6:$C$998,I$4,'[1]Blackout Brand Fam Areas (Enc)'!$D$6:$D$998,"Inactive")&gt;0,"BLOCKED","CAN SELL")))))</f>
        <v>CAN SELL</v>
      </c>
      <c r="J103" s="11" t="str">
        <f>IF($A103="","",_xlfn.LET(_xlpm.t,MATCH($B103,'[1]Territory Definitions'!$B$5:$B$14,0),IF(ISNA(_xlpm.t),"NO TERRITORY",IF(INDEX('[1]Territory Definitions'!$D$5:$M$14,_xlpm.t,MATCH(J$4,'[1]Territory Definitions'!$D$4:$M$4,0))&lt;&gt;1,"NOT IN TERRITORY",IF(COUNTIFS('[1]Blackout Brand Fam Areas (Enc)'!$B$6:$B$998,$A103,'[1]Blackout Brand Fam Areas (Enc)'!$C$6:$C$998,J$4,'[1]Blackout Brand Fam Areas (Enc)'!$D$6:$D$998,"Inactive")&gt;0,"BLOCKED","CAN SELL")))))</f>
        <v>CAN SELL</v>
      </c>
      <c r="K103" s="11" t="str">
        <f>IF($A103="","",_xlfn.LET(_xlpm.t,MATCH($B103,'[1]Territory Definitions'!$B$5:$B$14,0),IF(ISNA(_xlpm.t),"NO TERRITORY",IF(INDEX('[1]Territory Definitions'!$D$5:$M$14,_xlpm.t,MATCH(K$4,'[1]Territory Definitions'!$D$4:$M$4,0))&lt;&gt;1,"NOT IN TERRITORY",IF(COUNTIFS('[1]Blackout Brand Fam Areas (Enc)'!$B$6:$B$998,$A103,'[1]Blackout Brand Fam Areas (Enc)'!$C$6:$C$998,K$4,'[1]Blackout Brand Fam Areas (Enc)'!$D$6:$D$998,"Inactive")&gt;0,"BLOCKED","CAN SELL")))))</f>
        <v>NOT IN TERRITORY</v>
      </c>
      <c r="L103" s="11" t="str">
        <f>IF($A103="","",_xlfn.LET(_xlpm.t,MATCH($B103,'[1]Territory Definitions'!$B$5:$B$14,0),IF(ISNA(_xlpm.t),"NO TERRITORY",IF(INDEX('[1]Territory Definitions'!$D$5:$M$14,_xlpm.t,MATCH(L$4,'[1]Territory Definitions'!$D$4:$M$4,0))&lt;&gt;1,"NOT IN TERRITORY",IF(COUNTIFS('[1]Blackout Brand Fam Areas (Enc)'!$B$6:$B$998,$A103,'[1]Blackout Brand Fam Areas (Enc)'!$C$6:$C$998,L$4,'[1]Blackout Brand Fam Areas (Enc)'!$D$6:$D$998,"Inactive")&gt;0,"BLOCKED","CAN SELL")))))</f>
        <v>CAN SELL</v>
      </c>
      <c r="M103" s="12">
        <f>IF($A103="","",COUNTIF($C103:$L103,"CAN SELL"))</f>
        <v>6</v>
      </c>
      <c r="N103" s="13" cm="1">
        <f t="array" ref="N103">IF($A103="","",SUMPRODUCT(($C103:$L103="CAN SELL")*$C$3:$L$3))</f>
        <v>1596</v>
      </c>
      <c r="O103" s="14" t="str">
        <f>IF($A103="","",IF(COUNTIF($A$5:$A$299,$A103)&gt;1,"DUPLICATE - two different territories assigned",IF($B103="** NO TERRITORY SET **","No territory on Brand Family Territory (Enc)","")))</f>
        <v/>
      </c>
      <c r="P103" s="18" t="str">
        <f>IF($A103="","",IFERROR(INDEX([1]Products!$H$4:$H$4801,MATCH($A103,[1]Products!$G$4:$G$4801,0)),"(no products)"))</f>
        <v>New Belgium Brewing Company</v>
      </c>
      <c r="Q103" s="19">
        <f>IF($A103="","",COUNTIFS([1]Products!$G$4:$G$4801,$A103,[1]Products!$L$4:$L$4801,"Yes"))</f>
        <v>6</v>
      </c>
      <c r="R103" s="19">
        <f>IF($A103="","",COUNTIFS([1]Products!$G$4:$G$4801,$A103,[1]Products!$L$4:$L$4801,"Yes",[1]Products!$K$4:$K$4801,"Draft"))</f>
        <v>2</v>
      </c>
      <c r="S103" s="19">
        <f>IF($A103="","",COUNTIFS([1]Products!$G$4:$G$4801,$A103,[1]Products!$L$4:$L$4801,"Yes",[1]Products!$K$4:$K$4801,"Package"))</f>
        <v>4</v>
      </c>
      <c r="T103" s="20" t="str" cm="1">
        <f t="array" ref="T103">IF($A103="","",_xlfn.IFS($Q103=0,"NO ACTIVE SKUs",AND($R103&gt;0,$S103&gt;0),"Draft &amp; Package",$R103&gt;0,"Draft only",TRUE,"Package only"))</f>
        <v>Draft &amp; Package</v>
      </c>
    </row>
    <row r="104" spans="1:20" x14ac:dyDescent="0.2">
      <c r="A104" s="9" t="str">
        <v>Fever Tree</v>
      </c>
      <c r="B104" s="10" t="str">
        <f>IF($A104="","",_xlfn.XLOOKUP($A104,'[1]Brand Family Territory (Enc)'!$A:$A,'[1]Brand Family Territory (Enc)'!$B:$B,"** NO TERRITORY SET **"))</f>
        <v>Core Market</v>
      </c>
      <c r="C104" s="11" t="str">
        <f>IF($A104="","",_xlfn.LET(_xlpm.t,MATCH($B104,'[1]Territory Definitions'!$B$5:$B$14,0),IF(ISNA(_xlpm.t),"NO TERRITORY",IF(INDEX('[1]Territory Definitions'!$D$5:$M$14,_xlpm.t,MATCH(C$4,'[1]Territory Definitions'!$D$4:$M$4,0))&lt;&gt;1,"NOT IN TERRITORY",IF(COUNTIFS('[1]Blackout Brand Fam Areas (Enc)'!$B$6:$B$998,$A104,'[1]Blackout Brand Fam Areas (Enc)'!$C$6:$C$998,C$4,'[1]Blackout Brand Fam Areas (Enc)'!$D$6:$D$998,"Inactive")&gt;0,"BLOCKED","CAN SELL")))))</f>
        <v>CAN SELL</v>
      </c>
      <c r="D104" s="11" t="str">
        <f>IF($A104="","",_xlfn.LET(_xlpm.t,MATCH($B104,'[1]Territory Definitions'!$B$5:$B$14,0),IF(ISNA(_xlpm.t),"NO TERRITORY",IF(INDEX('[1]Territory Definitions'!$D$5:$M$14,_xlpm.t,MATCH(D$4,'[1]Territory Definitions'!$D$4:$M$4,0))&lt;&gt;1,"NOT IN TERRITORY",IF(COUNTIFS('[1]Blackout Brand Fam Areas (Enc)'!$B$6:$B$998,$A104,'[1]Blackout Brand Fam Areas (Enc)'!$C$6:$C$998,D$4,'[1]Blackout Brand Fam Areas (Enc)'!$D$6:$D$998,"Inactive")&gt;0,"BLOCKED","CAN SELL")))))</f>
        <v>CAN SELL</v>
      </c>
      <c r="E104" s="11" t="str">
        <f>IF($A104="","",_xlfn.LET(_xlpm.t,MATCH($B104,'[1]Territory Definitions'!$B$5:$B$14,0),IF(ISNA(_xlpm.t),"NO TERRITORY",IF(INDEX('[1]Territory Definitions'!$D$5:$M$14,_xlpm.t,MATCH(E$4,'[1]Territory Definitions'!$D$4:$M$4,0))&lt;&gt;1,"NOT IN TERRITORY",IF(COUNTIFS('[1]Blackout Brand Fam Areas (Enc)'!$B$6:$B$998,$A104,'[1]Blackout Brand Fam Areas (Enc)'!$C$6:$C$998,E$4,'[1]Blackout Brand Fam Areas (Enc)'!$D$6:$D$998,"Inactive")&gt;0,"BLOCKED","CAN SELL")))))</f>
        <v>CAN SELL</v>
      </c>
      <c r="F104" s="11" t="str">
        <f>IF($A104="","",_xlfn.LET(_xlpm.t,MATCH($B104,'[1]Territory Definitions'!$B$5:$B$14,0),IF(ISNA(_xlpm.t),"NO TERRITORY",IF(INDEX('[1]Territory Definitions'!$D$5:$M$14,_xlpm.t,MATCH(F$4,'[1]Territory Definitions'!$D$4:$M$4,0))&lt;&gt;1,"NOT IN TERRITORY",IF(COUNTIFS('[1]Blackout Brand Fam Areas (Enc)'!$B$6:$B$998,$A104,'[1]Blackout Brand Fam Areas (Enc)'!$C$6:$C$998,F$4,'[1]Blackout Brand Fam Areas (Enc)'!$D$6:$D$998,"Inactive")&gt;0,"BLOCKED","CAN SELL")))))</f>
        <v>NOT IN TERRITORY</v>
      </c>
      <c r="G104" s="11" t="str">
        <f>IF($A104="","",_xlfn.LET(_xlpm.t,MATCH($B104,'[1]Territory Definitions'!$B$5:$B$14,0),IF(ISNA(_xlpm.t),"NO TERRITORY",IF(INDEX('[1]Territory Definitions'!$D$5:$M$14,_xlpm.t,MATCH(G$4,'[1]Territory Definitions'!$D$4:$M$4,0))&lt;&gt;1,"NOT IN TERRITORY",IF(COUNTIFS('[1]Blackout Brand Fam Areas (Enc)'!$B$6:$B$998,$A104,'[1]Blackout Brand Fam Areas (Enc)'!$C$6:$C$998,G$4,'[1]Blackout Brand Fam Areas (Enc)'!$D$6:$D$998,"Inactive")&gt;0,"BLOCKED","CAN SELL")))))</f>
        <v>NOT IN TERRITORY</v>
      </c>
      <c r="H104" s="11" t="str">
        <f>IF($A104="","",_xlfn.LET(_xlpm.t,MATCH($B104,'[1]Territory Definitions'!$B$5:$B$14,0),IF(ISNA(_xlpm.t),"NO TERRITORY",IF(INDEX('[1]Territory Definitions'!$D$5:$M$14,_xlpm.t,MATCH(H$4,'[1]Territory Definitions'!$D$4:$M$4,0))&lt;&gt;1,"NOT IN TERRITORY",IF(COUNTIFS('[1]Blackout Brand Fam Areas (Enc)'!$B$6:$B$998,$A104,'[1]Blackout Brand Fam Areas (Enc)'!$C$6:$C$998,H$4,'[1]Blackout Brand Fam Areas (Enc)'!$D$6:$D$998,"Inactive")&gt;0,"BLOCKED","CAN SELL")))))</f>
        <v>NOT IN TERRITORY</v>
      </c>
      <c r="I104" s="11" t="str">
        <f>IF($A104="","",_xlfn.LET(_xlpm.t,MATCH($B104,'[1]Territory Definitions'!$B$5:$B$14,0),IF(ISNA(_xlpm.t),"NO TERRITORY",IF(INDEX('[1]Territory Definitions'!$D$5:$M$14,_xlpm.t,MATCH(I$4,'[1]Territory Definitions'!$D$4:$M$4,0))&lt;&gt;1,"NOT IN TERRITORY",IF(COUNTIFS('[1]Blackout Brand Fam Areas (Enc)'!$B$6:$B$998,$A104,'[1]Blackout Brand Fam Areas (Enc)'!$C$6:$C$998,I$4,'[1]Blackout Brand Fam Areas (Enc)'!$D$6:$D$998,"Inactive")&gt;0,"BLOCKED","CAN SELL")))))</f>
        <v>CAN SELL</v>
      </c>
      <c r="J104" s="11" t="str">
        <f>IF($A104="","",_xlfn.LET(_xlpm.t,MATCH($B104,'[1]Territory Definitions'!$B$5:$B$14,0),IF(ISNA(_xlpm.t),"NO TERRITORY",IF(INDEX('[1]Territory Definitions'!$D$5:$M$14,_xlpm.t,MATCH(J$4,'[1]Territory Definitions'!$D$4:$M$4,0))&lt;&gt;1,"NOT IN TERRITORY",IF(COUNTIFS('[1]Blackout Brand Fam Areas (Enc)'!$B$6:$B$998,$A104,'[1]Blackout Brand Fam Areas (Enc)'!$C$6:$C$998,J$4,'[1]Blackout Brand Fam Areas (Enc)'!$D$6:$D$998,"Inactive")&gt;0,"BLOCKED","CAN SELL")))))</f>
        <v>CAN SELL</v>
      </c>
      <c r="K104" s="11" t="str">
        <f>IF($A104="","",_xlfn.LET(_xlpm.t,MATCH($B104,'[1]Territory Definitions'!$B$5:$B$14,0),IF(ISNA(_xlpm.t),"NO TERRITORY",IF(INDEX('[1]Territory Definitions'!$D$5:$M$14,_xlpm.t,MATCH(K$4,'[1]Territory Definitions'!$D$4:$M$4,0))&lt;&gt;1,"NOT IN TERRITORY",IF(COUNTIFS('[1]Blackout Brand Fam Areas (Enc)'!$B$6:$B$998,$A104,'[1]Blackout Brand Fam Areas (Enc)'!$C$6:$C$998,K$4,'[1]Blackout Brand Fam Areas (Enc)'!$D$6:$D$998,"Inactive")&gt;0,"BLOCKED","CAN SELL")))))</f>
        <v>NOT IN TERRITORY</v>
      </c>
      <c r="L104" s="11" t="str">
        <f>IF($A104="","",_xlfn.LET(_xlpm.t,MATCH($B104,'[1]Territory Definitions'!$B$5:$B$14,0),IF(ISNA(_xlpm.t),"NO TERRITORY",IF(INDEX('[1]Territory Definitions'!$D$5:$M$14,_xlpm.t,MATCH(L$4,'[1]Territory Definitions'!$D$4:$M$4,0))&lt;&gt;1,"NOT IN TERRITORY",IF(COUNTIFS('[1]Blackout Brand Fam Areas (Enc)'!$B$6:$B$998,$A104,'[1]Blackout Brand Fam Areas (Enc)'!$C$6:$C$998,L$4,'[1]Blackout Brand Fam Areas (Enc)'!$D$6:$D$998,"Inactive")&gt;0,"BLOCKED","CAN SELL")))))</f>
        <v>CAN SELL</v>
      </c>
      <c r="M104" s="12">
        <f>IF($A104="","",COUNTIF($C104:$L104,"CAN SELL"))</f>
        <v>6</v>
      </c>
      <c r="N104" s="13" cm="1">
        <f t="array" ref="N104">IF($A104="","",SUMPRODUCT(($C104:$L104="CAN SELL")*$C$3:$L$3))</f>
        <v>1596</v>
      </c>
      <c r="O104" s="14" t="str">
        <f>IF($A104="","",IF(COUNTIF($A$5:$A$299,$A104)&gt;1,"DUPLICATE - two different territories assigned",IF($B104="** NO TERRITORY SET **","No territory on Brand Family Territory (Enc)","")))</f>
        <v/>
      </c>
      <c r="P104" s="18" t="str">
        <f>IF($A104="","",IFERROR(INDEX([1]Products!$H$4:$H$4801,MATCH($A104,[1]Products!$G$4:$G$4801,0)),"(no products)"))</f>
        <v>MolsonCoors Beverage Company</v>
      </c>
      <c r="Q104" s="19">
        <f>IF($A104="","",COUNTIFS([1]Products!$G$4:$G$4801,$A104,[1]Products!$L$4:$L$4801,"Yes"))</f>
        <v>32</v>
      </c>
      <c r="R104" s="19">
        <f>IF($A104="","",COUNTIFS([1]Products!$G$4:$G$4801,$A104,[1]Products!$L$4:$L$4801,"Yes",[1]Products!$K$4:$K$4801,"Draft"))</f>
        <v>0</v>
      </c>
      <c r="S104" s="19">
        <f>IF($A104="","",COUNTIFS([1]Products!$G$4:$G$4801,$A104,[1]Products!$L$4:$L$4801,"Yes",[1]Products!$K$4:$K$4801,"Package"))</f>
        <v>32</v>
      </c>
      <c r="T104" s="20" t="str" cm="1">
        <f t="array" ref="T104">IF($A104="","",_xlfn.IFS($Q104=0,"NO ACTIVE SKUs",AND($R104&gt;0,$S104&gt;0),"Draft &amp; Package",$R104&gt;0,"Draft only",TRUE,"Package only"))</f>
        <v>Package only</v>
      </c>
    </row>
    <row r="105" spans="1:20" x14ac:dyDescent="0.2">
      <c r="A105" s="9" t="str">
        <v>Five O'Clock</v>
      </c>
      <c r="B105" s="10" t="str">
        <f>IF($A105="","",_xlfn.XLOOKUP($A105,'[1]Brand Family Territory (Enc)'!$A:$A,'[1]Brand Family Territory (Enc)'!$B:$B,"** NO TERRITORY SET **"))</f>
        <v>All Counties</v>
      </c>
      <c r="C105" s="11" t="str">
        <f>IF($A105="","",_xlfn.LET(_xlpm.t,MATCH($B105,'[1]Territory Definitions'!$B$5:$B$14,0),IF(ISNA(_xlpm.t),"NO TERRITORY",IF(INDEX('[1]Territory Definitions'!$D$5:$M$14,_xlpm.t,MATCH(C$4,'[1]Territory Definitions'!$D$4:$M$4,0))&lt;&gt;1,"NOT IN TERRITORY",IF(COUNTIFS('[1]Blackout Brand Fam Areas (Enc)'!$B$6:$B$998,$A105,'[1]Blackout Brand Fam Areas (Enc)'!$C$6:$C$998,C$4,'[1]Blackout Brand Fam Areas (Enc)'!$D$6:$D$998,"Inactive")&gt;0,"BLOCKED","CAN SELL")))))</f>
        <v>CAN SELL</v>
      </c>
      <c r="D105" s="11" t="str">
        <f>IF($A105="","",_xlfn.LET(_xlpm.t,MATCH($B105,'[1]Territory Definitions'!$B$5:$B$14,0),IF(ISNA(_xlpm.t),"NO TERRITORY",IF(INDEX('[1]Territory Definitions'!$D$5:$M$14,_xlpm.t,MATCH(D$4,'[1]Territory Definitions'!$D$4:$M$4,0))&lt;&gt;1,"NOT IN TERRITORY",IF(COUNTIFS('[1]Blackout Brand Fam Areas (Enc)'!$B$6:$B$998,$A105,'[1]Blackout Brand Fam Areas (Enc)'!$C$6:$C$998,D$4,'[1]Blackout Brand Fam Areas (Enc)'!$D$6:$D$998,"Inactive")&gt;0,"BLOCKED","CAN SELL")))))</f>
        <v>CAN SELL</v>
      </c>
      <c r="E105" s="11" t="str">
        <f>IF($A105="","",_xlfn.LET(_xlpm.t,MATCH($B105,'[1]Territory Definitions'!$B$5:$B$14,0),IF(ISNA(_xlpm.t),"NO TERRITORY",IF(INDEX('[1]Territory Definitions'!$D$5:$M$14,_xlpm.t,MATCH(E$4,'[1]Territory Definitions'!$D$4:$M$4,0))&lt;&gt;1,"NOT IN TERRITORY",IF(COUNTIFS('[1]Blackout Brand Fam Areas (Enc)'!$B$6:$B$998,$A105,'[1]Blackout Brand Fam Areas (Enc)'!$C$6:$C$998,E$4,'[1]Blackout Brand Fam Areas (Enc)'!$D$6:$D$998,"Inactive")&gt;0,"BLOCKED","CAN SELL")))))</f>
        <v>CAN SELL</v>
      </c>
      <c r="F105" s="11" t="str">
        <f>IF($A105="","",_xlfn.LET(_xlpm.t,MATCH($B105,'[1]Territory Definitions'!$B$5:$B$14,0),IF(ISNA(_xlpm.t),"NO TERRITORY",IF(INDEX('[1]Territory Definitions'!$D$5:$M$14,_xlpm.t,MATCH(F$4,'[1]Territory Definitions'!$D$4:$M$4,0))&lt;&gt;1,"NOT IN TERRITORY",IF(COUNTIFS('[1]Blackout Brand Fam Areas (Enc)'!$B$6:$B$998,$A105,'[1]Blackout Brand Fam Areas (Enc)'!$C$6:$C$998,F$4,'[1]Blackout Brand Fam Areas (Enc)'!$D$6:$D$998,"Inactive")&gt;0,"BLOCKED","CAN SELL")))))</f>
        <v>CAN SELL</v>
      </c>
      <c r="G105" s="11" t="str">
        <f>IF($A105="","",_xlfn.LET(_xlpm.t,MATCH($B105,'[1]Territory Definitions'!$B$5:$B$14,0),IF(ISNA(_xlpm.t),"NO TERRITORY",IF(INDEX('[1]Territory Definitions'!$D$5:$M$14,_xlpm.t,MATCH(G$4,'[1]Territory Definitions'!$D$4:$M$4,0))&lt;&gt;1,"NOT IN TERRITORY",IF(COUNTIFS('[1]Blackout Brand Fam Areas (Enc)'!$B$6:$B$998,$A105,'[1]Blackout Brand Fam Areas (Enc)'!$C$6:$C$998,G$4,'[1]Blackout Brand Fam Areas (Enc)'!$D$6:$D$998,"Inactive")&gt;0,"BLOCKED","CAN SELL")))))</f>
        <v>CAN SELL</v>
      </c>
      <c r="H105" s="11" t="str">
        <f>IF($A105="","",_xlfn.LET(_xlpm.t,MATCH($B105,'[1]Territory Definitions'!$B$5:$B$14,0),IF(ISNA(_xlpm.t),"NO TERRITORY",IF(INDEX('[1]Territory Definitions'!$D$5:$M$14,_xlpm.t,MATCH(H$4,'[1]Territory Definitions'!$D$4:$M$4,0))&lt;&gt;1,"NOT IN TERRITORY",IF(COUNTIFS('[1]Blackout Brand Fam Areas (Enc)'!$B$6:$B$998,$A105,'[1]Blackout Brand Fam Areas (Enc)'!$C$6:$C$998,H$4,'[1]Blackout Brand Fam Areas (Enc)'!$D$6:$D$998,"Inactive")&gt;0,"BLOCKED","CAN SELL")))))</f>
        <v>CAN SELL</v>
      </c>
      <c r="I105" s="11" t="str">
        <f>IF($A105="","",_xlfn.LET(_xlpm.t,MATCH($B105,'[1]Territory Definitions'!$B$5:$B$14,0),IF(ISNA(_xlpm.t),"NO TERRITORY",IF(INDEX('[1]Territory Definitions'!$D$5:$M$14,_xlpm.t,MATCH(I$4,'[1]Territory Definitions'!$D$4:$M$4,0))&lt;&gt;1,"NOT IN TERRITORY",IF(COUNTIFS('[1]Blackout Brand Fam Areas (Enc)'!$B$6:$B$998,$A105,'[1]Blackout Brand Fam Areas (Enc)'!$C$6:$C$998,I$4,'[1]Blackout Brand Fam Areas (Enc)'!$D$6:$D$998,"Inactive")&gt;0,"BLOCKED","CAN SELL")))))</f>
        <v>CAN SELL</v>
      </c>
      <c r="J105" s="11" t="str">
        <f>IF($A105="","",_xlfn.LET(_xlpm.t,MATCH($B105,'[1]Territory Definitions'!$B$5:$B$14,0),IF(ISNA(_xlpm.t),"NO TERRITORY",IF(INDEX('[1]Territory Definitions'!$D$5:$M$14,_xlpm.t,MATCH(J$4,'[1]Territory Definitions'!$D$4:$M$4,0))&lt;&gt;1,"NOT IN TERRITORY",IF(COUNTIFS('[1]Blackout Brand Fam Areas (Enc)'!$B$6:$B$998,$A105,'[1]Blackout Brand Fam Areas (Enc)'!$C$6:$C$998,J$4,'[1]Blackout Brand Fam Areas (Enc)'!$D$6:$D$998,"Inactive")&gt;0,"BLOCKED","CAN SELL")))))</f>
        <v>CAN SELL</v>
      </c>
      <c r="K105" s="11" t="str">
        <f>IF($A105="","",_xlfn.LET(_xlpm.t,MATCH($B105,'[1]Territory Definitions'!$B$5:$B$14,0),IF(ISNA(_xlpm.t),"NO TERRITORY",IF(INDEX('[1]Territory Definitions'!$D$5:$M$14,_xlpm.t,MATCH(K$4,'[1]Territory Definitions'!$D$4:$M$4,0))&lt;&gt;1,"NOT IN TERRITORY",IF(COUNTIFS('[1]Blackout Brand Fam Areas (Enc)'!$B$6:$B$998,$A105,'[1]Blackout Brand Fam Areas (Enc)'!$C$6:$C$998,K$4,'[1]Blackout Brand Fam Areas (Enc)'!$D$6:$D$998,"Inactive")&gt;0,"BLOCKED","CAN SELL")))))</f>
        <v>CAN SELL</v>
      </c>
      <c r="L105" s="11" t="str">
        <f>IF($A105="","",_xlfn.LET(_xlpm.t,MATCH($B105,'[1]Territory Definitions'!$B$5:$B$14,0),IF(ISNA(_xlpm.t),"NO TERRITORY",IF(INDEX('[1]Territory Definitions'!$D$5:$M$14,_xlpm.t,MATCH(L$4,'[1]Territory Definitions'!$D$4:$M$4,0))&lt;&gt;1,"NOT IN TERRITORY",IF(COUNTIFS('[1]Blackout Brand Fam Areas (Enc)'!$B$6:$B$998,$A105,'[1]Blackout Brand Fam Areas (Enc)'!$C$6:$C$998,L$4,'[1]Blackout Brand Fam Areas (Enc)'!$D$6:$D$998,"Inactive")&gt;0,"BLOCKED","CAN SELL")))))</f>
        <v>CAN SELL</v>
      </c>
      <c r="M105" s="12">
        <f>IF($A105="","",COUNTIF($C105:$L105,"CAN SELL"))</f>
        <v>10</v>
      </c>
      <c r="N105" s="13" cm="1">
        <f t="array" ref="N105">IF($A105="","",SUMPRODUCT(($C105:$L105="CAN SELL")*$C$3:$L$3))</f>
        <v>2306</v>
      </c>
      <c r="O105" s="14" t="str">
        <f>IF($A105="","",IF(COUNTIF($A$5:$A$299,$A105)&gt;1,"DUPLICATE - two different territories assigned",IF($B105="** NO TERRITORY SET **","No territory on Brand Family Territory (Enc)","")))</f>
        <v/>
      </c>
      <c r="P105" s="18" t="str">
        <f>IF($A105="","",IFERROR(INDEX([1]Products!$H$4:$H$4801,MATCH($A105,[1]Products!$G$4:$G$4801,0)),"(no products)"))</f>
        <v>Laird &amp; Company</v>
      </c>
      <c r="Q105" s="19">
        <f>IF($A105="","",COUNTIFS([1]Products!$G$4:$G$4801,$A105,[1]Products!$L$4:$L$4801,"Yes"))</f>
        <v>0</v>
      </c>
      <c r="R105" s="19">
        <f>IF($A105="","",COUNTIFS([1]Products!$G$4:$G$4801,$A105,[1]Products!$L$4:$L$4801,"Yes",[1]Products!$K$4:$K$4801,"Draft"))</f>
        <v>0</v>
      </c>
      <c r="S105" s="19">
        <f>IF($A105="","",COUNTIFS([1]Products!$G$4:$G$4801,$A105,[1]Products!$L$4:$L$4801,"Yes",[1]Products!$K$4:$K$4801,"Package"))</f>
        <v>0</v>
      </c>
      <c r="T105" s="20" t="str" cm="1">
        <f t="array" ref="T105">IF($A105="","",_xlfn.IFS($Q105=0,"NO ACTIVE SKUs",AND($R105&gt;0,$S105&gt;0),"Draft &amp; Package",$R105&gt;0,"Draft only",TRUE,"Package only"))</f>
        <v>NO ACTIVE SKUs</v>
      </c>
    </row>
    <row r="106" spans="1:20" x14ac:dyDescent="0.2">
      <c r="A106" s="9" t="str">
        <v>Fiveislands</v>
      </c>
      <c r="B106" s="10" t="str">
        <f>IF($A106="","",_xlfn.XLOOKUP($A106,'[1]Brand Family Territory (Enc)'!$A:$A,'[1]Brand Family Territory (Enc)'!$B:$B,"** NO TERRITORY SET **"))</f>
        <v>Core Market</v>
      </c>
      <c r="C106" s="11" t="str">
        <f>IF($A106="","",_xlfn.LET(_xlpm.t,MATCH($B106,'[1]Territory Definitions'!$B$5:$B$14,0),IF(ISNA(_xlpm.t),"NO TERRITORY",IF(INDEX('[1]Territory Definitions'!$D$5:$M$14,_xlpm.t,MATCH(C$4,'[1]Territory Definitions'!$D$4:$M$4,0))&lt;&gt;1,"NOT IN TERRITORY",IF(COUNTIFS('[1]Blackout Brand Fam Areas (Enc)'!$B$6:$B$998,$A106,'[1]Blackout Brand Fam Areas (Enc)'!$C$6:$C$998,C$4,'[1]Blackout Brand Fam Areas (Enc)'!$D$6:$D$998,"Inactive")&gt;0,"BLOCKED","CAN SELL")))))</f>
        <v>CAN SELL</v>
      </c>
      <c r="D106" s="11" t="str">
        <f>IF($A106="","",_xlfn.LET(_xlpm.t,MATCH($B106,'[1]Territory Definitions'!$B$5:$B$14,0),IF(ISNA(_xlpm.t),"NO TERRITORY",IF(INDEX('[1]Territory Definitions'!$D$5:$M$14,_xlpm.t,MATCH(D$4,'[1]Territory Definitions'!$D$4:$M$4,0))&lt;&gt;1,"NOT IN TERRITORY",IF(COUNTIFS('[1]Blackout Brand Fam Areas (Enc)'!$B$6:$B$998,$A106,'[1]Blackout Brand Fam Areas (Enc)'!$C$6:$C$998,D$4,'[1]Blackout Brand Fam Areas (Enc)'!$D$6:$D$998,"Inactive")&gt;0,"BLOCKED","CAN SELL")))))</f>
        <v>CAN SELL</v>
      </c>
      <c r="E106" s="11" t="str">
        <f>IF($A106="","",_xlfn.LET(_xlpm.t,MATCH($B106,'[1]Territory Definitions'!$B$5:$B$14,0),IF(ISNA(_xlpm.t),"NO TERRITORY",IF(INDEX('[1]Territory Definitions'!$D$5:$M$14,_xlpm.t,MATCH(E$4,'[1]Territory Definitions'!$D$4:$M$4,0))&lt;&gt;1,"NOT IN TERRITORY",IF(COUNTIFS('[1]Blackout Brand Fam Areas (Enc)'!$B$6:$B$998,$A106,'[1]Blackout Brand Fam Areas (Enc)'!$C$6:$C$998,E$4,'[1]Blackout Brand Fam Areas (Enc)'!$D$6:$D$998,"Inactive")&gt;0,"BLOCKED","CAN SELL")))))</f>
        <v>CAN SELL</v>
      </c>
      <c r="F106" s="11" t="str">
        <f>IF($A106="","",_xlfn.LET(_xlpm.t,MATCH($B106,'[1]Territory Definitions'!$B$5:$B$14,0),IF(ISNA(_xlpm.t),"NO TERRITORY",IF(INDEX('[1]Territory Definitions'!$D$5:$M$14,_xlpm.t,MATCH(F$4,'[1]Territory Definitions'!$D$4:$M$4,0))&lt;&gt;1,"NOT IN TERRITORY",IF(COUNTIFS('[1]Blackout Brand Fam Areas (Enc)'!$B$6:$B$998,$A106,'[1]Blackout Brand Fam Areas (Enc)'!$C$6:$C$998,F$4,'[1]Blackout Brand Fam Areas (Enc)'!$D$6:$D$998,"Inactive")&gt;0,"BLOCKED","CAN SELL")))))</f>
        <v>NOT IN TERRITORY</v>
      </c>
      <c r="G106" s="11" t="str">
        <f>IF($A106="","",_xlfn.LET(_xlpm.t,MATCH($B106,'[1]Territory Definitions'!$B$5:$B$14,0),IF(ISNA(_xlpm.t),"NO TERRITORY",IF(INDEX('[1]Territory Definitions'!$D$5:$M$14,_xlpm.t,MATCH(G$4,'[1]Territory Definitions'!$D$4:$M$4,0))&lt;&gt;1,"NOT IN TERRITORY",IF(COUNTIFS('[1]Blackout Brand Fam Areas (Enc)'!$B$6:$B$998,$A106,'[1]Blackout Brand Fam Areas (Enc)'!$C$6:$C$998,G$4,'[1]Blackout Brand Fam Areas (Enc)'!$D$6:$D$998,"Inactive")&gt;0,"BLOCKED","CAN SELL")))))</f>
        <v>NOT IN TERRITORY</v>
      </c>
      <c r="H106" s="11" t="str">
        <f>IF($A106="","",_xlfn.LET(_xlpm.t,MATCH($B106,'[1]Territory Definitions'!$B$5:$B$14,0),IF(ISNA(_xlpm.t),"NO TERRITORY",IF(INDEX('[1]Territory Definitions'!$D$5:$M$14,_xlpm.t,MATCH(H$4,'[1]Territory Definitions'!$D$4:$M$4,0))&lt;&gt;1,"NOT IN TERRITORY",IF(COUNTIFS('[1]Blackout Brand Fam Areas (Enc)'!$B$6:$B$998,$A106,'[1]Blackout Brand Fam Areas (Enc)'!$C$6:$C$998,H$4,'[1]Blackout Brand Fam Areas (Enc)'!$D$6:$D$998,"Inactive")&gt;0,"BLOCKED","CAN SELL")))))</f>
        <v>NOT IN TERRITORY</v>
      </c>
      <c r="I106" s="11" t="str">
        <f>IF($A106="","",_xlfn.LET(_xlpm.t,MATCH($B106,'[1]Territory Definitions'!$B$5:$B$14,0),IF(ISNA(_xlpm.t),"NO TERRITORY",IF(INDEX('[1]Territory Definitions'!$D$5:$M$14,_xlpm.t,MATCH(I$4,'[1]Territory Definitions'!$D$4:$M$4,0))&lt;&gt;1,"NOT IN TERRITORY",IF(COUNTIFS('[1]Blackout Brand Fam Areas (Enc)'!$B$6:$B$998,$A106,'[1]Blackout Brand Fam Areas (Enc)'!$C$6:$C$998,I$4,'[1]Blackout Brand Fam Areas (Enc)'!$D$6:$D$998,"Inactive")&gt;0,"BLOCKED","CAN SELL")))))</f>
        <v>CAN SELL</v>
      </c>
      <c r="J106" s="11" t="str">
        <f>IF($A106="","",_xlfn.LET(_xlpm.t,MATCH($B106,'[1]Territory Definitions'!$B$5:$B$14,0),IF(ISNA(_xlpm.t),"NO TERRITORY",IF(INDEX('[1]Territory Definitions'!$D$5:$M$14,_xlpm.t,MATCH(J$4,'[1]Territory Definitions'!$D$4:$M$4,0))&lt;&gt;1,"NOT IN TERRITORY",IF(COUNTIFS('[1]Blackout Brand Fam Areas (Enc)'!$B$6:$B$998,$A106,'[1]Blackout Brand Fam Areas (Enc)'!$C$6:$C$998,J$4,'[1]Blackout Brand Fam Areas (Enc)'!$D$6:$D$998,"Inactive")&gt;0,"BLOCKED","CAN SELL")))))</f>
        <v>CAN SELL</v>
      </c>
      <c r="K106" s="11" t="str">
        <f>IF($A106="","",_xlfn.LET(_xlpm.t,MATCH($B106,'[1]Territory Definitions'!$B$5:$B$14,0),IF(ISNA(_xlpm.t),"NO TERRITORY",IF(INDEX('[1]Territory Definitions'!$D$5:$M$14,_xlpm.t,MATCH(K$4,'[1]Territory Definitions'!$D$4:$M$4,0))&lt;&gt;1,"NOT IN TERRITORY",IF(COUNTIFS('[1]Blackout Brand Fam Areas (Enc)'!$B$6:$B$998,$A106,'[1]Blackout Brand Fam Areas (Enc)'!$C$6:$C$998,K$4,'[1]Blackout Brand Fam Areas (Enc)'!$D$6:$D$998,"Inactive")&gt;0,"BLOCKED","CAN SELL")))))</f>
        <v>NOT IN TERRITORY</v>
      </c>
      <c r="L106" s="11" t="str">
        <f>IF($A106="","",_xlfn.LET(_xlpm.t,MATCH($B106,'[1]Territory Definitions'!$B$5:$B$14,0),IF(ISNA(_xlpm.t),"NO TERRITORY",IF(INDEX('[1]Territory Definitions'!$D$5:$M$14,_xlpm.t,MATCH(L$4,'[1]Territory Definitions'!$D$4:$M$4,0))&lt;&gt;1,"NOT IN TERRITORY",IF(COUNTIFS('[1]Blackout Brand Fam Areas (Enc)'!$B$6:$B$998,$A106,'[1]Blackout Brand Fam Areas (Enc)'!$C$6:$C$998,L$4,'[1]Blackout Brand Fam Areas (Enc)'!$D$6:$D$998,"Inactive")&gt;0,"BLOCKED","CAN SELL")))))</f>
        <v>CAN SELL</v>
      </c>
      <c r="M106" s="12">
        <f>IF($A106="","",COUNTIF($C106:$L106,"CAN SELL"))</f>
        <v>6</v>
      </c>
      <c r="N106" s="13" cm="1">
        <f t="array" ref="N106">IF($A106="","",SUMPRODUCT(($C106:$L106="CAN SELL")*$C$3:$L$3))</f>
        <v>1596</v>
      </c>
      <c r="O106" s="14" t="str">
        <f>IF($A106="","",IF(COUNTIF($A$5:$A$299,$A106)&gt;1,"DUPLICATE - two different territories assigned",IF($B106="** NO TERRITORY SET **","No territory on Brand Family Territory (Enc)","")))</f>
        <v/>
      </c>
      <c r="P106" s="18" t="str">
        <f>IF($A106="","",IFERROR(INDEX([1]Products!$H$4:$H$4801,MATCH($A106,[1]Products!$G$4:$G$4801,0)),"(no products)"))</f>
        <v>Modern Infusions</v>
      </c>
      <c r="Q106" s="19">
        <f>IF($A106="","",COUNTIFS([1]Products!$G$4:$G$4801,$A106,[1]Products!$L$4:$L$4801,"Yes"))</f>
        <v>3</v>
      </c>
      <c r="R106" s="19">
        <f>IF($A106="","",COUNTIFS([1]Products!$G$4:$G$4801,$A106,[1]Products!$L$4:$L$4801,"Yes",[1]Products!$K$4:$K$4801,"Draft"))</f>
        <v>0</v>
      </c>
      <c r="S106" s="19">
        <f>IF($A106="","",COUNTIFS([1]Products!$G$4:$G$4801,$A106,[1]Products!$L$4:$L$4801,"Yes",[1]Products!$K$4:$K$4801,"Package"))</f>
        <v>3</v>
      </c>
      <c r="T106" s="20" t="str" cm="1">
        <f t="array" ref="T106">IF($A106="","",_xlfn.IFS($Q106=0,"NO ACTIVE SKUs",AND($R106&gt;0,$S106&gt;0),"Draft &amp; Package",$R106&gt;0,"Draft only",TRUE,"Package only"))</f>
        <v>Package only</v>
      </c>
    </row>
    <row r="107" spans="1:20" x14ac:dyDescent="0.2">
      <c r="A107" s="9" t="str">
        <v>Fizzy Jane</v>
      </c>
      <c r="B107" s="10" t="str">
        <f>IF($A107="","",_xlfn.XLOOKUP($A107,'[1]Brand Family Territory (Enc)'!$A:$A,'[1]Brand Family Territory (Enc)'!$B:$B,"** NO TERRITORY SET **"))</f>
        <v>All Counties</v>
      </c>
      <c r="C107" s="11" t="str">
        <f>IF($A107="","",_xlfn.LET(_xlpm.t,MATCH($B107,'[1]Territory Definitions'!$B$5:$B$14,0),IF(ISNA(_xlpm.t),"NO TERRITORY",IF(INDEX('[1]Territory Definitions'!$D$5:$M$14,_xlpm.t,MATCH(C$4,'[1]Territory Definitions'!$D$4:$M$4,0))&lt;&gt;1,"NOT IN TERRITORY",IF(COUNTIFS('[1]Blackout Brand Fam Areas (Enc)'!$B$6:$B$998,$A107,'[1]Blackout Brand Fam Areas (Enc)'!$C$6:$C$998,C$4,'[1]Blackout Brand Fam Areas (Enc)'!$D$6:$D$998,"Inactive")&gt;0,"BLOCKED","CAN SELL")))))</f>
        <v>CAN SELL</v>
      </c>
      <c r="D107" s="11" t="str">
        <f>IF($A107="","",_xlfn.LET(_xlpm.t,MATCH($B107,'[1]Territory Definitions'!$B$5:$B$14,0),IF(ISNA(_xlpm.t),"NO TERRITORY",IF(INDEX('[1]Territory Definitions'!$D$5:$M$14,_xlpm.t,MATCH(D$4,'[1]Territory Definitions'!$D$4:$M$4,0))&lt;&gt;1,"NOT IN TERRITORY",IF(COUNTIFS('[1]Blackout Brand Fam Areas (Enc)'!$B$6:$B$998,$A107,'[1]Blackout Brand Fam Areas (Enc)'!$C$6:$C$998,D$4,'[1]Blackout Brand Fam Areas (Enc)'!$D$6:$D$998,"Inactive")&gt;0,"BLOCKED","CAN SELL")))))</f>
        <v>CAN SELL</v>
      </c>
      <c r="E107" s="11" t="str">
        <f>IF($A107="","",_xlfn.LET(_xlpm.t,MATCH($B107,'[1]Territory Definitions'!$B$5:$B$14,0),IF(ISNA(_xlpm.t),"NO TERRITORY",IF(INDEX('[1]Territory Definitions'!$D$5:$M$14,_xlpm.t,MATCH(E$4,'[1]Territory Definitions'!$D$4:$M$4,0))&lt;&gt;1,"NOT IN TERRITORY",IF(COUNTIFS('[1]Blackout Brand Fam Areas (Enc)'!$B$6:$B$998,$A107,'[1]Blackout Brand Fam Areas (Enc)'!$C$6:$C$998,E$4,'[1]Blackout Brand Fam Areas (Enc)'!$D$6:$D$998,"Inactive")&gt;0,"BLOCKED","CAN SELL")))))</f>
        <v>CAN SELL</v>
      </c>
      <c r="F107" s="11" t="str">
        <f>IF($A107="","",_xlfn.LET(_xlpm.t,MATCH($B107,'[1]Territory Definitions'!$B$5:$B$14,0),IF(ISNA(_xlpm.t),"NO TERRITORY",IF(INDEX('[1]Territory Definitions'!$D$5:$M$14,_xlpm.t,MATCH(F$4,'[1]Territory Definitions'!$D$4:$M$4,0))&lt;&gt;1,"NOT IN TERRITORY",IF(COUNTIFS('[1]Blackout Brand Fam Areas (Enc)'!$B$6:$B$998,$A107,'[1]Blackout Brand Fam Areas (Enc)'!$C$6:$C$998,F$4,'[1]Blackout Brand Fam Areas (Enc)'!$D$6:$D$998,"Inactive")&gt;0,"BLOCKED","CAN SELL")))))</f>
        <v>CAN SELL</v>
      </c>
      <c r="G107" s="11" t="str">
        <f>IF($A107="","",_xlfn.LET(_xlpm.t,MATCH($B107,'[1]Territory Definitions'!$B$5:$B$14,0),IF(ISNA(_xlpm.t),"NO TERRITORY",IF(INDEX('[1]Territory Definitions'!$D$5:$M$14,_xlpm.t,MATCH(G$4,'[1]Territory Definitions'!$D$4:$M$4,0))&lt;&gt;1,"NOT IN TERRITORY",IF(COUNTIFS('[1]Blackout Brand Fam Areas (Enc)'!$B$6:$B$998,$A107,'[1]Blackout Brand Fam Areas (Enc)'!$C$6:$C$998,G$4,'[1]Blackout Brand Fam Areas (Enc)'!$D$6:$D$998,"Inactive")&gt;0,"BLOCKED","CAN SELL")))))</f>
        <v>CAN SELL</v>
      </c>
      <c r="H107" s="11" t="str">
        <f>IF($A107="","",_xlfn.LET(_xlpm.t,MATCH($B107,'[1]Territory Definitions'!$B$5:$B$14,0),IF(ISNA(_xlpm.t),"NO TERRITORY",IF(INDEX('[1]Territory Definitions'!$D$5:$M$14,_xlpm.t,MATCH(H$4,'[1]Territory Definitions'!$D$4:$M$4,0))&lt;&gt;1,"NOT IN TERRITORY",IF(COUNTIFS('[1]Blackout Brand Fam Areas (Enc)'!$B$6:$B$998,$A107,'[1]Blackout Brand Fam Areas (Enc)'!$C$6:$C$998,H$4,'[1]Blackout Brand Fam Areas (Enc)'!$D$6:$D$998,"Inactive")&gt;0,"BLOCKED","CAN SELL")))))</f>
        <v>CAN SELL</v>
      </c>
      <c r="I107" s="11" t="str">
        <f>IF($A107="","",_xlfn.LET(_xlpm.t,MATCH($B107,'[1]Territory Definitions'!$B$5:$B$14,0),IF(ISNA(_xlpm.t),"NO TERRITORY",IF(INDEX('[1]Territory Definitions'!$D$5:$M$14,_xlpm.t,MATCH(I$4,'[1]Territory Definitions'!$D$4:$M$4,0))&lt;&gt;1,"NOT IN TERRITORY",IF(COUNTIFS('[1]Blackout Brand Fam Areas (Enc)'!$B$6:$B$998,$A107,'[1]Blackout Brand Fam Areas (Enc)'!$C$6:$C$998,I$4,'[1]Blackout Brand Fam Areas (Enc)'!$D$6:$D$998,"Inactive")&gt;0,"BLOCKED","CAN SELL")))))</f>
        <v>CAN SELL</v>
      </c>
      <c r="J107" s="11" t="str">
        <f>IF($A107="","",_xlfn.LET(_xlpm.t,MATCH($B107,'[1]Territory Definitions'!$B$5:$B$14,0),IF(ISNA(_xlpm.t),"NO TERRITORY",IF(INDEX('[1]Territory Definitions'!$D$5:$M$14,_xlpm.t,MATCH(J$4,'[1]Territory Definitions'!$D$4:$M$4,0))&lt;&gt;1,"NOT IN TERRITORY",IF(COUNTIFS('[1]Blackout Brand Fam Areas (Enc)'!$B$6:$B$998,$A107,'[1]Blackout Brand Fam Areas (Enc)'!$C$6:$C$998,J$4,'[1]Blackout Brand Fam Areas (Enc)'!$D$6:$D$998,"Inactive")&gt;0,"BLOCKED","CAN SELL")))))</f>
        <v>CAN SELL</v>
      </c>
      <c r="K107" s="11" t="str">
        <f>IF($A107="","",_xlfn.LET(_xlpm.t,MATCH($B107,'[1]Territory Definitions'!$B$5:$B$14,0),IF(ISNA(_xlpm.t),"NO TERRITORY",IF(INDEX('[1]Territory Definitions'!$D$5:$M$14,_xlpm.t,MATCH(K$4,'[1]Territory Definitions'!$D$4:$M$4,0))&lt;&gt;1,"NOT IN TERRITORY",IF(COUNTIFS('[1]Blackout Brand Fam Areas (Enc)'!$B$6:$B$998,$A107,'[1]Blackout Brand Fam Areas (Enc)'!$C$6:$C$998,K$4,'[1]Blackout Brand Fam Areas (Enc)'!$D$6:$D$998,"Inactive")&gt;0,"BLOCKED","CAN SELL")))))</f>
        <v>CAN SELL</v>
      </c>
      <c r="L107" s="11" t="str">
        <f>IF($A107="","",_xlfn.LET(_xlpm.t,MATCH($B107,'[1]Territory Definitions'!$B$5:$B$14,0),IF(ISNA(_xlpm.t),"NO TERRITORY",IF(INDEX('[1]Territory Definitions'!$D$5:$M$14,_xlpm.t,MATCH(L$4,'[1]Territory Definitions'!$D$4:$M$4,0))&lt;&gt;1,"NOT IN TERRITORY",IF(COUNTIFS('[1]Blackout Brand Fam Areas (Enc)'!$B$6:$B$998,$A107,'[1]Blackout Brand Fam Areas (Enc)'!$C$6:$C$998,L$4,'[1]Blackout Brand Fam Areas (Enc)'!$D$6:$D$998,"Inactive")&gt;0,"BLOCKED","CAN SELL")))))</f>
        <v>CAN SELL</v>
      </c>
      <c r="M107" s="12">
        <f>IF($A107="","",COUNTIF($C107:$L107,"CAN SELL"))</f>
        <v>10</v>
      </c>
      <c r="N107" s="13" cm="1">
        <f t="array" ref="N107">IF($A107="","",SUMPRODUCT(($C107:$L107="CAN SELL")*$C$3:$L$3))</f>
        <v>2306</v>
      </c>
      <c r="O107" s="14" t="str">
        <f>IF($A107="","",IF(COUNTIF($A$5:$A$299,$A107)&gt;1,"DUPLICATE - two different territories assigned",IF($B107="** NO TERRITORY SET **","No territory on Brand Family Territory (Enc)","")))</f>
        <v/>
      </c>
      <c r="P107" s="18" t="str">
        <f>IF($A107="","",IFERROR(INDEX([1]Products!$H$4:$H$4801,MATCH($A107,[1]Products!$G$4:$G$4801,0)),"(no products)"))</f>
        <v>Tilray Alternative Beverage</v>
      </c>
      <c r="Q107" s="19">
        <f>IF($A107="","",COUNTIFS([1]Products!$G$4:$G$4801,$A107,[1]Products!$L$4:$L$4801,"Yes"))</f>
        <v>6</v>
      </c>
      <c r="R107" s="19">
        <f>IF($A107="","",COUNTIFS([1]Products!$G$4:$G$4801,$A107,[1]Products!$L$4:$L$4801,"Yes",[1]Products!$K$4:$K$4801,"Draft"))</f>
        <v>0</v>
      </c>
      <c r="S107" s="19">
        <f>IF($A107="","",COUNTIFS([1]Products!$G$4:$G$4801,$A107,[1]Products!$L$4:$L$4801,"Yes",[1]Products!$K$4:$K$4801,"Package"))</f>
        <v>6</v>
      </c>
      <c r="T107" s="20" t="str" cm="1">
        <f t="array" ref="T107">IF($A107="","",_xlfn.IFS($Q107=0,"NO ACTIVE SKUs",AND($R107&gt;0,$S107&gt;0),"Draft &amp; Package",$R107&gt;0,"Draft only",TRUE,"Package only"))</f>
        <v>Package only</v>
      </c>
    </row>
    <row r="108" spans="1:20" x14ac:dyDescent="0.2">
      <c r="A108" s="9" t="str">
        <v>Flying Dog Brewing Co</v>
      </c>
      <c r="B108" s="10" t="str">
        <f>IF($A108="","",_xlfn.XLOOKUP($A108,'[1]Brand Family Territory (Enc)'!$A:$A,'[1]Brand Family Territory (Enc)'!$B:$B,"** NO TERRITORY SET **"))</f>
        <v>All Counties</v>
      </c>
      <c r="C108" s="11" t="str">
        <f>IF($A108="","",_xlfn.LET(_xlpm.t,MATCH($B108,'[1]Territory Definitions'!$B$5:$B$14,0),IF(ISNA(_xlpm.t),"NO TERRITORY",IF(INDEX('[1]Territory Definitions'!$D$5:$M$14,_xlpm.t,MATCH(C$4,'[1]Territory Definitions'!$D$4:$M$4,0))&lt;&gt;1,"NOT IN TERRITORY",IF(COUNTIFS('[1]Blackout Brand Fam Areas (Enc)'!$B$6:$B$998,$A108,'[1]Blackout Brand Fam Areas (Enc)'!$C$6:$C$998,C$4,'[1]Blackout Brand Fam Areas (Enc)'!$D$6:$D$998,"Inactive")&gt;0,"BLOCKED","CAN SELL")))))</f>
        <v>CAN SELL</v>
      </c>
      <c r="D108" s="11" t="str">
        <f>IF($A108="","",_xlfn.LET(_xlpm.t,MATCH($B108,'[1]Territory Definitions'!$B$5:$B$14,0),IF(ISNA(_xlpm.t),"NO TERRITORY",IF(INDEX('[1]Territory Definitions'!$D$5:$M$14,_xlpm.t,MATCH(D$4,'[1]Territory Definitions'!$D$4:$M$4,0))&lt;&gt;1,"NOT IN TERRITORY",IF(COUNTIFS('[1]Blackout Brand Fam Areas (Enc)'!$B$6:$B$998,$A108,'[1]Blackout Brand Fam Areas (Enc)'!$C$6:$C$998,D$4,'[1]Blackout Brand Fam Areas (Enc)'!$D$6:$D$998,"Inactive")&gt;0,"BLOCKED","CAN SELL")))))</f>
        <v>CAN SELL</v>
      </c>
      <c r="E108" s="11" t="str">
        <f>IF($A108="","",_xlfn.LET(_xlpm.t,MATCH($B108,'[1]Territory Definitions'!$B$5:$B$14,0),IF(ISNA(_xlpm.t),"NO TERRITORY",IF(INDEX('[1]Territory Definitions'!$D$5:$M$14,_xlpm.t,MATCH(E$4,'[1]Territory Definitions'!$D$4:$M$4,0))&lt;&gt;1,"NOT IN TERRITORY",IF(COUNTIFS('[1]Blackout Brand Fam Areas (Enc)'!$B$6:$B$998,$A108,'[1]Blackout Brand Fam Areas (Enc)'!$C$6:$C$998,E$4,'[1]Blackout Brand Fam Areas (Enc)'!$D$6:$D$998,"Inactive")&gt;0,"BLOCKED","CAN SELL")))))</f>
        <v>CAN SELL</v>
      </c>
      <c r="F108" s="11" t="str">
        <f>IF($A108="","",_xlfn.LET(_xlpm.t,MATCH($B108,'[1]Territory Definitions'!$B$5:$B$14,0),IF(ISNA(_xlpm.t),"NO TERRITORY",IF(INDEX('[1]Territory Definitions'!$D$5:$M$14,_xlpm.t,MATCH(F$4,'[1]Territory Definitions'!$D$4:$M$4,0))&lt;&gt;1,"NOT IN TERRITORY",IF(COUNTIFS('[1]Blackout Brand Fam Areas (Enc)'!$B$6:$B$998,$A108,'[1]Blackout Brand Fam Areas (Enc)'!$C$6:$C$998,F$4,'[1]Blackout Brand Fam Areas (Enc)'!$D$6:$D$998,"Inactive")&gt;0,"BLOCKED","CAN SELL")))))</f>
        <v>CAN SELL</v>
      </c>
      <c r="G108" s="11" t="str">
        <f>IF($A108="","",_xlfn.LET(_xlpm.t,MATCH($B108,'[1]Territory Definitions'!$B$5:$B$14,0),IF(ISNA(_xlpm.t),"NO TERRITORY",IF(INDEX('[1]Territory Definitions'!$D$5:$M$14,_xlpm.t,MATCH(G$4,'[1]Territory Definitions'!$D$4:$M$4,0))&lt;&gt;1,"NOT IN TERRITORY",IF(COUNTIFS('[1]Blackout Brand Fam Areas (Enc)'!$B$6:$B$998,$A108,'[1]Blackout Brand Fam Areas (Enc)'!$C$6:$C$998,G$4,'[1]Blackout Brand Fam Areas (Enc)'!$D$6:$D$998,"Inactive")&gt;0,"BLOCKED","CAN SELL")))))</f>
        <v>CAN SELL</v>
      </c>
      <c r="H108" s="11" t="str">
        <f>IF($A108="","",_xlfn.LET(_xlpm.t,MATCH($B108,'[1]Territory Definitions'!$B$5:$B$14,0),IF(ISNA(_xlpm.t),"NO TERRITORY",IF(INDEX('[1]Territory Definitions'!$D$5:$M$14,_xlpm.t,MATCH(H$4,'[1]Territory Definitions'!$D$4:$M$4,0))&lt;&gt;1,"NOT IN TERRITORY",IF(COUNTIFS('[1]Blackout Brand Fam Areas (Enc)'!$B$6:$B$998,$A108,'[1]Blackout Brand Fam Areas (Enc)'!$C$6:$C$998,H$4,'[1]Blackout Brand Fam Areas (Enc)'!$D$6:$D$998,"Inactive")&gt;0,"BLOCKED","CAN SELL")))))</f>
        <v>CAN SELL</v>
      </c>
      <c r="I108" s="11" t="str">
        <f>IF($A108="","",_xlfn.LET(_xlpm.t,MATCH($B108,'[1]Territory Definitions'!$B$5:$B$14,0),IF(ISNA(_xlpm.t),"NO TERRITORY",IF(INDEX('[1]Territory Definitions'!$D$5:$M$14,_xlpm.t,MATCH(I$4,'[1]Territory Definitions'!$D$4:$M$4,0))&lt;&gt;1,"NOT IN TERRITORY",IF(COUNTIFS('[1]Blackout Brand Fam Areas (Enc)'!$B$6:$B$998,$A108,'[1]Blackout Brand Fam Areas (Enc)'!$C$6:$C$998,I$4,'[1]Blackout Brand Fam Areas (Enc)'!$D$6:$D$998,"Inactive")&gt;0,"BLOCKED","CAN SELL")))))</f>
        <v>CAN SELL</v>
      </c>
      <c r="J108" s="11" t="str">
        <f>IF($A108="","",_xlfn.LET(_xlpm.t,MATCH($B108,'[1]Territory Definitions'!$B$5:$B$14,0),IF(ISNA(_xlpm.t),"NO TERRITORY",IF(INDEX('[1]Territory Definitions'!$D$5:$M$14,_xlpm.t,MATCH(J$4,'[1]Territory Definitions'!$D$4:$M$4,0))&lt;&gt;1,"NOT IN TERRITORY",IF(COUNTIFS('[1]Blackout Brand Fam Areas (Enc)'!$B$6:$B$998,$A108,'[1]Blackout Brand Fam Areas (Enc)'!$C$6:$C$998,J$4,'[1]Blackout Brand Fam Areas (Enc)'!$D$6:$D$998,"Inactive")&gt;0,"BLOCKED","CAN SELL")))))</f>
        <v>CAN SELL</v>
      </c>
      <c r="K108" s="11" t="str">
        <f>IF($A108="","",_xlfn.LET(_xlpm.t,MATCH($B108,'[1]Territory Definitions'!$B$5:$B$14,0),IF(ISNA(_xlpm.t),"NO TERRITORY",IF(INDEX('[1]Territory Definitions'!$D$5:$M$14,_xlpm.t,MATCH(K$4,'[1]Territory Definitions'!$D$4:$M$4,0))&lt;&gt;1,"NOT IN TERRITORY",IF(COUNTIFS('[1]Blackout Brand Fam Areas (Enc)'!$B$6:$B$998,$A108,'[1]Blackout Brand Fam Areas (Enc)'!$C$6:$C$998,K$4,'[1]Blackout Brand Fam Areas (Enc)'!$D$6:$D$998,"Inactive")&gt;0,"BLOCKED","CAN SELL")))))</f>
        <v>CAN SELL</v>
      </c>
      <c r="L108" s="11" t="str">
        <f>IF($A108="","",_xlfn.LET(_xlpm.t,MATCH($B108,'[1]Territory Definitions'!$B$5:$B$14,0),IF(ISNA(_xlpm.t),"NO TERRITORY",IF(INDEX('[1]Territory Definitions'!$D$5:$M$14,_xlpm.t,MATCH(L$4,'[1]Territory Definitions'!$D$4:$M$4,0))&lt;&gt;1,"NOT IN TERRITORY",IF(COUNTIFS('[1]Blackout Brand Fam Areas (Enc)'!$B$6:$B$998,$A108,'[1]Blackout Brand Fam Areas (Enc)'!$C$6:$C$998,L$4,'[1]Blackout Brand Fam Areas (Enc)'!$D$6:$D$998,"Inactive")&gt;0,"BLOCKED","CAN SELL")))))</f>
        <v>CAN SELL</v>
      </c>
      <c r="M108" s="12">
        <f>IF($A108="","",COUNTIF($C108:$L108,"CAN SELL"))</f>
        <v>10</v>
      </c>
      <c r="N108" s="13" cm="1">
        <f t="array" ref="N108">IF($A108="","",SUMPRODUCT(($C108:$L108="CAN SELL")*$C$3:$L$3))</f>
        <v>2306</v>
      </c>
      <c r="O108" s="14" t="str">
        <f>IF($A108="","",IF(COUNTIF($A$5:$A$299,$A108)&gt;1,"DUPLICATE - two different territories assigned",IF($B108="** NO TERRITORY SET **","No territory on Brand Family Territory (Enc)","")))</f>
        <v/>
      </c>
      <c r="P108" s="18" t="str">
        <f>IF($A108="","",IFERROR(INDEX([1]Products!$H$4:$H$4801,MATCH($A108,[1]Products!$G$4:$G$4801,0)),"(no products)"))</f>
        <v>FX Matt</v>
      </c>
      <c r="Q108" s="19">
        <f>IF($A108="","",COUNTIFS([1]Products!$G$4:$G$4801,$A108,[1]Products!$L$4:$L$4801,"Yes"))</f>
        <v>21</v>
      </c>
      <c r="R108" s="19">
        <f>IF($A108="","",COUNTIFS([1]Products!$G$4:$G$4801,$A108,[1]Products!$L$4:$L$4801,"Yes",[1]Products!$K$4:$K$4801,"Draft"))</f>
        <v>2</v>
      </c>
      <c r="S108" s="19">
        <f>IF($A108="","",COUNTIFS([1]Products!$G$4:$G$4801,$A108,[1]Products!$L$4:$L$4801,"Yes",[1]Products!$K$4:$K$4801,"Package"))</f>
        <v>19</v>
      </c>
      <c r="T108" s="20" t="str" cm="1">
        <f t="array" ref="T108">IF($A108="","",_xlfn.IFS($Q108=0,"NO ACTIVE SKUs",AND($R108&gt;0,$S108&gt;0),"Draft &amp; Package",$R108&gt;0,"Draft only",TRUE,"Package only"))</f>
        <v>Draft &amp; Package</v>
      </c>
    </row>
    <row r="109" spans="1:20" x14ac:dyDescent="0.2">
      <c r="A109" s="9" t="str">
        <v>Flying Fish</v>
      </c>
      <c r="B109" s="10" t="str">
        <f>IF($A109="","",_xlfn.XLOOKUP($A109,'[1]Brand Family Territory (Enc)'!$A:$A,'[1]Brand Family Territory (Enc)'!$B:$B,"** NO TERRITORY SET **"))</f>
        <v>Metro Less West Milford Area</v>
      </c>
      <c r="C109" s="11" t="str">
        <f>IF($A109="","",_xlfn.LET(_xlpm.t,MATCH($B109,'[1]Territory Definitions'!$B$5:$B$14,0),IF(ISNA(_xlpm.t),"NO TERRITORY",IF(INDEX('[1]Territory Definitions'!$D$5:$M$14,_xlpm.t,MATCH(C$4,'[1]Territory Definitions'!$D$4:$M$4,0))&lt;&gt;1,"NOT IN TERRITORY",IF(COUNTIFS('[1]Blackout Brand Fam Areas (Enc)'!$B$6:$B$998,$A109,'[1]Blackout Brand Fam Areas (Enc)'!$C$6:$C$998,C$4,'[1]Blackout Brand Fam Areas (Enc)'!$D$6:$D$998,"Inactive")&gt;0,"BLOCKED","CAN SELL")))))</f>
        <v>CAN SELL</v>
      </c>
      <c r="D109" s="11" t="str">
        <f>IF($A109="","",_xlfn.LET(_xlpm.t,MATCH($B109,'[1]Territory Definitions'!$B$5:$B$14,0),IF(ISNA(_xlpm.t),"NO TERRITORY",IF(INDEX('[1]Territory Definitions'!$D$5:$M$14,_xlpm.t,MATCH(D$4,'[1]Territory Definitions'!$D$4:$M$4,0))&lt;&gt;1,"NOT IN TERRITORY",IF(COUNTIFS('[1]Blackout Brand Fam Areas (Enc)'!$B$6:$B$998,$A109,'[1]Blackout Brand Fam Areas (Enc)'!$C$6:$C$998,D$4,'[1]Blackout Brand Fam Areas (Enc)'!$D$6:$D$998,"Inactive")&gt;0,"BLOCKED","CAN SELL")))))</f>
        <v>CAN SELL</v>
      </c>
      <c r="E109" s="11" t="str">
        <f>IF($A109="","",_xlfn.LET(_xlpm.t,MATCH($B109,'[1]Territory Definitions'!$B$5:$B$14,0),IF(ISNA(_xlpm.t),"NO TERRITORY",IF(INDEX('[1]Territory Definitions'!$D$5:$M$14,_xlpm.t,MATCH(E$4,'[1]Territory Definitions'!$D$4:$M$4,0))&lt;&gt;1,"NOT IN TERRITORY",IF(COUNTIFS('[1]Blackout Brand Fam Areas (Enc)'!$B$6:$B$998,$A109,'[1]Blackout Brand Fam Areas (Enc)'!$C$6:$C$998,E$4,'[1]Blackout Brand Fam Areas (Enc)'!$D$6:$D$998,"Inactive")&gt;0,"BLOCKED","CAN SELL")))))</f>
        <v>BLOCKED</v>
      </c>
      <c r="F109" s="11" t="str">
        <f>IF($A109="","",_xlfn.LET(_xlpm.t,MATCH($B109,'[1]Territory Definitions'!$B$5:$B$14,0),IF(ISNA(_xlpm.t),"NO TERRITORY",IF(INDEX('[1]Territory Definitions'!$D$5:$M$14,_xlpm.t,MATCH(F$4,'[1]Territory Definitions'!$D$4:$M$4,0))&lt;&gt;1,"NOT IN TERRITORY",IF(COUNTIFS('[1]Blackout Brand Fam Areas (Enc)'!$B$6:$B$998,$A109,'[1]Blackout Brand Fam Areas (Enc)'!$C$6:$C$998,F$4,'[1]Blackout Brand Fam Areas (Enc)'!$D$6:$D$998,"Inactive")&gt;0,"BLOCKED","CAN SELL")))))</f>
        <v>CAN SELL</v>
      </c>
      <c r="G109" s="11" t="str">
        <f>IF($A109="","",_xlfn.LET(_xlpm.t,MATCH($B109,'[1]Territory Definitions'!$B$5:$B$14,0),IF(ISNA(_xlpm.t),"NO TERRITORY",IF(INDEX('[1]Territory Definitions'!$D$5:$M$14,_xlpm.t,MATCH(G$4,'[1]Territory Definitions'!$D$4:$M$4,0))&lt;&gt;1,"NOT IN TERRITORY",IF(COUNTIFS('[1]Blackout Brand Fam Areas (Enc)'!$B$6:$B$998,$A109,'[1]Blackout Brand Fam Areas (Enc)'!$C$6:$C$998,G$4,'[1]Blackout Brand Fam Areas (Enc)'!$D$6:$D$998,"Inactive")&gt;0,"BLOCKED","CAN SELL")))))</f>
        <v>CAN SELL</v>
      </c>
      <c r="H109" s="11" t="str">
        <f>IF($A109="","",_xlfn.LET(_xlpm.t,MATCH($B109,'[1]Territory Definitions'!$B$5:$B$14,0),IF(ISNA(_xlpm.t),"NO TERRITORY",IF(INDEX('[1]Territory Definitions'!$D$5:$M$14,_xlpm.t,MATCH(H$4,'[1]Territory Definitions'!$D$4:$M$4,0))&lt;&gt;1,"NOT IN TERRITORY",IF(COUNTIFS('[1]Blackout Brand Fam Areas (Enc)'!$B$6:$B$998,$A109,'[1]Blackout Brand Fam Areas (Enc)'!$C$6:$C$998,H$4,'[1]Blackout Brand Fam Areas (Enc)'!$D$6:$D$998,"Inactive")&gt;0,"BLOCKED","CAN SELL")))))</f>
        <v>NOT IN TERRITORY</v>
      </c>
      <c r="I109" s="11" t="str">
        <f>IF($A109="","",_xlfn.LET(_xlpm.t,MATCH($B109,'[1]Territory Definitions'!$B$5:$B$14,0),IF(ISNA(_xlpm.t),"NO TERRITORY",IF(INDEX('[1]Territory Definitions'!$D$5:$M$14,_xlpm.t,MATCH(I$4,'[1]Territory Definitions'!$D$4:$M$4,0))&lt;&gt;1,"NOT IN TERRITORY",IF(COUNTIFS('[1]Blackout Brand Fam Areas (Enc)'!$B$6:$B$998,$A109,'[1]Blackout Brand Fam Areas (Enc)'!$C$6:$C$998,I$4,'[1]Blackout Brand Fam Areas (Enc)'!$D$6:$D$998,"Inactive")&gt;0,"BLOCKED","CAN SELL")))))</f>
        <v>NOT IN TERRITORY</v>
      </c>
      <c r="J109" s="11" t="str">
        <f>IF($A109="","",_xlfn.LET(_xlpm.t,MATCH($B109,'[1]Territory Definitions'!$B$5:$B$14,0),IF(ISNA(_xlpm.t),"NO TERRITORY",IF(INDEX('[1]Territory Definitions'!$D$5:$M$14,_xlpm.t,MATCH(J$4,'[1]Territory Definitions'!$D$4:$M$4,0))&lt;&gt;1,"NOT IN TERRITORY",IF(COUNTIFS('[1]Blackout Brand Fam Areas (Enc)'!$B$6:$B$998,$A109,'[1]Blackout Brand Fam Areas (Enc)'!$C$6:$C$998,J$4,'[1]Blackout Brand Fam Areas (Enc)'!$D$6:$D$998,"Inactive")&gt;0,"BLOCKED","CAN SELL")))))</f>
        <v>NOT IN TERRITORY</v>
      </c>
      <c r="K109" s="11" t="str">
        <f>IF($A109="","",_xlfn.LET(_xlpm.t,MATCH($B109,'[1]Territory Definitions'!$B$5:$B$14,0),IF(ISNA(_xlpm.t),"NO TERRITORY",IF(INDEX('[1]Territory Definitions'!$D$5:$M$14,_xlpm.t,MATCH(K$4,'[1]Territory Definitions'!$D$4:$M$4,0))&lt;&gt;1,"NOT IN TERRITORY",IF(COUNTIFS('[1]Blackout Brand Fam Areas (Enc)'!$B$6:$B$998,$A109,'[1]Blackout Brand Fam Areas (Enc)'!$C$6:$C$998,K$4,'[1]Blackout Brand Fam Areas (Enc)'!$D$6:$D$998,"Inactive")&gt;0,"BLOCKED","CAN SELL")))))</f>
        <v>NOT IN TERRITORY</v>
      </c>
      <c r="L109" s="11" t="str">
        <f>IF($A109="","",_xlfn.LET(_xlpm.t,MATCH($B109,'[1]Territory Definitions'!$B$5:$B$14,0),IF(ISNA(_xlpm.t),"NO TERRITORY",IF(INDEX('[1]Territory Definitions'!$D$5:$M$14,_xlpm.t,MATCH(L$4,'[1]Territory Definitions'!$D$4:$M$4,0))&lt;&gt;1,"NOT IN TERRITORY",IF(COUNTIFS('[1]Blackout Brand Fam Areas (Enc)'!$B$6:$B$998,$A109,'[1]Blackout Brand Fam Areas (Enc)'!$C$6:$C$998,L$4,'[1]Blackout Brand Fam Areas (Enc)'!$D$6:$D$998,"Inactive")&gt;0,"BLOCKED","CAN SELL")))))</f>
        <v>NOT IN TERRITORY</v>
      </c>
      <c r="M109" s="12">
        <f>IF($A109="","",COUNTIF($C109:$L109,"CAN SELL"))</f>
        <v>4</v>
      </c>
      <c r="N109" s="13" cm="1">
        <f t="array" ref="N109">IF($A109="","",SUMPRODUCT(($C109:$L109="CAN SELL")*$C$3:$L$3))</f>
        <v>1824</v>
      </c>
      <c r="O109" s="14" t="str">
        <f>IF($A109="","",IF(COUNTIF($A$5:$A$299,$A109)&gt;1,"DUPLICATE - two different territories assigned",IF($B109="** NO TERRITORY SET **","No territory on Brand Family Territory (Enc)","")))</f>
        <v/>
      </c>
      <c r="P109" s="18" t="str">
        <f>IF($A109="","",IFERROR(INDEX([1]Products!$H$4:$H$4801,MATCH($A109,[1]Products!$G$4:$G$4801,0)),"(no products)"))</f>
        <v>Flying Fish</v>
      </c>
      <c r="Q109" s="19">
        <f>IF($A109="","",COUNTIFS([1]Products!$G$4:$G$4801,$A109,[1]Products!$L$4:$L$4801,"Yes"))</f>
        <v>29</v>
      </c>
      <c r="R109" s="19">
        <f>IF($A109="","",COUNTIFS([1]Products!$G$4:$G$4801,$A109,[1]Products!$L$4:$L$4801,"Yes",[1]Products!$K$4:$K$4801,"Draft"))</f>
        <v>13</v>
      </c>
      <c r="S109" s="19">
        <f>IF($A109="","",COUNTIFS([1]Products!$G$4:$G$4801,$A109,[1]Products!$L$4:$L$4801,"Yes",[1]Products!$K$4:$K$4801,"Package"))</f>
        <v>16</v>
      </c>
      <c r="T109" s="20" t="str" cm="1">
        <f t="array" ref="T109">IF($A109="","",_xlfn.IFS($Q109=0,"NO ACTIVE SKUs",AND($R109&gt;0,$S109&gt;0),"Draft &amp; Package",$R109&gt;0,"Draft only",TRUE,"Package only"))</f>
        <v>Draft &amp; Package</v>
      </c>
    </row>
    <row r="110" spans="1:20" x14ac:dyDescent="0.2">
      <c r="A110" s="9" t="str">
        <v>Flying Fish Box of Bones Variety</v>
      </c>
      <c r="B110" s="10" t="str">
        <f>IF($A110="","",_xlfn.XLOOKUP($A110,'[1]Brand Family Territory (Enc)'!$A:$A,'[1]Brand Family Territory (Enc)'!$B:$B,"** NO TERRITORY SET **"))</f>
        <v>Metro Less West Milford Area</v>
      </c>
      <c r="C110" s="11" t="str">
        <f>IF($A110="","",_xlfn.LET(_xlpm.t,MATCH($B110,'[1]Territory Definitions'!$B$5:$B$14,0),IF(ISNA(_xlpm.t),"NO TERRITORY",IF(INDEX('[1]Territory Definitions'!$D$5:$M$14,_xlpm.t,MATCH(C$4,'[1]Territory Definitions'!$D$4:$M$4,0))&lt;&gt;1,"NOT IN TERRITORY",IF(COUNTIFS('[1]Blackout Brand Fam Areas (Enc)'!$B$6:$B$998,$A110,'[1]Blackout Brand Fam Areas (Enc)'!$C$6:$C$998,C$4,'[1]Blackout Brand Fam Areas (Enc)'!$D$6:$D$998,"Inactive")&gt;0,"BLOCKED","CAN SELL")))))</f>
        <v>CAN SELL</v>
      </c>
      <c r="D110" s="11" t="str">
        <f>IF($A110="","",_xlfn.LET(_xlpm.t,MATCH($B110,'[1]Territory Definitions'!$B$5:$B$14,0),IF(ISNA(_xlpm.t),"NO TERRITORY",IF(INDEX('[1]Territory Definitions'!$D$5:$M$14,_xlpm.t,MATCH(D$4,'[1]Territory Definitions'!$D$4:$M$4,0))&lt;&gt;1,"NOT IN TERRITORY",IF(COUNTIFS('[1]Blackout Brand Fam Areas (Enc)'!$B$6:$B$998,$A110,'[1]Blackout Brand Fam Areas (Enc)'!$C$6:$C$998,D$4,'[1]Blackout Brand Fam Areas (Enc)'!$D$6:$D$998,"Inactive")&gt;0,"BLOCKED","CAN SELL")))))</f>
        <v>CAN SELL</v>
      </c>
      <c r="E110" s="11" t="str">
        <f>IF($A110="","",_xlfn.LET(_xlpm.t,MATCH($B110,'[1]Territory Definitions'!$B$5:$B$14,0),IF(ISNA(_xlpm.t),"NO TERRITORY",IF(INDEX('[1]Territory Definitions'!$D$5:$M$14,_xlpm.t,MATCH(E$4,'[1]Territory Definitions'!$D$4:$M$4,0))&lt;&gt;1,"NOT IN TERRITORY",IF(COUNTIFS('[1]Blackout Brand Fam Areas (Enc)'!$B$6:$B$998,$A110,'[1]Blackout Brand Fam Areas (Enc)'!$C$6:$C$998,E$4,'[1]Blackout Brand Fam Areas (Enc)'!$D$6:$D$998,"Inactive")&gt;0,"BLOCKED","CAN SELL")))))</f>
        <v>BLOCKED</v>
      </c>
      <c r="F110" s="11" t="str">
        <f>IF($A110="","",_xlfn.LET(_xlpm.t,MATCH($B110,'[1]Territory Definitions'!$B$5:$B$14,0),IF(ISNA(_xlpm.t),"NO TERRITORY",IF(INDEX('[1]Territory Definitions'!$D$5:$M$14,_xlpm.t,MATCH(F$4,'[1]Territory Definitions'!$D$4:$M$4,0))&lt;&gt;1,"NOT IN TERRITORY",IF(COUNTIFS('[1]Blackout Brand Fam Areas (Enc)'!$B$6:$B$998,$A110,'[1]Blackout Brand Fam Areas (Enc)'!$C$6:$C$998,F$4,'[1]Blackout Brand Fam Areas (Enc)'!$D$6:$D$998,"Inactive")&gt;0,"BLOCKED","CAN SELL")))))</f>
        <v>CAN SELL</v>
      </c>
      <c r="G110" s="11" t="str">
        <f>IF($A110="","",_xlfn.LET(_xlpm.t,MATCH($B110,'[1]Territory Definitions'!$B$5:$B$14,0),IF(ISNA(_xlpm.t),"NO TERRITORY",IF(INDEX('[1]Territory Definitions'!$D$5:$M$14,_xlpm.t,MATCH(G$4,'[1]Territory Definitions'!$D$4:$M$4,0))&lt;&gt;1,"NOT IN TERRITORY",IF(COUNTIFS('[1]Blackout Brand Fam Areas (Enc)'!$B$6:$B$998,$A110,'[1]Blackout Brand Fam Areas (Enc)'!$C$6:$C$998,G$4,'[1]Blackout Brand Fam Areas (Enc)'!$D$6:$D$998,"Inactive")&gt;0,"BLOCKED","CAN SELL")))))</f>
        <v>CAN SELL</v>
      </c>
      <c r="H110" s="11" t="str">
        <f>IF($A110="","",_xlfn.LET(_xlpm.t,MATCH($B110,'[1]Territory Definitions'!$B$5:$B$14,0),IF(ISNA(_xlpm.t),"NO TERRITORY",IF(INDEX('[1]Territory Definitions'!$D$5:$M$14,_xlpm.t,MATCH(H$4,'[1]Territory Definitions'!$D$4:$M$4,0))&lt;&gt;1,"NOT IN TERRITORY",IF(COUNTIFS('[1]Blackout Brand Fam Areas (Enc)'!$B$6:$B$998,$A110,'[1]Blackout Brand Fam Areas (Enc)'!$C$6:$C$998,H$4,'[1]Blackout Brand Fam Areas (Enc)'!$D$6:$D$998,"Inactive")&gt;0,"BLOCKED","CAN SELL")))))</f>
        <v>NOT IN TERRITORY</v>
      </c>
      <c r="I110" s="11" t="str">
        <f>IF($A110="","",_xlfn.LET(_xlpm.t,MATCH($B110,'[1]Territory Definitions'!$B$5:$B$14,0),IF(ISNA(_xlpm.t),"NO TERRITORY",IF(INDEX('[1]Territory Definitions'!$D$5:$M$14,_xlpm.t,MATCH(I$4,'[1]Territory Definitions'!$D$4:$M$4,0))&lt;&gt;1,"NOT IN TERRITORY",IF(COUNTIFS('[1]Blackout Brand Fam Areas (Enc)'!$B$6:$B$998,$A110,'[1]Blackout Brand Fam Areas (Enc)'!$C$6:$C$998,I$4,'[1]Blackout Brand Fam Areas (Enc)'!$D$6:$D$998,"Inactive")&gt;0,"BLOCKED","CAN SELL")))))</f>
        <v>NOT IN TERRITORY</v>
      </c>
      <c r="J110" s="11" t="str">
        <f>IF($A110="","",_xlfn.LET(_xlpm.t,MATCH($B110,'[1]Territory Definitions'!$B$5:$B$14,0),IF(ISNA(_xlpm.t),"NO TERRITORY",IF(INDEX('[1]Territory Definitions'!$D$5:$M$14,_xlpm.t,MATCH(J$4,'[1]Territory Definitions'!$D$4:$M$4,0))&lt;&gt;1,"NOT IN TERRITORY",IF(COUNTIFS('[1]Blackout Brand Fam Areas (Enc)'!$B$6:$B$998,$A110,'[1]Blackout Brand Fam Areas (Enc)'!$C$6:$C$998,J$4,'[1]Blackout Brand Fam Areas (Enc)'!$D$6:$D$998,"Inactive")&gt;0,"BLOCKED","CAN SELL")))))</f>
        <v>NOT IN TERRITORY</v>
      </c>
      <c r="K110" s="11" t="str">
        <f>IF($A110="","",_xlfn.LET(_xlpm.t,MATCH($B110,'[1]Territory Definitions'!$B$5:$B$14,0),IF(ISNA(_xlpm.t),"NO TERRITORY",IF(INDEX('[1]Territory Definitions'!$D$5:$M$14,_xlpm.t,MATCH(K$4,'[1]Territory Definitions'!$D$4:$M$4,0))&lt;&gt;1,"NOT IN TERRITORY",IF(COUNTIFS('[1]Blackout Brand Fam Areas (Enc)'!$B$6:$B$998,$A110,'[1]Blackout Brand Fam Areas (Enc)'!$C$6:$C$998,K$4,'[1]Blackout Brand Fam Areas (Enc)'!$D$6:$D$998,"Inactive")&gt;0,"BLOCKED","CAN SELL")))))</f>
        <v>NOT IN TERRITORY</v>
      </c>
      <c r="L110" s="11" t="str">
        <f>IF($A110="","",_xlfn.LET(_xlpm.t,MATCH($B110,'[1]Territory Definitions'!$B$5:$B$14,0),IF(ISNA(_xlpm.t),"NO TERRITORY",IF(INDEX('[1]Territory Definitions'!$D$5:$M$14,_xlpm.t,MATCH(L$4,'[1]Territory Definitions'!$D$4:$M$4,0))&lt;&gt;1,"NOT IN TERRITORY",IF(COUNTIFS('[1]Blackout Brand Fam Areas (Enc)'!$B$6:$B$998,$A110,'[1]Blackout Brand Fam Areas (Enc)'!$C$6:$C$998,L$4,'[1]Blackout Brand Fam Areas (Enc)'!$D$6:$D$998,"Inactive")&gt;0,"BLOCKED","CAN SELL")))))</f>
        <v>NOT IN TERRITORY</v>
      </c>
      <c r="M110" s="12">
        <f>IF($A110="","",COUNTIF($C110:$L110,"CAN SELL"))</f>
        <v>4</v>
      </c>
      <c r="N110" s="13" cm="1">
        <f t="array" ref="N110">IF($A110="","",SUMPRODUCT(($C110:$L110="CAN SELL")*$C$3:$L$3))</f>
        <v>1824</v>
      </c>
      <c r="O110" s="14" t="str">
        <f>IF($A110="","",IF(COUNTIF($A$5:$A$299,$A110)&gt;1,"DUPLICATE - two different territories assigned",IF($B110="** NO TERRITORY SET **","No territory on Brand Family Territory (Enc)","")))</f>
        <v/>
      </c>
      <c r="P110" s="18" t="str">
        <f>IF($A110="","",IFERROR(INDEX([1]Products!$H$4:$H$4801,MATCH($A110,[1]Products!$G$4:$G$4801,0)),"(no products)"))</f>
        <v>(no products)</v>
      </c>
      <c r="Q110" s="19">
        <f>IF($A110="","",COUNTIFS([1]Products!$G$4:$G$4801,$A110,[1]Products!$L$4:$L$4801,"Yes"))</f>
        <v>0</v>
      </c>
      <c r="R110" s="19">
        <f>IF($A110="","",COUNTIFS([1]Products!$G$4:$G$4801,$A110,[1]Products!$L$4:$L$4801,"Yes",[1]Products!$K$4:$K$4801,"Draft"))</f>
        <v>0</v>
      </c>
      <c r="S110" s="19">
        <f>IF($A110="","",COUNTIFS([1]Products!$G$4:$G$4801,$A110,[1]Products!$L$4:$L$4801,"Yes",[1]Products!$K$4:$K$4801,"Package"))</f>
        <v>0</v>
      </c>
      <c r="T110" s="20" t="str" cm="1">
        <f t="array" ref="T110">IF($A110="","",_xlfn.IFS($Q110=0,"NO ACTIVE SKUs",AND($R110&gt;0,$S110&gt;0),"Draft &amp; Package",$R110&gt;0,"Draft only",TRUE,"Package only"))</f>
        <v>NO ACTIVE SKUs</v>
      </c>
    </row>
    <row r="111" spans="1:20" x14ac:dyDescent="0.2">
      <c r="A111" s="9" t="str">
        <v>Food &amp; Bev</v>
      </c>
      <c r="B111" s="10" t="str">
        <f>IF($A111="","",_xlfn.XLOOKUP($A111,'[1]Brand Family Territory (Enc)'!$A:$A,'[1]Brand Family Territory (Enc)'!$B:$B,"** NO TERRITORY SET **"))</f>
        <v>All Counties</v>
      </c>
      <c r="C111" s="11" t="str">
        <f>IF($A111="","",_xlfn.LET(_xlpm.t,MATCH($B111,'[1]Territory Definitions'!$B$5:$B$14,0),IF(ISNA(_xlpm.t),"NO TERRITORY",IF(INDEX('[1]Territory Definitions'!$D$5:$M$14,_xlpm.t,MATCH(C$4,'[1]Territory Definitions'!$D$4:$M$4,0))&lt;&gt;1,"NOT IN TERRITORY",IF(COUNTIFS('[1]Blackout Brand Fam Areas (Enc)'!$B$6:$B$998,$A111,'[1]Blackout Brand Fam Areas (Enc)'!$C$6:$C$998,C$4,'[1]Blackout Brand Fam Areas (Enc)'!$D$6:$D$998,"Inactive")&gt;0,"BLOCKED","CAN SELL")))))</f>
        <v>CAN SELL</v>
      </c>
      <c r="D111" s="11" t="str">
        <f>IF($A111="","",_xlfn.LET(_xlpm.t,MATCH($B111,'[1]Territory Definitions'!$B$5:$B$14,0),IF(ISNA(_xlpm.t),"NO TERRITORY",IF(INDEX('[1]Territory Definitions'!$D$5:$M$14,_xlpm.t,MATCH(D$4,'[1]Territory Definitions'!$D$4:$M$4,0))&lt;&gt;1,"NOT IN TERRITORY",IF(COUNTIFS('[1]Blackout Brand Fam Areas (Enc)'!$B$6:$B$998,$A111,'[1]Blackout Brand Fam Areas (Enc)'!$C$6:$C$998,D$4,'[1]Blackout Brand Fam Areas (Enc)'!$D$6:$D$998,"Inactive")&gt;0,"BLOCKED","CAN SELL")))))</f>
        <v>CAN SELL</v>
      </c>
      <c r="E111" s="11" t="str">
        <f>IF($A111="","",_xlfn.LET(_xlpm.t,MATCH($B111,'[1]Territory Definitions'!$B$5:$B$14,0),IF(ISNA(_xlpm.t),"NO TERRITORY",IF(INDEX('[1]Territory Definitions'!$D$5:$M$14,_xlpm.t,MATCH(E$4,'[1]Territory Definitions'!$D$4:$M$4,0))&lt;&gt;1,"NOT IN TERRITORY",IF(COUNTIFS('[1]Blackout Brand Fam Areas (Enc)'!$B$6:$B$998,$A111,'[1]Blackout Brand Fam Areas (Enc)'!$C$6:$C$998,E$4,'[1]Blackout Brand Fam Areas (Enc)'!$D$6:$D$998,"Inactive")&gt;0,"BLOCKED","CAN SELL")))))</f>
        <v>CAN SELL</v>
      </c>
      <c r="F111" s="11" t="str">
        <f>IF($A111="","",_xlfn.LET(_xlpm.t,MATCH($B111,'[1]Territory Definitions'!$B$5:$B$14,0),IF(ISNA(_xlpm.t),"NO TERRITORY",IF(INDEX('[1]Territory Definitions'!$D$5:$M$14,_xlpm.t,MATCH(F$4,'[1]Territory Definitions'!$D$4:$M$4,0))&lt;&gt;1,"NOT IN TERRITORY",IF(COUNTIFS('[1]Blackout Brand Fam Areas (Enc)'!$B$6:$B$998,$A111,'[1]Blackout Brand Fam Areas (Enc)'!$C$6:$C$998,F$4,'[1]Blackout Brand Fam Areas (Enc)'!$D$6:$D$998,"Inactive")&gt;0,"BLOCKED","CAN SELL")))))</f>
        <v>CAN SELL</v>
      </c>
      <c r="G111" s="11" t="str">
        <f>IF($A111="","",_xlfn.LET(_xlpm.t,MATCH($B111,'[1]Territory Definitions'!$B$5:$B$14,0),IF(ISNA(_xlpm.t),"NO TERRITORY",IF(INDEX('[1]Territory Definitions'!$D$5:$M$14,_xlpm.t,MATCH(G$4,'[1]Territory Definitions'!$D$4:$M$4,0))&lt;&gt;1,"NOT IN TERRITORY",IF(COUNTIFS('[1]Blackout Brand Fam Areas (Enc)'!$B$6:$B$998,$A111,'[1]Blackout Brand Fam Areas (Enc)'!$C$6:$C$998,G$4,'[1]Blackout Brand Fam Areas (Enc)'!$D$6:$D$998,"Inactive")&gt;0,"BLOCKED","CAN SELL")))))</f>
        <v>CAN SELL</v>
      </c>
      <c r="H111" s="11" t="str">
        <f>IF($A111="","",_xlfn.LET(_xlpm.t,MATCH($B111,'[1]Territory Definitions'!$B$5:$B$14,0),IF(ISNA(_xlpm.t),"NO TERRITORY",IF(INDEX('[1]Territory Definitions'!$D$5:$M$14,_xlpm.t,MATCH(H$4,'[1]Territory Definitions'!$D$4:$M$4,0))&lt;&gt;1,"NOT IN TERRITORY",IF(COUNTIFS('[1]Blackout Brand Fam Areas (Enc)'!$B$6:$B$998,$A111,'[1]Blackout Brand Fam Areas (Enc)'!$C$6:$C$998,H$4,'[1]Blackout Brand Fam Areas (Enc)'!$D$6:$D$998,"Inactive")&gt;0,"BLOCKED","CAN SELL")))))</f>
        <v>CAN SELL</v>
      </c>
      <c r="I111" s="11" t="str">
        <f>IF($A111="","",_xlfn.LET(_xlpm.t,MATCH($B111,'[1]Territory Definitions'!$B$5:$B$14,0),IF(ISNA(_xlpm.t),"NO TERRITORY",IF(INDEX('[1]Territory Definitions'!$D$5:$M$14,_xlpm.t,MATCH(I$4,'[1]Territory Definitions'!$D$4:$M$4,0))&lt;&gt;1,"NOT IN TERRITORY",IF(COUNTIFS('[1]Blackout Brand Fam Areas (Enc)'!$B$6:$B$998,$A111,'[1]Blackout Brand Fam Areas (Enc)'!$C$6:$C$998,I$4,'[1]Blackout Brand Fam Areas (Enc)'!$D$6:$D$998,"Inactive")&gt;0,"BLOCKED","CAN SELL")))))</f>
        <v>CAN SELL</v>
      </c>
      <c r="J111" s="11" t="str">
        <f>IF($A111="","",_xlfn.LET(_xlpm.t,MATCH($B111,'[1]Territory Definitions'!$B$5:$B$14,0),IF(ISNA(_xlpm.t),"NO TERRITORY",IF(INDEX('[1]Territory Definitions'!$D$5:$M$14,_xlpm.t,MATCH(J$4,'[1]Territory Definitions'!$D$4:$M$4,0))&lt;&gt;1,"NOT IN TERRITORY",IF(COUNTIFS('[1]Blackout Brand Fam Areas (Enc)'!$B$6:$B$998,$A111,'[1]Blackout Brand Fam Areas (Enc)'!$C$6:$C$998,J$4,'[1]Blackout Brand Fam Areas (Enc)'!$D$6:$D$998,"Inactive")&gt;0,"BLOCKED","CAN SELL")))))</f>
        <v>CAN SELL</v>
      </c>
      <c r="K111" s="11" t="str">
        <f>IF($A111="","",_xlfn.LET(_xlpm.t,MATCH($B111,'[1]Territory Definitions'!$B$5:$B$14,0),IF(ISNA(_xlpm.t),"NO TERRITORY",IF(INDEX('[1]Territory Definitions'!$D$5:$M$14,_xlpm.t,MATCH(K$4,'[1]Territory Definitions'!$D$4:$M$4,0))&lt;&gt;1,"NOT IN TERRITORY",IF(COUNTIFS('[1]Blackout Brand Fam Areas (Enc)'!$B$6:$B$998,$A111,'[1]Blackout Brand Fam Areas (Enc)'!$C$6:$C$998,K$4,'[1]Blackout Brand Fam Areas (Enc)'!$D$6:$D$998,"Inactive")&gt;0,"BLOCKED","CAN SELL")))))</f>
        <v>CAN SELL</v>
      </c>
      <c r="L111" s="11" t="str">
        <f>IF($A111="","",_xlfn.LET(_xlpm.t,MATCH($B111,'[1]Territory Definitions'!$B$5:$B$14,0),IF(ISNA(_xlpm.t),"NO TERRITORY",IF(INDEX('[1]Territory Definitions'!$D$5:$M$14,_xlpm.t,MATCH(L$4,'[1]Territory Definitions'!$D$4:$M$4,0))&lt;&gt;1,"NOT IN TERRITORY",IF(COUNTIFS('[1]Blackout Brand Fam Areas (Enc)'!$B$6:$B$998,$A111,'[1]Blackout Brand Fam Areas (Enc)'!$C$6:$C$998,L$4,'[1]Blackout Brand Fam Areas (Enc)'!$D$6:$D$998,"Inactive")&gt;0,"BLOCKED","CAN SELL")))))</f>
        <v>CAN SELL</v>
      </c>
      <c r="M111" s="12">
        <f>IF($A111="","",COUNTIF($C111:$L111,"CAN SELL"))</f>
        <v>10</v>
      </c>
      <c r="N111" s="13" cm="1">
        <f t="array" ref="N111">IF($A111="","",SUMPRODUCT(($C111:$L111="CAN SELL")*$C$3:$L$3))</f>
        <v>2306</v>
      </c>
      <c r="O111" s="14" t="str">
        <f>IF($A111="","",IF(COUNTIF($A$5:$A$299,$A111)&gt;1,"DUPLICATE - two different territories assigned",IF($B111="** NO TERRITORY SET **","No territory on Brand Family Territory (Enc)","")))</f>
        <v/>
      </c>
      <c r="P111" s="18" t="str">
        <f>IF($A111="","",IFERROR(INDEX([1]Products!$H$4:$H$4801,MATCH($A111,[1]Products!$G$4:$G$4801,0)),"(no products)"))</f>
        <v>Food &amp; Bev Enterprise LLC</v>
      </c>
      <c r="Q111" s="19">
        <f>IF($A111="","",COUNTIFS([1]Products!$G$4:$G$4801,$A111,[1]Products!$L$4:$L$4801,"Yes"))</f>
        <v>9</v>
      </c>
      <c r="R111" s="19">
        <f>IF($A111="","",COUNTIFS([1]Products!$G$4:$G$4801,$A111,[1]Products!$L$4:$L$4801,"Yes",[1]Products!$K$4:$K$4801,"Draft"))</f>
        <v>0</v>
      </c>
      <c r="S111" s="19">
        <f>IF($A111="","",COUNTIFS([1]Products!$G$4:$G$4801,$A111,[1]Products!$L$4:$L$4801,"Yes",[1]Products!$K$4:$K$4801,"Package"))</f>
        <v>9</v>
      </c>
      <c r="T111" s="20" t="str" cm="1">
        <f t="array" ref="T111">IF($A111="","",_xlfn.IFS($Q111=0,"NO ACTIVE SKUs",AND($R111&gt;0,$S111&gt;0),"Draft &amp; Package",$R111&gt;0,"Draft only",TRUE,"Package only"))</f>
        <v>Package only</v>
      </c>
    </row>
    <row r="112" spans="1:20" x14ac:dyDescent="0.2">
      <c r="A112" s="9" t="str">
        <v>Forged Irish Stout</v>
      </c>
      <c r="B112" s="10" t="str">
        <f>IF($A112="","",_xlfn.XLOOKUP($A112,'[1]Brand Family Territory (Enc)'!$A:$A,'[1]Brand Family Territory (Enc)'!$B:$B,"** NO TERRITORY SET **"))</f>
        <v>All Counties</v>
      </c>
      <c r="C112" s="11" t="str">
        <f>IF($A112="","",_xlfn.LET(_xlpm.t,MATCH($B112,'[1]Territory Definitions'!$B$5:$B$14,0),IF(ISNA(_xlpm.t),"NO TERRITORY",IF(INDEX('[1]Territory Definitions'!$D$5:$M$14,_xlpm.t,MATCH(C$4,'[1]Territory Definitions'!$D$4:$M$4,0))&lt;&gt;1,"NOT IN TERRITORY",IF(COUNTIFS('[1]Blackout Brand Fam Areas (Enc)'!$B$6:$B$998,$A112,'[1]Blackout Brand Fam Areas (Enc)'!$C$6:$C$998,C$4,'[1]Blackout Brand Fam Areas (Enc)'!$D$6:$D$998,"Inactive")&gt;0,"BLOCKED","CAN SELL")))))</f>
        <v>CAN SELL</v>
      </c>
      <c r="D112" s="11" t="str">
        <f>IF($A112="","",_xlfn.LET(_xlpm.t,MATCH($B112,'[1]Territory Definitions'!$B$5:$B$14,0),IF(ISNA(_xlpm.t),"NO TERRITORY",IF(INDEX('[1]Territory Definitions'!$D$5:$M$14,_xlpm.t,MATCH(D$4,'[1]Territory Definitions'!$D$4:$M$4,0))&lt;&gt;1,"NOT IN TERRITORY",IF(COUNTIFS('[1]Blackout Brand Fam Areas (Enc)'!$B$6:$B$998,$A112,'[1]Blackout Brand Fam Areas (Enc)'!$C$6:$C$998,D$4,'[1]Blackout Brand Fam Areas (Enc)'!$D$6:$D$998,"Inactive")&gt;0,"BLOCKED","CAN SELL")))))</f>
        <v>CAN SELL</v>
      </c>
      <c r="E112" s="11" t="str">
        <f>IF($A112="","",_xlfn.LET(_xlpm.t,MATCH($B112,'[1]Territory Definitions'!$B$5:$B$14,0),IF(ISNA(_xlpm.t),"NO TERRITORY",IF(INDEX('[1]Territory Definitions'!$D$5:$M$14,_xlpm.t,MATCH(E$4,'[1]Territory Definitions'!$D$4:$M$4,0))&lt;&gt;1,"NOT IN TERRITORY",IF(COUNTIFS('[1]Blackout Brand Fam Areas (Enc)'!$B$6:$B$998,$A112,'[1]Blackout Brand Fam Areas (Enc)'!$C$6:$C$998,E$4,'[1]Blackout Brand Fam Areas (Enc)'!$D$6:$D$998,"Inactive")&gt;0,"BLOCKED","CAN SELL")))))</f>
        <v>CAN SELL</v>
      </c>
      <c r="F112" s="11" t="str">
        <f>IF($A112="","",_xlfn.LET(_xlpm.t,MATCH($B112,'[1]Territory Definitions'!$B$5:$B$14,0),IF(ISNA(_xlpm.t),"NO TERRITORY",IF(INDEX('[1]Territory Definitions'!$D$5:$M$14,_xlpm.t,MATCH(F$4,'[1]Territory Definitions'!$D$4:$M$4,0))&lt;&gt;1,"NOT IN TERRITORY",IF(COUNTIFS('[1]Blackout Brand Fam Areas (Enc)'!$B$6:$B$998,$A112,'[1]Blackout Brand Fam Areas (Enc)'!$C$6:$C$998,F$4,'[1]Blackout Brand Fam Areas (Enc)'!$D$6:$D$998,"Inactive")&gt;0,"BLOCKED","CAN SELL")))))</f>
        <v>CAN SELL</v>
      </c>
      <c r="G112" s="11" t="str">
        <f>IF($A112="","",_xlfn.LET(_xlpm.t,MATCH($B112,'[1]Territory Definitions'!$B$5:$B$14,0),IF(ISNA(_xlpm.t),"NO TERRITORY",IF(INDEX('[1]Territory Definitions'!$D$5:$M$14,_xlpm.t,MATCH(G$4,'[1]Territory Definitions'!$D$4:$M$4,0))&lt;&gt;1,"NOT IN TERRITORY",IF(COUNTIFS('[1]Blackout Brand Fam Areas (Enc)'!$B$6:$B$998,$A112,'[1]Blackout Brand Fam Areas (Enc)'!$C$6:$C$998,G$4,'[1]Blackout Brand Fam Areas (Enc)'!$D$6:$D$998,"Inactive")&gt;0,"BLOCKED","CAN SELL")))))</f>
        <v>CAN SELL</v>
      </c>
      <c r="H112" s="11" t="str">
        <f>IF($A112="","",_xlfn.LET(_xlpm.t,MATCH($B112,'[1]Territory Definitions'!$B$5:$B$14,0),IF(ISNA(_xlpm.t),"NO TERRITORY",IF(INDEX('[1]Territory Definitions'!$D$5:$M$14,_xlpm.t,MATCH(H$4,'[1]Territory Definitions'!$D$4:$M$4,0))&lt;&gt;1,"NOT IN TERRITORY",IF(COUNTIFS('[1]Blackout Brand Fam Areas (Enc)'!$B$6:$B$998,$A112,'[1]Blackout Brand Fam Areas (Enc)'!$C$6:$C$998,H$4,'[1]Blackout Brand Fam Areas (Enc)'!$D$6:$D$998,"Inactive")&gt;0,"BLOCKED","CAN SELL")))))</f>
        <v>CAN SELL</v>
      </c>
      <c r="I112" s="11" t="str">
        <f>IF($A112="","",_xlfn.LET(_xlpm.t,MATCH($B112,'[1]Territory Definitions'!$B$5:$B$14,0),IF(ISNA(_xlpm.t),"NO TERRITORY",IF(INDEX('[1]Territory Definitions'!$D$5:$M$14,_xlpm.t,MATCH(I$4,'[1]Territory Definitions'!$D$4:$M$4,0))&lt;&gt;1,"NOT IN TERRITORY",IF(COUNTIFS('[1]Blackout Brand Fam Areas (Enc)'!$B$6:$B$998,$A112,'[1]Blackout Brand Fam Areas (Enc)'!$C$6:$C$998,I$4,'[1]Blackout Brand Fam Areas (Enc)'!$D$6:$D$998,"Inactive")&gt;0,"BLOCKED","CAN SELL")))))</f>
        <v>CAN SELL</v>
      </c>
      <c r="J112" s="11" t="str">
        <f>IF($A112="","",_xlfn.LET(_xlpm.t,MATCH($B112,'[1]Territory Definitions'!$B$5:$B$14,0),IF(ISNA(_xlpm.t),"NO TERRITORY",IF(INDEX('[1]Territory Definitions'!$D$5:$M$14,_xlpm.t,MATCH(J$4,'[1]Territory Definitions'!$D$4:$M$4,0))&lt;&gt;1,"NOT IN TERRITORY",IF(COUNTIFS('[1]Blackout Brand Fam Areas (Enc)'!$B$6:$B$998,$A112,'[1]Blackout Brand Fam Areas (Enc)'!$C$6:$C$998,J$4,'[1]Blackout Brand Fam Areas (Enc)'!$D$6:$D$998,"Inactive")&gt;0,"BLOCKED","CAN SELL")))))</f>
        <v>CAN SELL</v>
      </c>
      <c r="K112" s="11" t="str">
        <f>IF($A112="","",_xlfn.LET(_xlpm.t,MATCH($B112,'[1]Territory Definitions'!$B$5:$B$14,0),IF(ISNA(_xlpm.t),"NO TERRITORY",IF(INDEX('[1]Territory Definitions'!$D$5:$M$14,_xlpm.t,MATCH(K$4,'[1]Territory Definitions'!$D$4:$M$4,0))&lt;&gt;1,"NOT IN TERRITORY",IF(COUNTIFS('[1]Blackout Brand Fam Areas (Enc)'!$B$6:$B$998,$A112,'[1]Blackout Brand Fam Areas (Enc)'!$C$6:$C$998,K$4,'[1]Blackout Brand Fam Areas (Enc)'!$D$6:$D$998,"Inactive")&gt;0,"BLOCKED","CAN SELL")))))</f>
        <v>CAN SELL</v>
      </c>
      <c r="L112" s="11" t="str">
        <f>IF($A112="","",_xlfn.LET(_xlpm.t,MATCH($B112,'[1]Territory Definitions'!$B$5:$B$14,0),IF(ISNA(_xlpm.t),"NO TERRITORY",IF(INDEX('[1]Territory Definitions'!$D$5:$M$14,_xlpm.t,MATCH(L$4,'[1]Territory Definitions'!$D$4:$M$4,0))&lt;&gt;1,"NOT IN TERRITORY",IF(COUNTIFS('[1]Blackout Brand Fam Areas (Enc)'!$B$6:$B$998,$A112,'[1]Blackout Brand Fam Areas (Enc)'!$C$6:$C$998,L$4,'[1]Blackout Brand Fam Areas (Enc)'!$D$6:$D$998,"Inactive")&gt;0,"BLOCKED","CAN SELL")))))</f>
        <v>CAN SELL</v>
      </c>
      <c r="M112" s="12">
        <f>IF($A112="","",COUNTIF($C112:$L112,"CAN SELL"))</f>
        <v>10</v>
      </c>
      <c r="N112" s="13" cm="1">
        <f t="array" ref="N112">IF($A112="","",SUMPRODUCT(($C112:$L112="CAN SELL")*$C$3:$L$3))</f>
        <v>2306</v>
      </c>
      <c r="O112" s="14" t="str">
        <f>IF($A112="","",IF(COUNTIF($A$5:$A$299,$A112)&gt;1,"DUPLICATE - two different territories assigned",IF($B112="** NO TERRITORY SET **","No territory on Brand Family Territory (Enc)","")))</f>
        <v/>
      </c>
      <c r="P112" s="18" t="str">
        <f>IF($A112="","",IFERROR(INDEX([1]Products!$H$4:$H$4801,MATCH($A112,[1]Products!$G$4:$G$4801,0)),"(no products)"))</f>
        <v>Forged Irish Stout</v>
      </c>
      <c r="Q112" s="19">
        <f>IF($A112="","",COUNTIFS([1]Products!$G$4:$G$4801,$A112,[1]Products!$L$4:$L$4801,"Yes"))</f>
        <v>3</v>
      </c>
      <c r="R112" s="19">
        <f>IF($A112="","",COUNTIFS([1]Products!$G$4:$G$4801,$A112,[1]Products!$L$4:$L$4801,"Yes",[1]Products!$K$4:$K$4801,"Draft"))</f>
        <v>2</v>
      </c>
      <c r="S112" s="19">
        <f>IF($A112="","",COUNTIFS([1]Products!$G$4:$G$4801,$A112,[1]Products!$L$4:$L$4801,"Yes",[1]Products!$K$4:$K$4801,"Package"))</f>
        <v>1</v>
      </c>
      <c r="T112" s="20" t="str" cm="1">
        <f t="array" ref="T112">IF($A112="","",_xlfn.IFS($Q112=0,"NO ACTIVE SKUs",AND($R112&gt;0,$S112&gt;0),"Draft &amp; Package",$R112&gt;0,"Draft only",TRUE,"Package only"))</f>
        <v>Draft &amp; Package</v>
      </c>
    </row>
    <row r="113" spans="1:20" x14ac:dyDescent="0.2">
      <c r="A113" s="9" t="str">
        <v>Fosters</v>
      </c>
      <c r="B113" s="10" t="str">
        <f>IF($A113="","",_xlfn.XLOOKUP($A113,'[1]Brand Family Territory (Enc)'!$A:$A,'[1]Brand Family Territory (Enc)'!$B:$B,"** NO TERRITORY SET **"))</f>
        <v>Core Market</v>
      </c>
      <c r="C113" s="11" t="str">
        <f>IF($A113="","",_xlfn.LET(_xlpm.t,MATCH($B113,'[1]Territory Definitions'!$B$5:$B$14,0),IF(ISNA(_xlpm.t),"NO TERRITORY",IF(INDEX('[1]Territory Definitions'!$D$5:$M$14,_xlpm.t,MATCH(C$4,'[1]Territory Definitions'!$D$4:$M$4,0))&lt;&gt;1,"NOT IN TERRITORY",IF(COUNTIFS('[1]Blackout Brand Fam Areas (Enc)'!$B$6:$B$998,$A113,'[1]Blackout Brand Fam Areas (Enc)'!$C$6:$C$998,C$4,'[1]Blackout Brand Fam Areas (Enc)'!$D$6:$D$998,"Inactive")&gt;0,"BLOCKED","CAN SELL")))))</f>
        <v>CAN SELL</v>
      </c>
      <c r="D113" s="11" t="str">
        <f>IF($A113="","",_xlfn.LET(_xlpm.t,MATCH($B113,'[1]Territory Definitions'!$B$5:$B$14,0),IF(ISNA(_xlpm.t),"NO TERRITORY",IF(INDEX('[1]Territory Definitions'!$D$5:$M$14,_xlpm.t,MATCH(D$4,'[1]Territory Definitions'!$D$4:$M$4,0))&lt;&gt;1,"NOT IN TERRITORY",IF(COUNTIFS('[1]Blackout Brand Fam Areas (Enc)'!$B$6:$B$998,$A113,'[1]Blackout Brand Fam Areas (Enc)'!$C$6:$C$998,D$4,'[1]Blackout Brand Fam Areas (Enc)'!$D$6:$D$998,"Inactive")&gt;0,"BLOCKED","CAN SELL")))))</f>
        <v>CAN SELL</v>
      </c>
      <c r="E113" s="11" t="str">
        <f>IF($A113="","",_xlfn.LET(_xlpm.t,MATCH($B113,'[1]Territory Definitions'!$B$5:$B$14,0),IF(ISNA(_xlpm.t),"NO TERRITORY",IF(INDEX('[1]Territory Definitions'!$D$5:$M$14,_xlpm.t,MATCH(E$4,'[1]Territory Definitions'!$D$4:$M$4,0))&lt;&gt;1,"NOT IN TERRITORY",IF(COUNTIFS('[1]Blackout Brand Fam Areas (Enc)'!$B$6:$B$998,$A113,'[1]Blackout Brand Fam Areas (Enc)'!$C$6:$C$998,E$4,'[1]Blackout Brand Fam Areas (Enc)'!$D$6:$D$998,"Inactive")&gt;0,"BLOCKED","CAN SELL")))))</f>
        <v>CAN SELL</v>
      </c>
      <c r="F113" s="11" t="str">
        <f>IF($A113="","",_xlfn.LET(_xlpm.t,MATCH($B113,'[1]Territory Definitions'!$B$5:$B$14,0),IF(ISNA(_xlpm.t),"NO TERRITORY",IF(INDEX('[1]Territory Definitions'!$D$5:$M$14,_xlpm.t,MATCH(F$4,'[1]Territory Definitions'!$D$4:$M$4,0))&lt;&gt;1,"NOT IN TERRITORY",IF(COUNTIFS('[1]Blackout Brand Fam Areas (Enc)'!$B$6:$B$998,$A113,'[1]Blackout Brand Fam Areas (Enc)'!$C$6:$C$998,F$4,'[1]Blackout Brand Fam Areas (Enc)'!$D$6:$D$998,"Inactive")&gt;0,"BLOCKED","CAN SELL")))))</f>
        <v>NOT IN TERRITORY</v>
      </c>
      <c r="G113" s="11" t="str">
        <f>IF($A113="","",_xlfn.LET(_xlpm.t,MATCH($B113,'[1]Territory Definitions'!$B$5:$B$14,0),IF(ISNA(_xlpm.t),"NO TERRITORY",IF(INDEX('[1]Territory Definitions'!$D$5:$M$14,_xlpm.t,MATCH(G$4,'[1]Territory Definitions'!$D$4:$M$4,0))&lt;&gt;1,"NOT IN TERRITORY",IF(COUNTIFS('[1]Blackout Brand Fam Areas (Enc)'!$B$6:$B$998,$A113,'[1]Blackout Brand Fam Areas (Enc)'!$C$6:$C$998,G$4,'[1]Blackout Brand Fam Areas (Enc)'!$D$6:$D$998,"Inactive")&gt;0,"BLOCKED","CAN SELL")))))</f>
        <v>NOT IN TERRITORY</v>
      </c>
      <c r="H113" s="11" t="str">
        <f>IF($A113="","",_xlfn.LET(_xlpm.t,MATCH($B113,'[1]Territory Definitions'!$B$5:$B$14,0),IF(ISNA(_xlpm.t),"NO TERRITORY",IF(INDEX('[1]Territory Definitions'!$D$5:$M$14,_xlpm.t,MATCH(H$4,'[1]Territory Definitions'!$D$4:$M$4,0))&lt;&gt;1,"NOT IN TERRITORY",IF(COUNTIFS('[1]Blackout Brand Fam Areas (Enc)'!$B$6:$B$998,$A113,'[1]Blackout Brand Fam Areas (Enc)'!$C$6:$C$998,H$4,'[1]Blackout Brand Fam Areas (Enc)'!$D$6:$D$998,"Inactive")&gt;0,"BLOCKED","CAN SELL")))))</f>
        <v>NOT IN TERRITORY</v>
      </c>
      <c r="I113" s="11" t="str">
        <f>IF($A113="","",_xlfn.LET(_xlpm.t,MATCH($B113,'[1]Territory Definitions'!$B$5:$B$14,0),IF(ISNA(_xlpm.t),"NO TERRITORY",IF(INDEX('[1]Territory Definitions'!$D$5:$M$14,_xlpm.t,MATCH(I$4,'[1]Territory Definitions'!$D$4:$M$4,0))&lt;&gt;1,"NOT IN TERRITORY",IF(COUNTIFS('[1]Blackout Brand Fam Areas (Enc)'!$B$6:$B$998,$A113,'[1]Blackout Brand Fam Areas (Enc)'!$C$6:$C$998,I$4,'[1]Blackout Brand Fam Areas (Enc)'!$D$6:$D$998,"Inactive")&gt;0,"BLOCKED","CAN SELL")))))</f>
        <v>CAN SELL</v>
      </c>
      <c r="J113" s="11" t="str">
        <f>IF($A113="","",_xlfn.LET(_xlpm.t,MATCH($B113,'[1]Territory Definitions'!$B$5:$B$14,0),IF(ISNA(_xlpm.t),"NO TERRITORY",IF(INDEX('[1]Territory Definitions'!$D$5:$M$14,_xlpm.t,MATCH(J$4,'[1]Territory Definitions'!$D$4:$M$4,0))&lt;&gt;1,"NOT IN TERRITORY",IF(COUNTIFS('[1]Blackout Brand Fam Areas (Enc)'!$B$6:$B$998,$A113,'[1]Blackout Brand Fam Areas (Enc)'!$C$6:$C$998,J$4,'[1]Blackout Brand Fam Areas (Enc)'!$D$6:$D$998,"Inactive")&gt;0,"BLOCKED","CAN SELL")))))</f>
        <v>CAN SELL</v>
      </c>
      <c r="K113" s="11" t="str">
        <f>IF($A113="","",_xlfn.LET(_xlpm.t,MATCH($B113,'[1]Territory Definitions'!$B$5:$B$14,0),IF(ISNA(_xlpm.t),"NO TERRITORY",IF(INDEX('[1]Territory Definitions'!$D$5:$M$14,_xlpm.t,MATCH(K$4,'[1]Territory Definitions'!$D$4:$M$4,0))&lt;&gt;1,"NOT IN TERRITORY",IF(COUNTIFS('[1]Blackout Brand Fam Areas (Enc)'!$B$6:$B$998,$A113,'[1]Blackout Brand Fam Areas (Enc)'!$C$6:$C$998,K$4,'[1]Blackout Brand Fam Areas (Enc)'!$D$6:$D$998,"Inactive")&gt;0,"BLOCKED","CAN SELL")))))</f>
        <v>NOT IN TERRITORY</v>
      </c>
      <c r="L113" s="11" t="str">
        <f>IF($A113="","",_xlfn.LET(_xlpm.t,MATCH($B113,'[1]Territory Definitions'!$B$5:$B$14,0),IF(ISNA(_xlpm.t),"NO TERRITORY",IF(INDEX('[1]Territory Definitions'!$D$5:$M$14,_xlpm.t,MATCH(L$4,'[1]Territory Definitions'!$D$4:$M$4,0))&lt;&gt;1,"NOT IN TERRITORY",IF(COUNTIFS('[1]Blackout Brand Fam Areas (Enc)'!$B$6:$B$998,$A113,'[1]Blackout Brand Fam Areas (Enc)'!$C$6:$C$998,L$4,'[1]Blackout Brand Fam Areas (Enc)'!$D$6:$D$998,"Inactive")&gt;0,"BLOCKED","CAN SELL")))))</f>
        <v>CAN SELL</v>
      </c>
      <c r="M113" s="12">
        <f>IF($A113="","",COUNTIF($C113:$L113,"CAN SELL"))</f>
        <v>6</v>
      </c>
      <c r="N113" s="13" cm="1">
        <f t="array" ref="N113">IF($A113="","",SUMPRODUCT(($C113:$L113="CAN SELL")*$C$3:$L$3))</f>
        <v>1596</v>
      </c>
      <c r="O113" s="14" t="str">
        <f>IF($A113="","",IF(COUNTIF($A$5:$A$299,$A113)&gt;1,"DUPLICATE - two different territories assigned",IF($B113="** NO TERRITORY SET **","No territory on Brand Family Territory (Enc)","")))</f>
        <v/>
      </c>
      <c r="P113" s="18" t="str">
        <f>IF($A113="","",IFERROR(INDEX([1]Products!$H$4:$H$4801,MATCH($A113,[1]Products!$G$4:$G$4801,0)),"(no products)"))</f>
        <v>MolsonCoors Beverage Company</v>
      </c>
      <c r="Q113" s="19">
        <f>IF($A113="","",COUNTIFS([1]Products!$G$4:$G$4801,$A113,[1]Products!$L$4:$L$4801,"Yes"))</f>
        <v>3</v>
      </c>
      <c r="R113" s="19">
        <f>IF($A113="","",COUNTIFS([1]Products!$G$4:$G$4801,$A113,[1]Products!$L$4:$L$4801,"Yes",[1]Products!$K$4:$K$4801,"Draft"))</f>
        <v>1</v>
      </c>
      <c r="S113" s="19">
        <f>IF($A113="","",COUNTIFS([1]Products!$G$4:$G$4801,$A113,[1]Products!$L$4:$L$4801,"Yes",[1]Products!$K$4:$K$4801,"Package"))</f>
        <v>2</v>
      </c>
      <c r="T113" s="20" t="str" cm="1">
        <f t="array" ref="T113">IF($A113="","",_xlfn.IFS($Q113=0,"NO ACTIVE SKUs",AND($R113&gt;0,$S113&gt;0),"Draft &amp; Package",$R113&gt;0,"Draft only",TRUE,"Package only"))</f>
        <v>Draft &amp; Package</v>
      </c>
    </row>
    <row r="114" spans="1:20" x14ac:dyDescent="0.2">
      <c r="A114" s="9" t="str">
        <v>Four Loko</v>
      </c>
      <c r="B114" s="10" t="str">
        <f>IF($A114="","",_xlfn.XLOOKUP($A114,'[1]Brand Family Territory (Enc)'!$A:$A,'[1]Brand Family Territory (Enc)'!$B:$B,"** NO TERRITORY SET **"))</f>
        <v>Core Less Essex (Alt)</v>
      </c>
      <c r="C114" s="11" t="str">
        <f>IF($A114="","",_xlfn.LET(_xlpm.t,MATCH($B114,'[1]Territory Definitions'!$B$5:$B$14,0),IF(ISNA(_xlpm.t),"NO TERRITORY",IF(INDEX('[1]Territory Definitions'!$D$5:$M$14,_xlpm.t,MATCH(C$4,'[1]Territory Definitions'!$D$4:$M$4,0))&lt;&gt;1,"NOT IN TERRITORY",IF(COUNTIFS('[1]Blackout Brand Fam Areas (Enc)'!$B$6:$B$998,$A114,'[1]Blackout Brand Fam Areas (Enc)'!$C$6:$C$998,C$4,'[1]Blackout Brand Fam Areas (Enc)'!$D$6:$D$998,"Inactive")&gt;0,"BLOCKED","CAN SELL")))))</f>
        <v>CAN SELL</v>
      </c>
      <c r="D114" s="11" t="str">
        <f>IF($A114="","",_xlfn.LET(_xlpm.t,MATCH($B114,'[1]Territory Definitions'!$B$5:$B$14,0),IF(ISNA(_xlpm.t),"NO TERRITORY",IF(INDEX('[1]Territory Definitions'!$D$5:$M$14,_xlpm.t,MATCH(D$4,'[1]Territory Definitions'!$D$4:$M$4,0))&lt;&gt;1,"NOT IN TERRITORY",IF(COUNTIFS('[1]Blackout Brand Fam Areas (Enc)'!$B$6:$B$998,$A114,'[1]Blackout Brand Fam Areas (Enc)'!$C$6:$C$998,D$4,'[1]Blackout Brand Fam Areas (Enc)'!$D$6:$D$998,"Inactive")&gt;0,"BLOCKED","CAN SELL")))))</f>
        <v>CAN SELL</v>
      </c>
      <c r="E114" s="11" t="str">
        <f>IF($A114="","",_xlfn.LET(_xlpm.t,MATCH($B114,'[1]Territory Definitions'!$B$5:$B$14,0),IF(ISNA(_xlpm.t),"NO TERRITORY",IF(INDEX('[1]Territory Definitions'!$D$5:$M$14,_xlpm.t,MATCH(E$4,'[1]Territory Definitions'!$D$4:$M$4,0))&lt;&gt;1,"NOT IN TERRITORY",IF(COUNTIFS('[1]Blackout Brand Fam Areas (Enc)'!$B$6:$B$998,$A114,'[1]Blackout Brand Fam Areas (Enc)'!$C$6:$C$998,E$4,'[1]Blackout Brand Fam Areas (Enc)'!$D$6:$D$998,"Inactive")&gt;0,"BLOCKED","CAN SELL")))))</f>
        <v>CAN SELL</v>
      </c>
      <c r="F114" s="11" t="str">
        <f>IF($A114="","",_xlfn.LET(_xlpm.t,MATCH($B114,'[1]Territory Definitions'!$B$5:$B$14,0),IF(ISNA(_xlpm.t),"NO TERRITORY",IF(INDEX('[1]Territory Definitions'!$D$5:$M$14,_xlpm.t,MATCH(F$4,'[1]Territory Definitions'!$D$4:$M$4,0))&lt;&gt;1,"NOT IN TERRITORY",IF(COUNTIFS('[1]Blackout Brand Fam Areas (Enc)'!$B$6:$B$998,$A114,'[1]Blackout Brand Fam Areas (Enc)'!$C$6:$C$998,F$4,'[1]Blackout Brand Fam Areas (Enc)'!$D$6:$D$998,"Inactive")&gt;0,"BLOCKED","CAN SELL")))))</f>
        <v>NOT IN TERRITORY</v>
      </c>
      <c r="G114" s="11" t="str">
        <f>IF($A114="","",_xlfn.LET(_xlpm.t,MATCH($B114,'[1]Territory Definitions'!$B$5:$B$14,0),IF(ISNA(_xlpm.t),"NO TERRITORY",IF(INDEX('[1]Territory Definitions'!$D$5:$M$14,_xlpm.t,MATCH(G$4,'[1]Territory Definitions'!$D$4:$M$4,0))&lt;&gt;1,"NOT IN TERRITORY",IF(COUNTIFS('[1]Blackout Brand Fam Areas (Enc)'!$B$6:$B$998,$A114,'[1]Blackout Brand Fam Areas (Enc)'!$C$6:$C$998,G$4,'[1]Blackout Brand Fam Areas (Enc)'!$D$6:$D$998,"Inactive")&gt;0,"BLOCKED","CAN SELL")))))</f>
        <v>CAN SELL</v>
      </c>
      <c r="H114" s="11" t="str">
        <f>IF($A114="","",_xlfn.LET(_xlpm.t,MATCH($B114,'[1]Territory Definitions'!$B$5:$B$14,0),IF(ISNA(_xlpm.t),"NO TERRITORY",IF(INDEX('[1]Territory Definitions'!$D$5:$M$14,_xlpm.t,MATCH(H$4,'[1]Territory Definitions'!$D$4:$M$4,0))&lt;&gt;1,"NOT IN TERRITORY",IF(COUNTIFS('[1]Blackout Brand Fam Areas (Enc)'!$B$6:$B$998,$A114,'[1]Blackout Brand Fam Areas (Enc)'!$C$6:$C$998,H$4,'[1]Blackout Brand Fam Areas (Enc)'!$D$6:$D$998,"Inactive")&gt;0,"BLOCKED","CAN SELL")))))</f>
        <v>NOT IN TERRITORY</v>
      </c>
      <c r="I114" s="11" t="str">
        <f>IF($A114="","",_xlfn.LET(_xlpm.t,MATCH($B114,'[1]Territory Definitions'!$B$5:$B$14,0),IF(ISNA(_xlpm.t),"NO TERRITORY",IF(INDEX('[1]Territory Definitions'!$D$5:$M$14,_xlpm.t,MATCH(I$4,'[1]Territory Definitions'!$D$4:$M$4,0))&lt;&gt;1,"NOT IN TERRITORY",IF(COUNTIFS('[1]Blackout Brand Fam Areas (Enc)'!$B$6:$B$998,$A114,'[1]Blackout Brand Fam Areas (Enc)'!$C$6:$C$998,I$4,'[1]Blackout Brand Fam Areas (Enc)'!$D$6:$D$998,"Inactive")&gt;0,"BLOCKED","CAN SELL")))))</f>
        <v>CAN SELL</v>
      </c>
      <c r="J114" s="11" t="str">
        <f>IF($A114="","",_xlfn.LET(_xlpm.t,MATCH($B114,'[1]Territory Definitions'!$B$5:$B$14,0),IF(ISNA(_xlpm.t),"NO TERRITORY",IF(INDEX('[1]Territory Definitions'!$D$5:$M$14,_xlpm.t,MATCH(J$4,'[1]Territory Definitions'!$D$4:$M$4,0))&lt;&gt;1,"NOT IN TERRITORY",IF(COUNTIFS('[1]Blackout Brand Fam Areas (Enc)'!$B$6:$B$998,$A114,'[1]Blackout Brand Fam Areas (Enc)'!$C$6:$C$998,J$4,'[1]Blackout Brand Fam Areas (Enc)'!$D$6:$D$998,"Inactive")&gt;0,"BLOCKED","CAN SELL")))))</f>
        <v>CAN SELL</v>
      </c>
      <c r="K114" s="11" t="str">
        <f>IF($A114="","",_xlfn.LET(_xlpm.t,MATCH($B114,'[1]Territory Definitions'!$B$5:$B$14,0),IF(ISNA(_xlpm.t),"NO TERRITORY",IF(INDEX('[1]Territory Definitions'!$D$5:$M$14,_xlpm.t,MATCH(K$4,'[1]Territory Definitions'!$D$4:$M$4,0))&lt;&gt;1,"NOT IN TERRITORY",IF(COUNTIFS('[1]Blackout Brand Fam Areas (Enc)'!$B$6:$B$998,$A114,'[1]Blackout Brand Fam Areas (Enc)'!$C$6:$C$998,K$4,'[1]Blackout Brand Fam Areas (Enc)'!$D$6:$D$998,"Inactive")&gt;0,"BLOCKED","CAN SELL")))))</f>
        <v>NOT IN TERRITORY</v>
      </c>
      <c r="L114" s="11" t="str">
        <f>IF($A114="","",_xlfn.LET(_xlpm.t,MATCH($B114,'[1]Territory Definitions'!$B$5:$B$14,0),IF(ISNA(_xlpm.t),"NO TERRITORY",IF(INDEX('[1]Territory Definitions'!$D$5:$M$14,_xlpm.t,MATCH(L$4,'[1]Territory Definitions'!$D$4:$M$4,0))&lt;&gt;1,"NOT IN TERRITORY",IF(COUNTIFS('[1]Blackout Brand Fam Areas (Enc)'!$B$6:$B$998,$A114,'[1]Blackout Brand Fam Areas (Enc)'!$C$6:$C$998,L$4,'[1]Blackout Brand Fam Areas (Enc)'!$D$6:$D$998,"Inactive")&gt;0,"BLOCKED","CAN SELL")))))</f>
        <v>CAN SELL</v>
      </c>
      <c r="M114" s="12">
        <f>IF($A114="","",COUNTIF($C114:$L114,"CAN SELL"))</f>
        <v>7</v>
      </c>
      <c r="N114" s="13" cm="1">
        <f t="array" ref="N114">IF($A114="","",SUMPRODUCT(($C114:$L114="CAN SELL")*$C$3:$L$3))</f>
        <v>1924</v>
      </c>
      <c r="O114" s="14" t="str">
        <f>IF($A114="","",IF(COUNTIF($A$5:$A$299,$A114)&gt;1,"DUPLICATE - two different territories assigned",IF($B114="** NO TERRITORY SET **","No territory on Brand Family Territory (Enc)","")))</f>
        <v/>
      </c>
      <c r="P114" s="18" t="str">
        <f>IF($A114="","",IFERROR(INDEX([1]Products!$H$4:$H$4801,MATCH($A114,[1]Products!$G$4:$G$4801,0)),"(no products)"))</f>
        <v>Phusion Projects</v>
      </c>
      <c r="Q114" s="19">
        <f>IF($A114="","",COUNTIFS([1]Products!$G$4:$G$4801,$A114,[1]Products!$L$4:$L$4801,"Yes"))</f>
        <v>15</v>
      </c>
      <c r="R114" s="19">
        <f>IF($A114="","",COUNTIFS([1]Products!$G$4:$G$4801,$A114,[1]Products!$L$4:$L$4801,"Yes",[1]Products!$K$4:$K$4801,"Draft"))</f>
        <v>0</v>
      </c>
      <c r="S114" s="19">
        <f>IF($A114="","",COUNTIFS([1]Products!$G$4:$G$4801,$A114,[1]Products!$L$4:$L$4801,"Yes",[1]Products!$K$4:$K$4801,"Package"))</f>
        <v>15</v>
      </c>
      <c r="T114" s="20" t="str" cm="1">
        <f t="array" ref="T114">IF($A114="","",_xlfn.IFS($Q114=0,"NO ACTIVE SKUs",AND($R114&gt;0,$S114&gt;0),"Draft &amp; Package",$R114&gt;0,"Draft only",TRUE,"Package only"))</f>
        <v>Package only</v>
      </c>
    </row>
    <row r="115" spans="1:20" x14ac:dyDescent="0.2">
      <c r="A115" s="9" t="str">
        <v>Fresca Mixed</v>
      </c>
      <c r="B115" s="10" t="str">
        <f>IF($A115="","",_xlfn.XLOOKUP($A115,'[1]Brand Family Territory (Enc)'!$A:$A,'[1]Brand Family Territory (Enc)'!$B:$B,"** NO TERRITORY SET **"))</f>
        <v>Core Market</v>
      </c>
      <c r="C115" s="11" t="str">
        <f>IF($A115="","",_xlfn.LET(_xlpm.t,MATCH($B115,'[1]Territory Definitions'!$B$5:$B$14,0),IF(ISNA(_xlpm.t),"NO TERRITORY",IF(INDEX('[1]Territory Definitions'!$D$5:$M$14,_xlpm.t,MATCH(C$4,'[1]Territory Definitions'!$D$4:$M$4,0))&lt;&gt;1,"NOT IN TERRITORY",IF(COUNTIFS('[1]Blackout Brand Fam Areas (Enc)'!$B$6:$B$998,$A115,'[1]Blackout Brand Fam Areas (Enc)'!$C$6:$C$998,C$4,'[1]Blackout Brand Fam Areas (Enc)'!$D$6:$D$998,"Inactive")&gt;0,"BLOCKED","CAN SELL")))))</f>
        <v>CAN SELL</v>
      </c>
      <c r="D115" s="11" t="str">
        <f>IF($A115="","",_xlfn.LET(_xlpm.t,MATCH($B115,'[1]Territory Definitions'!$B$5:$B$14,0),IF(ISNA(_xlpm.t),"NO TERRITORY",IF(INDEX('[1]Territory Definitions'!$D$5:$M$14,_xlpm.t,MATCH(D$4,'[1]Territory Definitions'!$D$4:$M$4,0))&lt;&gt;1,"NOT IN TERRITORY",IF(COUNTIFS('[1]Blackout Brand Fam Areas (Enc)'!$B$6:$B$998,$A115,'[1]Blackout Brand Fam Areas (Enc)'!$C$6:$C$998,D$4,'[1]Blackout Brand Fam Areas (Enc)'!$D$6:$D$998,"Inactive")&gt;0,"BLOCKED","CAN SELL")))))</f>
        <v>CAN SELL</v>
      </c>
      <c r="E115" s="11" t="str">
        <f>IF($A115="","",_xlfn.LET(_xlpm.t,MATCH($B115,'[1]Territory Definitions'!$B$5:$B$14,0),IF(ISNA(_xlpm.t),"NO TERRITORY",IF(INDEX('[1]Territory Definitions'!$D$5:$M$14,_xlpm.t,MATCH(E$4,'[1]Territory Definitions'!$D$4:$M$4,0))&lt;&gt;1,"NOT IN TERRITORY",IF(COUNTIFS('[1]Blackout Brand Fam Areas (Enc)'!$B$6:$B$998,$A115,'[1]Blackout Brand Fam Areas (Enc)'!$C$6:$C$998,E$4,'[1]Blackout Brand Fam Areas (Enc)'!$D$6:$D$998,"Inactive")&gt;0,"BLOCKED","CAN SELL")))))</f>
        <v>CAN SELL</v>
      </c>
      <c r="F115" s="11" t="str">
        <f>IF($A115="","",_xlfn.LET(_xlpm.t,MATCH($B115,'[1]Territory Definitions'!$B$5:$B$14,0),IF(ISNA(_xlpm.t),"NO TERRITORY",IF(INDEX('[1]Territory Definitions'!$D$5:$M$14,_xlpm.t,MATCH(F$4,'[1]Territory Definitions'!$D$4:$M$4,0))&lt;&gt;1,"NOT IN TERRITORY",IF(COUNTIFS('[1]Blackout Brand Fam Areas (Enc)'!$B$6:$B$998,$A115,'[1]Blackout Brand Fam Areas (Enc)'!$C$6:$C$998,F$4,'[1]Blackout Brand Fam Areas (Enc)'!$D$6:$D$998,"Inactive")&gt;0,"BLOCKED","CAN SELL")))))</f>
        <v>NOT IN TERRITORY</v>
      </c>
      <c r="G115" s="11" t="str">
        <f>IF($A115="","",_xlfn.LET(_xlpm.t,MATCH($B115,'[1]Territory Definitions'!$B$5:$B$14,0),IF(ISNA(_xlpm.t),"NO TERRITORY",IF(INDEX('[1]Territory Definitions'!$D$5:$M$14,_xlpm.t,MATCH(G$4,'[1]Territory Definitions'!$D$4:$M$4,0))&lt;&gt;1,"NOT IN TERRITORY",IF(COUNTIFS('[1]Blackout Brand Fam Areas (Enc)'!$B$6:$B$998,$A115,'[1]Blackout Brand Fam Areas (Enc)'!$C$6:$C$998,G$4,'[1]Blackout Brand Fam Areas (Enc)'!$D$6:$D$998,"Inactive")&gt;0,"BLOCKED","CAN SELL")))))</f>
        <v>NOT IN TERRITORY</v>
      </c>
      <c r="H115" s="11" t="str">
        <f>IF($A115="","",_xlfn.LET(_xlpm.t,MATCH($B115,'[1]Territory Definitions'!$B$5:$B$14,0),IF(ISNA(_xlpm.t),"NO TERRITORY",IF(INDEX('[1]Territory Definitions'!$D$5:$M$14,_xlpm.t,MATCH(H$4,'[1]Territory Definitions'!$D$4:$M$4,0))&lt;&gt;1,"NOT IN TERRITORY",IF(COUNTIFS('[1]Blackout Brand Fam Areas (Enc)'!$B$6:$B$998,$A115,'[1]Blackout Brand Fam Areas (Enc)'!$C$6:$C$998,H$4,'[1]Blackout Brand Fam Areas (Enc)'!$D$6:$D$998,"Inactive")&gt;0,"BLOCKED","CAN SELL")))))</f>
        <v>NOT IN TERRITORY</v>
      </c>
      <c r="I115" s="11" t="str">
        <f>IF($A115="","",_xlfn.LET(_xlpm.t,MATCH($B115,'[1]Territory Definitions'!$B$5:$B$14,0),IF(ISNA(_xlpm.t),"NO TERRITORY",IF(INDEX('[1]Territory Definitions'!$D$5:$M$14,_xlpm.t,MATCH(I$4,'[1]Territory Definitions'!$D$4:$M$4,0))&lt;&gt;1,"NOT IN TERRITORY",IF(COUNTIFS('[1]Blackout Brand Fam Areas (Enc)'!$B$6:$B$998,$A115,'[1]Blackout Brand Fam Areas (Enc)'!$C$6:$C$998,I$4,'[1]Blackout Brand Fam Areas (Enc)'!$D$6:$D$998,"Inactive")&gt;0,"BLOCKED","CAN SELL")))))</f>
        <v>CAN SELL</v>
      </c>
      <c r="J115" s="11" t="str">
        <f>IF($A115="","",_xlfn.LET(_xlpm.t,MATCH($B115,'[1]Territory Definitions'!$B$5:$B$14,0),IF(ISNA(_xlpm.t),"NO TERRITORY",IF(INDEX('[1]Territory Definitions'!$D$5:$M$14,_xlpm.t,MATCH(J$4,'[1]Territory Definitions'!$D$4:$M$4,0))&lt;&gt;1,"NOT IN TERRITORY",IF(COUNTIFS('[1]Blackout Brand Fam Areas (Enc)'!$B$6:$B$998,$A115,'[1]Blackout Brand Fam Areas (Enc)'!$C$6:$C$998,J$4,'[1]Blackout Brand Fam Areas (Enc)'!$D$6:$D$998,"Inactive")&gt;0,"BLOCKED","CAN SELL")))))</f>
        <v>CAN SELL</v>
      </c>
      <c r="K115" s="11" t="str">
        <f>IF($A115="","",_xlfn.LET(_xlpm.t,MATCH($B115,'[1]Territory Definitions'!$B$5:$B$14,0),IF(ISNA(_xlpm.t),"NO TERRITORY",IF(INDEX('[1]Territory Definitions'!$D$5:$M$14,_xlpm.t,MATCH(K$4,'[1]Territory Definitions'!$D$4:$M$4,0))&lt;&gt;1,"NOT IN TERRITORY",IF(COUNTIFS('[1]Blackout Brand Fam Areas (Enc)'!$B$6:$B$998,$A115,'[1]Blackout Brand Fam Areas (Enc)'!$C$6:$C$998,K$4,'[1]Blackout Brand Fam Areas (Enc)'!$D$6:$D$998,"Inactive")&gt;0,"BLOCKED","CAN SELL")))))</f>
        <v>NOT IN TERRITORY</v>
      </c>
      <c r="L115" s="11" t="str">
        <f>IF($A115="","",_xlfn.LET(_xlpm.t,MATCH($B115,'[1]Territory Definitions'!$B$5:$B$14,0),IF(ISNA(_xlpm.t),"NO TERRITORY",IF(INDEX('[1]Territory Definitions'!$D$5:$M$14,_xlpm.t,MATCH(L$4,'[1]Territory Definitions'!$D$4:$M$4,0))&lt;&gt;1,"NOT IN TERRITORY",IF(COUNTIFS('[1]Blackout Brand Fam Areas (Enc)'!$B$6:$B$998,$A115,'[1]Blackout Brand Fam Areas (Enc)'!$C$6:$C$998,L$4,'[1]Blackout Brand Fam Areas (Enc)'!$D$6:$D$998,"Inactive")&gt;0,"BLOCKED","CAN SELL")))))</f>
        <v>CAN SELL</v>
      </c>
      <c r="M115" s="12">
        <f>IF($A115="","",COUNTIF($C115:$L115,"CAN SELL"))</f>
        <v>6</v>
      </c>
      <c r="N115" s="13" cm="1">
        <f t="array" ref="N115">IF($A115="","",SUMPRODUCT(($C115:$L115="CAN SELL")*$C$3:$L$3))</f>
        <v>1596</v>
      </c>
      <c r="O115" s="14" t="str">
        <f>IF($A115="","",IF(COUNTIF($A$5:$A$299,$A115)&gt;1,"DUPLICATE - two different territories assigned",IF($B115="** NO TERRITORY SET **","No territory on Brand Family Territory (Enc)","")))</f>
        <v/>
      </c>
      <c r="P115" s="18" t="str">
        <f>IF($A115="","",IFERROR(INDEX([1]Products!$H$4:$H$4801,MATCH($A115,[1]Products!$G$4:$G$4801,0)),"(no products)"))</f>
        <v>SAZERAC INC</v>
      </c>
      <c r="Q115" s="19">
        <f>IF($A115="","",COUNTIFS([1]Products!$G$4:$G$4801,$A115,[1]Products!$L$4:$L$4801,"Yes"))</f>
        <v>2</v>
      </c>
      <c r="R115" s="19">
        <f>IF($A115="","",COUNTIFS([1]Products!$G$4:$G$4801,$A115,[1]Products!$L$4:$L$4801,"Yes",[1]Products!$K$4:$K$4801,"Draft"))</f>
        <v>0</v>
      </c>
      <c r="S115" s="19">
        <f>IF($A115="","",COUNTIFS([1]Products!$G$4:$G$4801,$A115,[1]Products!$L$4:$L$4801,"Yes",[1]Products!$K$4:$K$4801,"Package"))</f>
        <v>0</v>
      </c>
      <c r="T115" s="20" t="str" cm="1">
        <f t="array" ref="T115">IF($A115="","",_xlfn.IFS($Q115=0,"NO ACTIVE SKUs",AND($R115&gt;0,$S115&gt;0),"Draft &amp; Package",$R115&gt;0,"Draft only",TRUE,"Package only"))</f>
        <v>Package only</v>
      </c>
    </row>
    <row r="116" spans="1:20" x14ac:dyDescent="0.2">
      <c r="A116" s="9" t="str">
        <v>Friday Beers</v>
      </c>
      <c r="B116" s="10" t="str">
        <f>IF($A116="","",_xlfn.XLOOKUP($A116,'[1]Brand Family Territory (Enc)'!$A:$A,'[1]Brand Family Territory (Enc)'!$B:$B,"** NO TERRITORY SET **"))</f>
        <v>All Counties</v>
      </c>
      <c r="C116" s="11" t="str">
        <f>IF($A116="","",_xlfn.LET(_xlpm.t,MATCH($B116,'[1]Territory Definitions'!$B$5:$B$14,0),IF(ISNA(_xlpm.t),"NO TERRITORY",IF(INDEX('[1]Territory Definitions'!$D$5:$M$14,_xlpm.t,MATCH(C$4,'[1]Territory Definitions'!$D$4:$M$4,0))&lt;&gt;1,"NOT IN TERRITORY",IF(COUNTIFS('[1]Blackout Brand Fam Areas (Enc)'!$B$6:$B$998,$A116,'[1]Blackout Brand Fam Areas (Enc)'!$C$6:$C$998,C$4,'[1]Blackout Brand Fam Areas (Enc)'!$D$6:$D$998,"Inactive")&gt;0,"BLOCKED","CAN SELL")))))</f>
        <v>CAN SELL</v>
      </c>
      <c r="D116" s="11" t="str">
        <f>IF($A116="","",_xlfn.LET(_xlpm.t,MATCH($B116,'[1]Territory Definitions'!$B$5:$B$14,0),IF(ISNA(_xlpm.t),"NO TERRITORY",IF(INDEX('[1]Territory Definitions'!$D$5:$M$14,_xlpm.t,MATCH(D$4,'[1]Territory Definitions'!$D$4:$M$4,0))&lt;&gt;1,"NOT IN TERRITORY",IF(COUNTIFS('[1]Blackout Brand Fam Areas (Enc)'!$B$6:$B$998,$A116,'[1]Blackout Brand Fam Areas (Enc)'!$C$6:$C$998,D$4,'[1]Blackout Brand Fam Areas (Enc)'!$D$6:$D$998,"Inactive")&gt;0,"BLOCKED","CAN SELL")))))</f>
        <v>CAN SELL</v>
      </c>
      <c r="E116" s="11" t="str">
        <f>IF($A116="","",_xlfn.LET(_xlpm.t,MATCH($B116,'[1]Territory Definitions'!$B$5:$B$14,0),IF(ISNA(_xlpm.t),"NO TERRITORY",IF(INDEX('[1]Territory Definitions'!$D$5:$M$14,_xlpm.t,MATCH(E$4,'[1]Territory Definitions'!$D$4:$M$4,0))&lt;&gt;1,"NOT IN TERRITORY",IF(COUNTIFS('[1]Blackout Brand Fam Areas (Enc)'!$B$6:$B$998,$A116,'[1]Blackout Brand Fam Areas (Enc)'!$C$6:$C$998,E$4,'[1]Blackout Brand Fam Areas (Enc)'!$D$6:$D$998,"Inactive")&gt;0,"BLOCKED","CAN SELL")))))</f>
        <v>CAN SELL</v>
      </c>
      <c r="F116" s="11" t="str">
        <f>IF($A116="","",_xlfn.LET(_xlpm.t,MATCH($B116,'[1]Territory Definitions'!$B$5:$B$14,0),IF(ISNA(_xlpm.t),"NO TERRITORY",IF(INDEX('[1]Territory Definitions'!$D$5:$M$14,_xlpm.t,MATCH(F$4,'[1]Territory Definitions'!$D$4:$M$4,0))&lt;&gt;1,"NOT IN TERRITORY",IF(COUNTIFS('[1]Blackout Brand Fam Areas (Enc)'!$B$6:$B$998,$A116,'[1]Blackout Brand Fam Areas (Enc)'!$C$6:$C$998,F$4,'[1]Blackout Brand Fam Areas (Enc)'!$D$6:$D$998,"Inactive")&gt;0,"BLOCKED","CAN SELL")))))</f>
        <v>CAN SELL</v>
      </c>
      <c r="G116" s="11" t="str">
        <f>IF($A116="","",_xlfn.LET(_xlpm.t,MATCH($B116,'[1]Territory Definitions'!$B$5:$B$14,0),IF(ISNA(_xlpm.t),"NO TERRITORY",IF(INDEX('[1]Territory Definitions'!$D$5:$M$14,_xlpm.t,MATCH(G$4,'[1]Territory Definitions'!$D$4:$M$4,0))&lt;&gt;1,"NOT IN TERRITORY",IF(COUNTIFS('[1]Blackout Brand Fam Areas (Enc)'!$B$6:$B$998,$A116,'[1]Blackout Brand Fam Areas (Enc)'!$C$6:$C$998,G$4,'[1]Blackout Brand Fam Areas (Enc)'!$D$6:$D$998,"Inactive")&gt;0,"BLOCKED","CAN SELL")))))</f>
        <v>CAN SELL</v>
      </c>
      <c r="H116" s="11" t="str">
        <f>IF($A116="","",_xlfn.LET(_xlpm.t,MATCH($B116,'[1]Territory Definitions'!$B$5:$B$14,0),IF(ISNA(_xlpm.t),"NO TERRITORY",IF(INDEX('[1]Territory Definitions'!$D$5:$M$14,_xlpm.t,MATCH(H$4,'[1]Territory Definitions'!$D$4:$M$4,0))&lt;&gt;1,"NOT IN TERRITORY",IF(COUNTIFS('[1]Blackout Brand Fam Areas (Enc)'!$B$6:$B$998,$A116,'[1]Blackout Brand Fam Areas (Enc)'!$C$6:$C$998,H$4,'[1]Blackout Brand Fam Areas (Enc)'!$D$6:$D$998,"Inactive")&gt;0,"BLOCKED","CAN SELL")))))</f>
        <v>CAN SELL</v>
      </c>
      <c r="I116" s="11" t="str">
        <f>IF($A116="","",_xlfn.LET(_xlpm.t,MATCH($B116,'[1]Territory Definitions'!$B$5:$B$14,0),IF(ISNA(_xlpm.t),"NO TERRITORY",IF(INDEX('[1]Territory Definitions'!$D$5:$M$14,_xlpm.t,MATCH(I$4,'[1]Territory Definitions'!$D$4:$M$4,0))&lt;&gt;1,"NOT IN TERRITORY",IF(COUNTIFS('[1]Blackout Brand Fam Areas (Enc)'!$B$6:$B$998,$A116,'[1]Blackout Brand Fam Areas (Enc)'!$C$6:$C$998,I$4,'[1]Blackout Brand Fam Areas (Enc)'!$D$6:$D$998,"Inactive")&gt;0,"BLOCKED","CAN SELL")))))</f>
        <v>CAN SELL</v>
      </c>
      <c r="J116" s="11" t="str">
        <f>IF($A116="","",_xlfn.LET(_xlpm.t,MATCH($B116,'[1]Territory Definitions'!$B$5:$B$14,0),IF(ISNA(_xlpm.t),"NO TERRITORY",IF(INDEX('[1]Territory Definitions'!$D$5:$M$14,_xlpm.t,MATCH(J$4,'[1]Territory Definitions'!$D$4:$M$4,0))&lt;&gt;1,"NOT IN TERRITORY",IF(COUNTIFS('[1]Blackout Brand Fam Areas (Enc)'!$B$6:$B$998,$A116,'[1]Blackout Brand Fam Areas (Enc)'!$C$6:$C$998,J$4,'[1]Blackout Brand Fam Areas (Enc)'!$D$6:$D$998,"Inactive")&gt;0,"BLOCKED","CAN SELL")))))</f>
        <v>CAN SELL</v>
      </c>
      <c r="K116" s="11" t="str">
        <f>IF($A116="","",_xlfn.LET(_xlpm.t,MATCH($B116,'[1]Territory Definitions'!$B$5:$B$14,0),IF(ISNA(_xlpm.t),"NO TERRITORY",IF(INDEX('[1]Territory Definitions'!$D$5:$M$14,_xlpm.t,MATCH(K$4,'[1]Territory Definitions'!$D$4:$M$4,0))&lt;&gt;1,"NOT IN TERRITORY",IF(COUNTIFS('[1]Blackout Brand Fam Areas (Enc)'!$B$6:$B$998,$A116,'[1]Blackout Brand Fam Areas (Enc)'!$C$6:$C$998,K$4,'[1]Blackout Brand Fam Areas (Enc)'!$D$6:$D$998,"Inactive")&gt;0,"BLOCKED","CAN SELL")))))</f>
        <v>CAN SELL</v>
      </c>
      <c r="L116" s="11" t="str">
        <f>IF($A116="","",_xlfn.LET(_xlpm.t,MATCH($B116,'[1]Territory Definitions'!$B$5:$B$14,0),IF(ISNA(_xlpm.t),"NO TERRITORY",IF(INDEX('[1]Territory Definitions'!$D$5:$M$14,_xlpm.t,MATCH(L$4,'[1]Territory Definitions'!$D$4:$M$4,0))&lt;&gt;1,"NOT IN TERRITORY",IF(COUNTIFS('[1]Blackout Brand Fam Areas (Enc)'!$B$6:$B$998,$A116,'[1]Blackout Brand Fam Areas (Enc)'!$C$6:$C$998,L$4,'[1]Blackout Brand Fam Areas (Enc)'!$D$6:$D$998,"Inactive")&gt;0,"BLOCKED","CAN SELL")))))</f>
        <v>CAN SELL</v>
      </c>
      <c r="M116" s="12">
        <f>IF($A116="","",COUNTIF($C116:$L116,"CAN SELL"))</f>
        <v>10</v>
      </c>
      <c r="N116" s="13" cm="1">
        <f t="array" ref="N116">IF($A116="","",SUMPRODUCT(($C116:$L116="CAN SELL")*$C$3:$L$3))</f>
        <v>2306</v>
      </c>
      <c r="O116" s="14" t="str">
        <f>IF($A116="","",IF(COUNTIF($A$5:$A$299,$A116)&gt;1,"DUPLICATE - two different territories assigned",IF($B116="** NO TERRITORY SET **","No territory on Brand Family Territory (Enc)","")))</f>
        <v/>
      </c>
      <c r="P116" s="18" t="str">
        <f>IF($A116="","",IFERROR(INDEX([1]Products!$H$4:$H$4801,MATCH($A116,[1]Products!$G$4:$G$4801,0)),"(no products)"))</f>
        <v>FX Matt</v>
      </c>
      <c r="Q116" s="19">
        <f>IF($A116="","",COUNTIFS([1]Products!$G$4:$G$4801,$A116,[1]Products!$L$4:$L$4801,"Yes"))</f>
        <v>2</v>
      </c>
      <c r="R116" s="19">
        <f>IF($A116="","",COUNTIFS([1]Products!$G$4:$G$4801,$A116,[1]Products!$L$4:$L$4801,"Yes",[1]Products!$K$4:$K$4801,"Draft"))</f>
        <v>1</v>
      </c>
      <c r="S116" s="19">
        <f>IF($A116="","",COUNTIFS([1]Products!$G$4:$G$4801,$A116,[1]Products!$L$4:$L$4801,"Yes",[1]Products!$K$4:$K$4801,"Package"))</f>
        <v>1</v>
      </c>
      <c r="T116" s="20" t="str" cm="1">
        <f t="array" ref="T116">IF($A116="","",_xlfn.IFS($Q116=0,"NO ACTIVE SKUs",AND($R116&gt;0,$S116&gt;0),"Draft &amp; Package",$R116&gt;0,"Draft only",TRUE,"Package only"))</f>
        <v>Draft &amp; Package</v>
      </c>
    </row>
    <row r="117" spans="1:20" x14ac:dyDescent="0.2">
      <c r="A117" s="9" t="str">
        <v>Fuller's</v>
      </c>
      <c r="B117" s="10" t="str">
        <f>IF($A117="","",_xlfn.XLOOKUP($A117,'[1]Brand Family Territory (Enc)'!$A:$A,'[1]Brand Family Territory (Enc)'!$B:$B,"** NO TERRITORY SET **"))</f>
        <v>Bergen/Passaic/Hudson/Essex</v>
      </c>
      <c r="C117" s="11" t="str">
        <f>IF($A117="","",_xlfn.LET(_xlpm.t,MATCH($B117,'[1]Territory Definitions'!$B$5:$B$14,0),IF(ISNA(_xlpm.t),"NO TERRITORY",IF(INDEX('[1]Territory Definitions'!$D$5:$M$14,_xlpm.t,MATCH(C$4,'[1]Territory Definitions'!$D$4:$M$4,0))&lt;&gt;1,"NOT IN TERRITORY",IF(COUNTIFS('[1]Blackout Brand Fam Areas (Enc)'!$B$6:$B$998,$A117,'[1]Blackout Brand Fam Areas (Enc)'!$C$6:$C$998,C$4,'[1]Blackout Brand Fam Areas (Enc)'!$D$6:$D$998,"Inactive")&gt;0,"BLOCKED","CAN SELL")))))</f>
        <v>CAN SELL</v>
      </c>
      <c r="D117" s="11" t="str">
        <f>IF($A117="","",_xlfn.LET(_xlpm.t,MATCH($B117,'[1]Territory Definitions'!$B$5:$B$14,0),IF(ISNA(_xlpm.t),"NO TERRITORY",IF(INDEX('[1]Territory Definitions'!$D$5:$M$14,_xlpm.t,MATCH(D$4,'[1]Territory Definitions'!$D$4:$M$4,0))&lt;&gt;1,"NOT IN TERRITORY",IF(COUNTIFS('[1]Blackout Brand Fam Areas (Enc)'!$B$6:$B$998,$A117,'[1]Blackout Brand Fam Areas (Enc)'!$C$6:$C$998,D$4,'[1]Blackout Brand Fam Areas (Enc)'!$D$6:$D$998,"Inactive")&gt;0,"BLOCKED","CAN SELL")))))</f>
        <v>CAN SELL</v>
      </c>
      <c r="E117" s="11" t="str">
        <f>IF($A117="","",_xlfn.LET(_xlpm.t,MATCH($B117,'[1]Territory Definitions'!$B$5:$B$14,0),IF(ISNA(_xlpm.t),"NO TERRITORY",IF(INDEX('[1]Territory Definitions'!$D$5:$M$14,_xlpm.t,MATCH(E$4,'[1]Territory Definitions'!$D$4:$M$4,0))&lt;&gt;1,"NOT IN TERRITORY",IF(COUNTIFS('[1]Blackout Brand Fam Areas (Enc)'!$B$6:$B$998,$A117,'[1]Blackout Brand Fam Areas (Enc)'!$C$6:$C$998,E$4,'[1]Blackout Brand Fam Areas (Enc)'!$D$6:$D$998,"Inactive")&gt;0,"BLOCKED","CAN SELL")))))</f>
        <v>CAN SELL</v>
      </c>
      <c r="F117" s="11" t="str">
        <f>IF($A117="","",_xlfn.LET(_xlpm.t,MATCH($B117,'[1]Territory Definitions'!$B$5:$B$14,0),IF(ISNA(_xlpm.t),"NO TERRITORY",IF(INDEX('[1]Territory Definitions'!$D$5:$M$14,_xlpm.t,MATCH(F$4,'[1]Territory Definitions'!$D$4:$M$4,0))&lt;&gt;1,"NOT IN TERRITORY",IF(COUNTIFS('[1]Blackout Brand Fam Areas (Enc)'!$B$6:$B$998,$A117,'[1]Blackout Brand Fam Areas (Enc)'!$C$6:$C$998,F$4,'[1]Blackout Brand Fam Areas (Enc)'!$D$6:$D$998,"Inactive")&gt;0,"BLOCKED","CAN SELL")))))</f>
        <v>CAN SELL</v>
      </c>
      <c r="G117" s="11" t="str">
        <f>IF($A117="","",_xlfn.LET(_xlpm.t,MATCH($B117,'[1]Territory Definitions'!$B$5:$B$14,0),IF(ISNA(_xlpm.t),"NO TERRITORY",IF(INDEX('[1]Territory Definitions'!$D$5:$M$14,_xlpm.t,MATCH(G$4,'[1]Territory Definitions'!$D$4:$M$4,0))&lt;&gt;1,"NOT IN TERRITORY",IF(COUNTIFS('[1]Blackout Brand Fam Areas (Enc)'!$B$6:$B$998,$A117,'[1]Blackout Brand Fam Areas (Enc)'!$C$6:$C$998,G$4,'[1]Blackout Brand Fam Areas (Enc)'!$D$6:$D$998,"Inactive")&gt;0,"BLOCKED","CAN SELL")))))</f>
        <v>CAN SELL</v>
      </c>
      <c r="H117" s="11" t="str">
        <f>IF($A117="","",_xlfn.LET(_xlpm.t,MATCH($B117,'[1]Territory Definitions'!$B$5:$B$14,0),IF(ISNA(_xlpm.t),"NO TERRITORY",IF(INDEX('[1]Territory Definitions'!$D$5:$M$14,_xlpm.t,MATCH(H$4,'[1]Territory Definitions'!$D$4:$M$4,0))&lt;&gt;1,"NOT IN TERRITORY",IF(COUNTIFS('[1]Blackout Brand Fam Areas (Enc)'!$B$6:$B$998,$A117,'[1]Blackout Brand Fam Areas (Enc)'!$C$6:$C$998,H$4,'[1]Blackout Brand Fam Areas (Enc)'!$D$6:$D$998,"Inactive")&gt;0,"BLOCKED","CAN SELL")))))</f>
        <v>NOT IN TERRITORY</v>
      </c>
      <c r="I117" s="11" t="str">
        <f>IF($A117="","",_xlfn.LET(_xlpm.t,MATCH($B117,'[1]Territory Definitions'!$B$5:$B$14,0),IF(ISNA(_xlpm.t),"NO TERRITORY",IF(INDEX('[1]Territory Definitions'!$D$5:$M$14,_xlpm.t,MATCH(I$4,'[1]Territory Definitions'!$D$4:$M$4,0))&lt;&gt;1,"NOT IN TERRITORY",IF(COUNTIFS('[1]Blackout Brand Fam Areas (Enc)'!$B$6:$B$998,$A117,'[1]Blackout Brand Fam Areas (Enc)'!$C$6:$C$998,I$4,'[1]Blackout Brand Fam Areas (Enc)'!$D$6:$D$998,"Inactive")&gt;0,"BLOCKED","CAN SELL")))))</f>
        <v>NOT IN TERRITORY</v>
      </c>
      <c r="J117" s="11" t="str">
        <f>IF($A117="","",_xlfn.LET(_xlpm.t,MATCH($B117,'[1]Territory Definitions'!$B$5:$B$14,0),IF(ISNA(_xlpm.t),"NO TERRITORY",IF(INDEX('[1]Territory Definitions'!$D$5:$M$14,_xlpm.t,MATCH(J$4,'[1]Territory Definitions'!$D$4:$M$4,0))&lt;&gt;1,"NOT IN TERRITORY",IF(COUNTIFS('[1]Blackout Brand Fam Areas (Enc)'!$B$6:$B$998,$A117,'[1]Blackout Brand Fam Areas (Enc)'!$C$6:$C$998,J$4,'[1]Blackout Brand Fam Areas (Enc)'!$D$6:$D$998,"Inactive")&gt;0,"BLOCKED","CAN SELL")))))</f>
        <v>NOT IN TERRITORY</v>
      </c>
      <c r="K117" s="11" t="str">
        <f>IF($A117="","",_xlfn.LET(_xlpm.t,MATCH($B117,'[1]Territory Definitions'!$B$5:$B$14,0),IF(ISNA(_xlpm.t),"NO TERRITORY",IF(INDEX('[1]Territory Definitions'!$D$5:$M$14,_xlpm.t,MATCH(K$4,'[1]Territory Definitions'!$D$4:$M$4,0))&lt;&gt;1,"NOT IN TERRITORY",IF(COUNTIFS('[1]Blackout Brand Fam Areas (Enc)'!$B$6:$B$998,$A117,'[1]Blackout Brand Fam Areas (Enc)'!$C$6:$C$998,K$4,'[1]Blackout Brand Fam Areas (Enc)'!$D$6:$D$998,"Inactive")&gt;0,"BLOCKED","CAN SELL")))))</f>
        <v>NOT IN TERRITORY</v>
      </c>
      <c r="L117" s="11" t="str">
        <f>IF($A117="","",_xlfn.LET(_xlpm.t,MATCH($B117,'[1]Territory Definitions'!$B$5:$B$14,0),IF(ISNA(_xlpm.t),"NO TERRITORY",IF(INDEX('[1]Territory Definitions'!$D$5:$M$14,_xlpm.t,MATCH(L$4,'[1]Territory Definitions'!$D$4:$M$4,0))&lt;&gt;1,"NOT IN TERRITORY",IF(COUNTIFS('[1]Blackout Brand Fam Areas (Enc)'!$B$6:$B$998,$A117,'[1]Blackout Brand Fam Areas (Enc)'!$C$6:$C$998,L$4,'[1]Blackout Brand Fam Areas (Enc)'!$D$6:$D$998,"Inactive")&gt;0,"BLOCKED","CAN SELL")))))</f>
        <v>NOT IN TERRITORY</v>
      </c>
      <c r="M117" s="12">
        <f>IF($A117="","",COUNTIF($C117:$L117,"CAN SELL"))</f>
        <v>5</v>
      </c>
      <c r="N117" s="13" cm="1">
        <f t="array" ref="N117">IF($A117="","",SUMPRODUCT(($C117:$L117="CAN SELL")*$C$3:$L$3))</f>
        <v>1859</v>
      </c>
      <c r="O117" s="14" t="str">
        <f>IF($A117="","",IF(COUNTIF($A$5:$A$299,$A117)&gt;1,"DUPLICATE - two different territories assigned",IF($B117="** NO TERRITORY SET **","No territory on Brand Family Territory (Enc)","")))</f>
        <v/>
      </c>
      <c r="P117" s="18" t="str">
        <f>IF($A117="","",IFERROR(INDEX([1]Products!$H$4:$H$4801,MATCH($A117,[1]Products!$G$4:$G$4801,0)),"(no products)"))</f>
        <v>(no products)</v>
      </c>
      <c r="Q117" s="19">
        <f>IF($A117="","",COUNTIFS([1]Products!$G$4:$G$4801,$A117,[1]Products!$L$4:$L$4801,"Yes"))</f>
        <v>0</v>
      </c>
      <c r="R117" s="19">
        <f>IF($A117="","",COUNTIFS([1]Products!$G$4:$G$4801,$A117,[1]Products!$L$4:$L$4801,"Yes",[1]Products!$K$4:$K$4801,"Draft"))</f>
        <v>0</v>
      </c>
      <c r="S117" s="19">
        <f>IF($A117="","",COUNTIFS([1]Products!$G$4:$G$4801,$A117,[1]Products!$L$4:$L$4801,"Yes",[1]Products!$K$4:$K$4801,"Package"))</f>
        <v>0</v>
      </c>
      <c r="T117" s="20" t="str" cm="1">
        <f t="array" ref="T117">IF($A117="","",_xlfn.IFS($Q117=0,"NO ACTIVE SKUs",AND($R117&gt;0,$S117&gt;0),"Draft &amp; Package",$R117&gt;0,"Draft only",TRUE,"Package only"))</f>
        <v>NO ACTIVE SKUs</v>
      </c>
    </row>
    <row r="118" spans="1:20" x14ac:dyDescent="0.2">
      <c r="A118" s="9" t="str">
        <v>Garage Beer</v>
      </c>
      <c r="B118" s="10" t="str">
        <f>IF($A118="","",_xlfn.XLOOKUP($A118,'[1]Brand Family Territory (Enc)'!$A:$A,'[1]Brand Family Territory (Enc)'!$B:$B,"** NO TERRITORY SET **"))</f>
        <v>All Counties</v>
      </c>
      <c r="C118" s="11" t="str">
        <f>IF($A118="","",_xlfn.LET(_xlpm.t,MATCH($B118,'[1]Territory Definitions'!$B$5:$B$14,0),IF(ISNA(_xlpm.t),"NO TERRITORY",IF(INDEX('[1]Territory Definitions'!$D$5:$M$14,_xlpm.t,MATCH(C$4,'[1]Territory Definitions'!$D$4:$M$4,0))&lt;&gt;1,"NOT IN TERRITORY",IF(COUNTIFS('[1]Blackout Brand Fam Areas (Enc)'!$B$6:$B$998,$A118,'[1]Blackout Brand Fam Areas (Enc)'!$C$6:$C$998,C$4,'[1]Blackout Brand Fam Areas (Enc)'!$D$6:$D$998,"Inactive")&gt;0,"BLOCKED","CAN SELL")))))</f>
        <v>CAN SELL</v>
      </c>
      <c r="D118" s="11" t="str">
        <f>IF($A118="","",_xlfn.LET(_xlpm.t,MATCH($B118,'[1]Territory Definitions'!$B$5:$B$14,0),IF(ISNA(_xlpm.t),"NO TERRITORY",IF(INDEX('[1]Territory Definitions'!$D$5:$M$14,_xlpm.t,MATCH(D$4,'[1]Territory Definitions'!$D$4:$M$4,0))&lt;&gt;1,"NOT IN TERRITORY",IF(COUNTIFS('[1]Blackout Brand Fam Areas (Enc)'!$B$6:$B$998,$A118,'[1]Blackout Brand Fam Areas (Enc)'!$C$6:$C$998,D$4,'[1]Blackout Brand Fam Areas (Enc)'!$D$6:$D$998,"Inactive")&gt;0,"BLOCKED","CAN SELL")))))</f>
        <v>CAN SELL</v>
      </c>
      <c r="E118" s="11" t="str">
        <f>IF($A118="","",_xlfn.LET(_xlpm.t,MATCH($B118,'[1]Territory Definitions'!$B$5:$B$14,0),IF(ISNA(_xlpm.t),"NO TERRITORY",IF(INDEX('[1]Territory Definitions'!$D$5:$M$14,_xlpm.t,MATCH(E$4,'[1]Territory Definitions'!$D$4:$M$4,0))&lt;&gt;1,"NOT IN TERRITORY",IF(COUNTIFS('[1]Blackout Brand Fam Areas (Enc)'!$B$6:$B$998,$A118,'[1]Blackout Brand Fam Areas (Enc)'!$C$6:$C$998,E$4,'[1]Blackout Brand Fam Areas (Enc)'!$D$6:$D$998,"Inactive")&gt;0,"BLOCKED","CAN SELL")))))</f>
        <v>CAN SELL</v>
      </c>
      <c r="F118" s="11" t="str">
        <f>IF($A118="","",_xlfn.LET(_xlpm.t,MATCH($B118,'[1]Territory Definitions'!$B$5:$B$14,0),IF(ISNA(_xlpm.t),"NO TERRITORY",IF(INDEX('[1]Territory Definitions'!$D$5:$M$14,_xlpm.t,MATCH(F$4,'[1]Territory Definitions'!$D$4:$M$4,0))&lt;&gt;1,"NOT IN TERRITORY",IF(COUNTIFS('[1]Blackout Brand Fam Areas (Enc)'!$B$6:$B$998,$A118,'[1]Blackout Brand Fam Areas (Enc)'!$C$6:$C$998,F$4,'[1]Blackout Brand Fam Areas (Enc)'!$D$6:$D$998,"Inactive")&gt;0,"BLOCKED","CAN SELL")))))</f>
        <v>CAN SELL</v>
      </c>
      <c r="G118" s="11" t="str">
        <f>IF($A118="","",_xlfn.LET(_xlpm.t,MATCH($B118,'[1]Territory Definitions'!$B$5:$B$14,0),IF(ISNA(_xlpm.t),"NO TERRITORY",IF(INDEX('[1]Territory Definitions'!$D$5:$M$14,_xlpm.t,MATCH(G$4,'[1]Territory Definitions'!$D$4:$M$4,0))&lt;&gt;1,"NOT IN TERRITORY",IF(COUNTIFS('[1]Blackout Brand Fam Areas (Enc)'!$B$6:$B$998,$A118,'[1]Blackout Brand Fam Areas (Enc)'!$C$6:$C$998,G$4,'[1]Blackout Brand Fam Areas (Enc)'!$D$6:$D$998,"Inactive")&gt;0,"BLOCKED","CAN SELL")))))</f>
        <v>CAN SELL</v>
      </c>
      <c r="H118" s="11" t="str">
        <f>IF($A118="","",_xlfn.LET(_xlpm.t,MATCH($B118,'[1]Territory Definitions'!$B$5:$B$14,0),IF(ISNA(_xlpm.t),"NO TERRITORY",IF(INDEX('[1]Territory Definitions'!$D$5:$M$14,_xlpm.t,MATCH(H$4,'[1]Territory Definitions'!$D$4:$M$4,0))&lt;&gt;1,"NOT IN TERRITORY",IF(COUNTIFS('[1]Blackout Brand Fam Areas (Enc)'!$B$6:$B$998,$A118,'[1]Blackout Brand Fam Areas (Enc)'!$C$6:$C$998,H$4,'[1]Blackout Brand Fam Areas (Enc)'!$D$6:$D$998,"Inactive")&gt;0,"BLOCKED","CAN SELL")))))</f>
        <v>CAN SELL</v>
      </c>
      <c r="I118" s="11" t="str">
        <f>IF($A118="","",_xlfn.LET(_xlpm.t,MATCH($B118,'[1]Territory Definitions'!$B$5:$B$14,0),IF(ISNA(_xlpm.t),"NO TERRITORY",IF(INDEX('[1]Territory Definitions'!$D$5:$M$14,_xlpm.t,MATCH(I$4,'[1]Territory Definitions'!$D$4:$M$4,0))&lt;&gt;1,"NOT IN TERRITORY",IF(COUNTIFS('[1]Blackout Brand Fam Areas (Enc)'!$B$6:$B$998,$A118,'[1]Blackout Brand Fam Areas (Enc)'!$C$6:$C$998,I$4,'[1]Blackout Brand Fam Areas (Enc)'!$D$6:$D$998,"Inactive")&gt;0,"BLOCKED","CAN SELL")))))</f>
        <v>CAN SELL</v>
      </c>
      <c r="J118" s="11" t="str">
        <f>IF($A118="","",_xlfn.LET(_xlpm.t,MATCH($B118,'[1]Territory Definitions'!$B$5:$B$14,0),IF(ISNA(_xlpm.t),"NO TERRITORY",IF(INDEX('[1]Territory Definitions'!$D$5:$M$14,_xlpm.t,MATCH(J$4,'[1]Territory Definitions'!$D$4:$M$4,0))&lt;&gt;1,"NOT IN TERRITORY",IF(COUNTIFS('[1]Blackout Brand Fam Areas (Enc)'!$B$6:$B$998,$A118,'[1]Blackout Brand Fam Areas (Enc)'!$C$6:$C$998,J$4,'[1]Blackout Brand Fam Areas (Enc)'!$D$6:$D$998,"Inactive")&gt;0,"BLOCKED","CAN SELL")))))</f>
        <v>CAN SELL</v>
      </c>
      <c r="K118" s="11" t="str">
        <f>IF($A118="","",_xlfn.LET(_xlpm.t,MATCH($B118,'[1]Territory Definitions'!$B$5:$B$14,0),IF(ISNA(_xlpm.t),"NO TERRITORY",IF(INDEX('[1]Territory Definitions'!$D$5:$M$14,_xlpm.t,MATCH(K$4,'[1]Territory Definitions'!$D$4:$M$4,0))&lt;&gt;1,"NOT IN TERRITORY",IF(COUNTIFS('[1]Blackout Brand Fam Areas (Enc)'!$B$6:$B$998,$A118,'[1]Blackout Brand Fam Areas (Enc)'!$C$6:$C$998,K$4,'[1]Blackout Brand Fam Areas (Enc)'!$D$6:$D$998,"Inactive")&gt;0,"BLOCKED","CAN SELL")))))</f>
        <v>CAN SELL</v>
      </c>
      <c r="L118" s="11" t="str">
        <f>IF($A118="","",_xlfn.LET(_xlpm.t,MATCH($B118,'[1]Territory Definitions'!$B$5:$B$14,0),IF(ISNA(_xlpm.t),"NO TERRITORY",IF(INDEX('[1]Territory Definitions'!$D$5:$M$14,_xlpm.t,MATCH(L$4,'[1]Territory Definitions'!$D$4:$M$4,0))&lt;&gt;1,"NOT IN TERRITORY",IF(COUNTIFS('[1]Blackout Brand Fam Areas (Enc)'!$B$6:$B$998,$A118,'[1]Blackout Brand Fam Areas (Enc)'!$C$6:$C$998,L$4,'[1]Blackout Brand Fam Areas (Enc)'!$D$6:$D$998,"Inactive")&gt;0,"BLOCKED","CAN SELL")))))</f>
        <v>CAN SELL</v>
      </c>
      <c r="M118" s="12">
        <f>IF($A118="","",COUNTIF($C118:$L118,"CAN SELL"))</f>
        <v>10</v>
      </c>
      <c r="N118" s="13" cm="1">
        <f t="array" ref="N118">IF($A118="","",SUMPRODUCT(($C118:$L118="CAN SELL")*$C$3:$L$3))</f>
        <v>2306</v>
      </c>
      <c r="O118" s="14" t="str">
        <f>IF($A118="","",IF(COUNTIF($A$5:$A$299,$A118)&gt;1,"DUPLICATE - two different territories assigned",IF($B118="** NO TERRITORY SET **","No territory on Brand Family Territory (Enc)","")))</f>
        <v/>
      </c>
      <c r="P118" s="18" t="str">
        <f>IF($A118="","",IFERROR(INDEX([1]Products!$H$4:$H$4801,MATCH($A118,[1]Products!$G$4:$G$4801,0)),"(no products)"))</f>
        <v>Garage Beer</v>
      </c>
      <c r="Q118" s="19">
        <f>IF($A118="","",COUNTIFS([1]Products!$G$4:$G$4801,$A118,[1]Products!$L$4:$L$4801,"Yes"))</f>
        <v>16</v>
      </c>
      <c r="R118" s="19">
        <f>IF($A118="","",COUNTIFS([1]Products!$G$4:$G$4801,$A118,[1]Products!$L$4:$L$4801,"Yes",[1]Products!$K$4:$K$4801,"Draft"))</f>
        <v>4</v>
      </c>
      <c r="S118" s="19">
        <f>IF($A118="","",COUNTIFS([1]Products!$G$4:$G$4801,$A118,[1]Products!$L$4:$L$4801,"Yes",[1]Products!$K$4:$K$4801,"Package"))</f>
        <v>12</v>
      </c>
      <c r="T118" s="20" t="str" cm="1">
        <f t="array" ref="T118">IF($A118="","",_xlfn.IFS($Q118=0,"NO ACTIVE SKUs",AND($R118&gt;0,$S118&gt;0),"Draft &amp; Package",$R118&gt;0,"Draft only",TRUE,"Package only"))</f>
        <v>Draft &amp; Package</v>
      </c>
    </row>
    <row r="119" spans="1:20" x14ac:dyDescent="0.2">
      <c r="A119" s="9" t="str">
        <v>Genesee</v>
      </c>
      <c r="B119" s="10" t="str">
        <f>IF($A119="","",_xlfn.XLOOKUP($A119,'[1]Brand Family Territory (Enc)'!$A:$A,'[1]Brand Family Territory (Enc)'!$B:$B,"** NO TERRITORY SET **"))</f>
        <v>Metro Five County</v>
      </c>
      <c r="C119" s="11" t="str">
        <f>IF($A119="","",_xlfn.LET(_xlpm.t,MATCH($B119,'[1]Territory Definitions'!$B$5:$B$14,0),IF(ISNA(_xlpm.t),"NO TERRITORY",IF(INDEX('[1]Territory Definitions'!$D$5:$M$14,_xlpm.t,MATCH(C$4,'[1]Territory Definitions'!$D$4:$M$4,0))&lt;&gt;1,"NOT IN TERRITORY",IF(COUNTIFS('[1]Blackout Brand Fam Areas (Enc)'!$B$6:$B$998,$A119,'[1]Blackout Brand Fam Areas (Enc)'!$C$6:$C$998,C$4,'[1]Blackout Brand Fam Areas (Enc)'!$D$6:$D$998,"Inactive")&gt;0,"BLOCKED","CAN SELL")))))</f>
        <v>CAN SELL</v>
      </c>
      <c r="D119" s="11" t="str">
        <f>IF($A119="","",_xlfn.LET(_xlpm.t,MATCH($B119,'[1]Territory Definitions'!$B$5:$B$14,0),IF(ISNA(_xlpm.t),"NO TERRITORY",IF(INDEX('[1]Territory Definitions'!$D$5:$M$14,_xlpm.t,MATCH(D$4,'[1]Territory Definitions'!$D$4:$M$4,0))&lt;&gt;1,"NOT IN TERRITORY",IF(COUNTIFS('[1]Blackout Brand Fam Areas (Enc)'!$B$6:$B$998,$A119,'[1]Blackout Brand Fam Areas (Enc)'!$C$6:$C$998,D$4,'[1]Blackout Brand Fam Areas (Enc)'!$D$6:$D$998,"Inactive")&gt;0,"BLOCKED","CAN SELL")))))</f>
        <v>CAN SELL</v>
      </c>
      <c r="E119" s="11" t="str">
        <f>IF($A119="","",_xlfn.LET(_xlpm.t,MATCH($B119,'[1]Territory Definitions'!$B$5:$B$14,0),IF(ISNA(_xlpm.t),"NO TERRITORY",IF(INDEX('[1]Territory Definitions'!$D$5:$M$14,_xlpm.t,MATCH(E$4,'[1]Territory Definitions'!$D$4:$M$4,0))&lt;&gt;1,"NOT IN TERRITORY",IF(COUNTIFS('[1]Blackout Brand Fam Areas (Enc)'!$B$6:$B$998,$A119,'[1]Blackout Brand Fam Areas (Enc)'!$C$6:$C$998,E$4,'[1]Blackout Brand Fam Areas (Enc)'!$D$6:$D$998,"Inactive")&gt;0,"BLOCKED","CAN SELL")))))</f>
        <v>CAN SELL</v>
      </c>
      <c r="F119" s="11" t="str">
        <f>IF($A119="","",_xlfn.LET(_xlpm.t,MATCH($B119,'[1]Territory Definitions'!$B$5:$B$14,0),IF(ISNA(_xlpm.t),"NO TERRITORY",IF(INDEX('[1]Territory Definitions'!$D$5:$M$14,_xlpm.t,MATCH(F$4,'[1]Territory Definitions'!$D$4:$M$4,0))&lt;&gt;1,"NOT IN TERRITORY",IF(COUNTIFS('[1]Blackout Brand Fam Areas (Enc)'!$B$6:$B$998,$A119,'[1]Blackout Brand Fam Areas (Enc)'!$C$6:$C$998,F$4,'[1]Blackout Brand Fam Areas (Enc)'!$D$6:$D$998,"Inactive")&gt;0,"BLOCKED","CAN SELL")))))</f>
        <v>CAN SELL</v>
      </c>
      <c r="G119" s="11" t="str">
        <f>IF($A119="","",_xlfn.LET(_xlpm.t,MATCH($B119,'[1]Territory Definitions'!$B$5:$B$14,0),IF(ISNA(_xlpm.t),"NO TERRITORY",IF(INDEX('[1]Territory Definitions'!$D$5:$M$14,_xlpm.t,MATCH(G$4,'[1]Territory Definitions'!$D$4:$M$4,0))&lt;&gt;1,"NOT IN TERRITORY",IF(COUNTIFS('[1]Blackout Brand Fam Areas (Enc)'!$B$6:$B$998,$A119,'[1]Blackout Brand Fam Areas (Enc)'!$C$6:$C$998,G$4,'[1]Blackout Brand Fam Areas (Enc)'!$D$6:$D$998,"Inactive")&gt;0,"BLOCKED","CAN SELL")))))</f>
        <v>CAN SELL</v>
      </c>
      <c r="H119" s="11" t="str">
        <f>IF($A119="","",_xlfn.LET(_xlpm.t,MATCH($B119,'[1]Territory Definitions'!$B$5:$B$14,0),IF(ISNA(_xlpm.t),"NO TERRITORY",IF(INDEX('[1]Territory Definitions'!$D$5:$M$14,_xlpm.t,MATCH(H$4,'[1]Territory Definitions'!$D$4:$M$4,0))&lt;&gt;1,"NOT IN TERRITORY",IF(COUNTIFS('[1]Blackout Brand Fam Areas (Enc)'!$B$6:$B$998,$A119,'[1]Blackout Brand Fam Areas (Enc)'!$C$6:$C$998,H$4,'[1]Blackout Brand Fam Areas (Enc)'!$D$6:$D$998,"Inactive")&gt;0,"BLOCKED","CAN SELL")))))</f>
        <v>CAN SELL</v>
      </c>
      <c r="I119" s="11" t="str">
        <f>IF($A119="","",_xlfn.LET(_xlpm.t,MATCH($B119,'[1]Territory Definitions'!$B$5:$B$14,0),IF(ISNA(_xlpm.t),"NO TERRITORY",IF(INDEX('[1]Territory Definitions'!$D$5:$M$14,_xlpm.t,MATCH(I$4,'[1]Territory Definitions'!$D$4:$M$4,0))&lt;&gt;1,"NOT IN TERRITORY",IF(COUNTIFS('[1]Blackout Brand Fam Areas (Enc)'!$B$6:$B$998,$A119,'[1]Blackout Brand Fam Areas (Enc)'!$C$6:$C$998,I$4,'[1]Blackout Brand Fam Areas (Enc)'!$D$6:$D$998,"Inactive")&gt;0,"BLOCKED","CAN SELL")))))</f>
        <v>NOT IN TERRITORY</v>
      </c>
      <c r="J119" s="11" t="str">
        <f>IF($A119="","",_xlfn.LET(_xlpm.t,MATCH($B119,'[1]Territory Definitions'!$B$5:$B$14,0),IF(ISNA(_xlpm.t),"NO TERRITORY",IF(INDEX('[1]Territory Definitions'!$D$5:$M$14,_xlpm.t,MATCH(J$4,'[1]Territory Definitions'!$D$4:$M$4,0))&lt;&gt;1,"NOT IN TERRITORY",IF(COUNTIFS('[1]Blackout Brand Fam Areas (Enc)'!$B$6:$B$998,$A119,'[1]Blackout Brand Fam Areas (Enc)'!$C$6:$C$998,J$4,'[1]Blackout Brand Fam Areas (Enc)'!$D$6:$D$998,"Inactive")&gt;0,"BLOCKED","CAN SELL")))))</f>
        <v>NOT IN TERRITORY</v>
      </c>
      <c r="K119" s="11" t="str">
        <f>IF($A119="","",_xlfn.LET(_xlpm.t,MATCH($B119,'[1]Territory Definitions'!$B$5:$B$14,0),IF(ISNA(_xlpm.t),"NO TERRITORY",IF(INDEX('[1]Territory Definitions'!$D$5:$M$14,_xlpm.t,MATCH(K$4,'[1]Territory Definitions'!$D$4:$M$4,0))&lt;&gt;1,"NOT IN TERRITORY",IF(COUNTIFS('[1]Blackout Brand Fam Areas (Enc)'!$B$6:$B$998,$A119,'[1]Blackout Brand Fam Areas (Enc)'!$C$6:$C$998,K$4,'[1]Blackout Brand Fam Areas (Enc)'!$D$6:$D$998,"Inactive")&gt;0,"BLOCKED","CAN SELL")))))</f>
        <v>NOT IN TERRITORY</v>
      </c>
      <c r="L119" s="11" t="str">
        <f>IF($A119="","",_xlfn.LET(_xlpm.t,MATCH($B119,'[1]Territory Definitions'!$B$5:$B$14,0),IF(ISNA(_xlpm.t),"NO TERRITORY",IF(INDEX('[1]Territory Definitions'!$D$5:$M$14,_xlpm.t,MATCH(L$4,'[1]Territory Definitions'!$D$4:$M$4,0))&lt;&gt;1,"NOT IN TERRITORY",IF(COUNTIFS('[1]Blackout Brand Fam Areas (Enc)'!$B$6:$B$998,$A119,'[1]Blackout Brand Fam Areas (Enc)'!$C$6:$C$998,L$4,'[1]Blackout Brand Fam Areas (Enc)'!$D$6:$D$998,"Inactive")&gt;0,"BLOCKED","CAN SELL")))))</f>
        <v>NOT IN TERRITORY</v>
      </c>
      <c r="M119" s="12">
        <f>IF($A119="","",COUNTIF($C119:$L119,"CAN SELL"))</f>
        <v>6</v>
      </c>
      <c r="N119" s="13" cm="1">
        <f t="array" ref="N119">IF($A119="","",SUMPRODUCT(($C119:$L119="CAN SELL")*$C$3:$L$3))</f>
        <v>1992</v>
      </c>
      <c r="O119" s="14" t="str">
        <f>IF($A119="","",IF(COUNTIF($A$5:$A$299,$A119)&gt;1,"DUPLICATE - two different territories assigned",IF($B119="** NO TERRITORY SET **","No territory on Brand Family Territory (Enc)","")))</f>
        <v/>
      </c>
      <c r="P119" s="18" t="str">
        <f>IF($A119="","",IFERROR(INDEX([1]Products!$H$4:$H$4801,MATCH($A119,[1]Products!$G$4:$G$4801,0)),"(no products)"))</f>
        <v>FIFCO</v>
      </c>
      <c r="Q119" s="19">
        <f>IF($A119="","",COUNTIFS([1]Products!$G$4:$G$4801,$A119,[1]Products!$L$4:$L$4801,"Yes"))</f>
        <v>19</v>
      </c>
      <c r="R119" s="19">
        <f>IF($A119="","",COUNTIFS([1]Products!$G$4:$G$4801,$A119,[1]Products!$L$4:$L$4801,"Yes",[1]Products!$K$4:$K$4801,"Draft"))</f>
        <v>1</v>
      </c>
      <c r="S119" s="19">
        <f>IF($A119="","",COUNTIFS([1]Products!$G$4:$G$4801,$A119,[1]Products!$L$4:$L$4801,"Yes",[1]Products!$K$4:$K$4801,"Package"))</f>
        <v>18</v>
      </c>
      <c r="T119" s="20" t="str" cm="1">
        <f t="array" ref="T119">IF($A119="","",_xlfn.IFS($Q119=0,"NO ACTIVE SKUs",AND($R119&gt;0,$S119&gt;0),"Draft &amp; Package",$R119&gt;0,"Draft only",TRUE,"Package only"))</f>
        <v>Draft &amp; Package</v>
      </c>
    </row>
    <row r="120" spans="1:20" x14ac:dyDescent="0.2">
      <c r="A120" s="9" t="str">
        <v>George Killian's</v>
      </c>
      <c r="B120" s="10" t="str">
        <f>IF($A120="","",_xlfn.XLOOKUP($A120,'[1]Brand Family Territory (Enc)'!$A:$A,'[1]Brand Family Territory (Enc)'!$B:$B,"** NO TERRITORY SET **"))</f>
        <v>Core Market</v>
      </c>
      <c r="C120" s="11" t="str">
        <f>IF($A120="","",_xlfn.LET(_xlpm.t,MATCH($B120,'[1]Territory Definitions'!$B$5:$B$14,0),IF(ISNA(_xlpm.t),"NO TERRITORY",IF(INDEX('[1]Territory Definitions'!$D$5:$M$14,_xlpm.t,MATCH(C$4,'[1]Territory Definitions'!$D$4:$M$4,0))&lt;&gt;1,"NOT IN TERRITORY",IF(COUNTIFS('[1]Blackout Brand Fam Areas (Enc)'!$B$6:$B$998,$A120,'[1]Blackout Brand Fam Areas (Enc)'!$C$6:$C$998,C$4,'[1]Blackout Brand Fam Areas (Enc)'!$D$6:$D$998,"Inactive")&gt;0,"BLOCKED","CAN SELL")))))</f>
        <v>CAN SELL</v>
      </c>
      <c r="D120" s="11" t="str">
        <f>IF($A120="","",_xlfn.LET(_xlpm.t,MATCH($B120,'[1]Territory Definitions'!$B$5:$B$14,0),IF(ISNA(_xlpm.t),"NO TERRITORY",IF(INDEX('[1]Territory Definitions'!$D$5:$M$14,_xlpm.t,MATCH(D$4,'[1]Territory Definitions'!$D$4:$M$4,0))&lt;&gt;1,"NOT IN TERRITORY",IF(COUNTIFS('[1]Blackout Brand Fam Areas (Enc)'!$B$6:$B$998,$A120,'[1]Blackout Brand Fam Areas (Enc)'!$C$6:$C$998,D$4,'[1]Blackout Brand Fam Areas (Enc)'!$D$6:$D$998,"Inactive")&gt;0,"BLOCKED","CAN SELL")))))</f>
        <v>CAN SELL</v>
      </c>
      <c r="E120" s="11" t="str">
        <f>IF($A120="","",_xlfn.LET(_xlpm.t,MATCH($B120,'[1]Territory Definitions'!$B$5:$B$14,0),IF(ISNA(_xlpm.t),"NO TERRITORY",IF(INDEX('[1]Territory Definitions'!$D$5:$M$14,_xlpm.t,MATCH(E$4,'[1]Territory Definitions'!$D$4:$M$4,0))&lt;&gt;1,"NOT IN TERRITORY",IF(COUNTIFS('[1]Blackout Brand Fam Areas (Enc)'!$B$6:$B$998,$A120,'[1]Blackout Brand Fam Areas (Enc)'!$C$6:$C$998,E$4,'[1]Blackout Brand Fam Areas (Enc)'!$D$6:$D$998,"Inactive")&gt;0,"BLOCKED","CAN SELL")))))</f>
        <v>CAN SELL</v>
      </c>
      <c r="F120" s="11" t="str">
        <f>IF($A120="","",_xlfn.LET(_xlpm.t,MATCH($B120,'[1]Territory Definitions'!$B$5:$B$14,0),IF(ISNA(_xlpm.t),"NO TERRITORY",IF(INDEX('[1]Territory Definitions'!$D$5:$M$14,_xlpm.t,MATCH(F$4,'[1]Territory Definitions'!$D$4:$M$4,0))&lt;&gt;1,"NOT IN TERRITORY",IF(COUNTIFS('[1]Blackout Brand Fam Areas (Enc)'!$B$6:$B$998,$A120,'[1]Blackout Brand Fam Areas (Enc)'!$C$6:$C$998,F$4,'[1]Blackout Brand Fam Areas (Enc)'!$D$6:$D$998,"Inactive")&gt;0,"BLOCKED","CAN SELL")))))</f>
        <v>NOT IN TERRITORY</v>
      </c>
      <c r="G120" s="11" t="str">
        <f>IF($A120="","",_xlfn.LET(_xlpm.t,MATCH($B120,'[1]Territory Definitions'!$B$5:$B$14,0),IF(ISNA(_xlpm.t),"NO TERRITORY",IF(INDEX('[1]Territory Definitions'!$D$5:$M$14,_xlpm.t,MATCH(G$4,'[1]Territory Definitions'!$D$4:$M$4,0))&lt;&gt;1,"NOT IN TERRITORY",IF(COUNTIFS('[1]Blackout Brand Fam Areas (Enc)'!$B$6:$B$998,$A120,'[1]Blackout Brand Fam Areas (Enc)'!$C$6:$C$998,G$4,'[1]Blackout Brand Fam Areas (Enc)'!$D$6:$D$998,"Inactive")&gt;0,"BLOCKED","CAN SELL")))))</f>
        <v>NOT IN TERRITORY</v>
      </c>
      <c r="H120" s="11" t="str">
        <f>IF($A120="","",_xlfn.LET(_xlpm.t,MATCH($B120,'[1]Territory Definitions'!$B$5:$B$14,0),IF(ISNA(_xlpm.t),"NO TERRITORY",IF(INDEX('[1]Territory Definitions'!$D$5:$M$14,_xlpm.t,MATCH(H$4,'[1]Territory Definitions'!$D$4:$M$4,0))&lt;&gt;1,"NOT IN TERRITORY",IF(COUNTIFS('[1]Blackout Brand Fam Areas (Enc)'!$B$6:$B$998,$A120,'[1]Blackout Brand Fam Areas (Enc)'!$C$6:$C$998,H$4,'[1]Blackout Brand Fam Areas (Enc)'!$D$6:$D$998,"Inactive")&gt;0,"BLOCKED","CAN SELL")))))</f>
        <v>NOT IN TERRITORY</v>
      </c>
      <c r="I120" s="11" t="str">
        <f>IF($A120="","",_xlfn.LET(_xlpm.t,MATCH($B120,'[1]Territory Definitions'!$B$5:$B$14,0),IF(ISNA(_xlpm.t),"NO TERRITORY",IF(INDEX('[1]Territory Definitions'!$D$5:$M$14,_xlpm.t,MATCH(I$4,'[1]Territory Definitions'!$D$4:$M$4,0))&lt;&gt;1,"NOT IN TERRITORY",IF(COUNTIFS('[1]Blackout Brand Fam Areas (Enc)'!$B$6:$B$998,$A120,'[1]Blackout Brand Fam Areas (Enc)'!$C$6:$C$998,I$4,'[1]Blackout Brand Fam Areas (Enc)'!$D$6:$D$998,"Inactive")&gt;0,"BLOCKED","CAN SELL")))))</f>
        <v>CAN SELL</v>
      </c>
      <c r="J120" s="11" t="str">
        <f>IF($A120="","",_xlfn.LET(_xlpm.t,MATCH($B120,'[1]Territory Definitions'!$B$5:$B$14,0),IF(ISNA(_xlpm.t),"NO TERRITORY",IF(INDEX('[1]Territory Definitions'!$D$5:$M$14,_xlpm.t,MATCH(J$4,'[1]Territory Definitions'!$D$4:$M$4,0))&lt;&gt;1,"NOT IN TERRITORY",IF(COUNTIFS('[1]Blackout Brand Fam Areas (Enc)'!$B$6:$B$998,$A120,'[1]Blackout Brand Fam Areas (Enc)'!$C$6:$C$998,J$4,'[1]Blackout Brand Fam Areas (Enc)'!$D$6:$D$998,"Inactive")&gt;0,"BLOCKED","CAN SELL")))))</f>
        <v>CAN SELL</v>
      </c>
      <c r="K120" s="11" t="str">
        <f>IF($A120="","",_xlfn.LET(_xlpm.t,MATCH($B120,'[1]Territory Definitions'!$B$5:$B$14,0),IF(ISNA(_xlpm.t),"NO TERRITORY",IF(INDEX('[1]Territory Definitions'!$D$5:$M$14,_xlpm.t,MATCH(K$4,'[1]Territory Definitions'!$D$4:$M$4,0))&lt;&gt;1,"NOT IN TERRITORY",IF(COUNTIFS('[1]Blackout Brand Fam Areas (Enc)'!$B$6:$B$998,$A120,'[1]Blackout Brand Fam Areas (Enc)'!$C$6:$C$998,K$4,'[1]Blackout Brand Fam Areas (Enc)'!$D$6:$D$998,"Inactive")&gt;0,"BLOCKED","CAN SELL")))))</f>
        <v>NOT IN TERRITORY</v>
      </c>
      <c r="L120" s="11" t="str">
        <f>IF($A120="","",_xlfn.LET(_xlpm.t,MATCH($B120,'[1]Territory Definitions'!$B$5:$B$14,0),IF(ISNA(_xlpm.t),"NO TERRITORY",IF(INDEX('[1]Territory Definitions'!$D$5:$M$14,_xlpm.t,MATCH(L$4,'[1]Territory Definitions'!$D$4:$M$4,0))&lt;&gt;1,"NOT IN TERRITORY",IF(COUNTIFS('[1]Blackout Brand Fam Areas (Enc)'!$B$6:$B$998,$A120,'[1]Blackout Brand Fam Areas (Enc)'!$C$6:$C$998,L$4,'[1]Blackout Brand Fam Areas (Enc)'!$D$6:$D$998,"Inactive")&gt;0,"BLOCKED","CAN SELL")))))</f>
        <v>CAN SELL</v>
      </c>
      <c r="M120" s="12">
        <f>IF($A120="","",COUNTIF($C120:$L120,"CAN SELL"))</f>
        <v>6</v>
      </c>
      <c r="N120" s="13" cm="1">
        <f t="array" ref="N120">IF($A120="","",SUMPRODUCT(($C120:$L120="CAN SELL")*$C$3:$L$3))</f>
        <v>1596</v>
      </c>
      <c r="O120" s="14" t="str">
        <f>IF($A120="","",IF(COUNTIF($A$5:$A$299,$A120)&gt;1,"DUPLICATE - two different territories assigned",IF($B120="** NO TERRITORY SET **","No territory on Brand Family Territory (Enc)","")))</f>
        <v/>
      </c>
      <c r="P120" s="18" t="str">
        <f>IF($A120="","",IFERROR(INDEX([1]Products!$H$4:$H$4801,MATCH($A120,[1]Products!$G$4:$G$4801,0)),"(no products)"))</f>
        <v>MolsonCoors Beverage Company</v>
      </c>
      <c r="Q120" s="19">
        <f>IF($A120="","",COUNTIFS([1]Products!$G$4:$G$4801,$A120,[1]Products!$L$4:$L$4801,"Yes"))</f>
        <v>4</v>
      </c>
      <c r="R120" s="19">
        <f>IF($A120="","",COUNTIFS([1]Products!$G$4:$G$4801,$A120,[1]Products!$L$4:$L$4801,"Yes",[1]Products!$K$4:$K$4801,"Draft"))</f>
        <v>2</v>
      </c>
      <c r="S120" s="19">
        <f>IF($A120="","",COUNTIFS([1]Products!$G$4:$G$4801,$A120,[1]Products!$L$4:$L$4801,"Yes",[1]Products!$K$4:$K$4801,"Package"))</f>
        <v>2</v>
      </c>
      <c r="T120" s="20" t="str" cm="1">
        <f t="array" ref="T120">IF($A120="","",_xlfn.IFS($Q120=0,"NO ACTIVE SKUs",AND($R120&gt;0,$S120&gt;0),"Draft &amp; Package",$R120&gt;0,"Draft only",TRUE,"Package only"))</f>
        <v>Draft &amp; Package</v>
      </c>
    </row>
    <row r="121" spans="1:20" x14ac:dyDescent="0.2">
      <c r="A121" s="9" t="str">
        <v>Gin Pig</v>
      </c>
      <c r="B121" s="10" t="str">
        <f>IF($A121="","",_xlfn.XLOOKUP($A121,'[1]Brand Family Territory (Enc)'!$A:$A,'[1]Brand Family Territory (Enc)'!$B:$B,"** NO TERRITORY SET **"))</f>
        <v>All Counties</v>
      </c>
      <c r="C121" s="11" t="str">
        <f>IF($A121="","",_xlfn.LET(_xlpm.t,MATCH($B121,'[1]Territory Definitions'!$B$5:$B$14,0),IF(ISNA(_xlpm.t),"NO TERRITORY",IF(INDEX('[1]Territory Definitions'!$D$5:$M$14,_xlpm.t,MATCH(C$4,'[1]Territory Definitions'!$D$4:$M$4,0))&lt;&gt;1,"NOT IN TERRITORY",IF(COUNTIFS('[1]Blackout Brand Fam Areas (Enc)'!$B$6:$B$998,$A121,'[1]Blackout Brand Fam Areas (Enc)'!$C$6:$C$998,C$4,'[1]Blackout Brand Fam Areas (Enc)'!$D$6:$D$998,"Inactive")&gt;0,"BLOCKED","CAN SELL")))))</f>
        <v>CAN SELL</v>
      </c>
      <c r="D121" s="11" t="str">
        <f>IF($A121="","",_xlfn.LET(_xlpm.t,MATCH($B121,'[1]Territory Definitions'!$B$5:$B$14,0),IF(ISNA(_xlpm.t),"NO TERRITORY",IF(INDEX('[1]Territory Definitions'!$D$5:$M$14,_xlpm.t,MATCH(D$4,'[1]Territory Definitions'!$D$4:$M$4,0))&lt;&gt;1,"NOT IN TERRITORY",IF(COUNTIFS('[1]Blackout Brand Fam Areas (Enc)'!$B$6:$B$998,$A121,'[1]Blackout Brand Fam Areas (Enc)'!$C$6:$C$998,D$4,'[1]Blackout Brand Fam Areas (Enc)'!$D$6:$D$998,"Inactive")&gt;0,"BLOCKED","CAN SELL")))))</f>
        <v>CAN SELL</v>
      </c>
      <c r="E121" s="11" t="str">
        <f>IF($A121="","",_xlfn.LET(_xlpm.t,MATCH($B121,'[1]Territory Definitions'!$B$5:$B$14,0),IF(ISNA(_xlpm.t),"NO TERRITORY",IF(INDEX('[1]Territory Definitions'!$D$5:$M$14,_xlpm.t,MATCH(E$4,'[1]Territory Definitions'!$D$4:$M$4,0))&lt;&gt;1,"NOT IN TERRITORY",IF(COUNTIFS('[1]Blackout Brand Fam Areas (Enc)'!$B$6:$B$998,$A121,'[1]Blackout Brand Fam Areas (Enc)'!$C$6:$C$998,E$4,'[1]Blackout Brand Fam Areas (Enc)'!$D$6:$D$998,"Inactive")&gt;0,"BLOCKED","CAN SELL")))))</f>
        <v>CAN SELL</v>
      </c>
      <c r="F121" s="11" t="str">
        <f>IF($A121="","",_xlfn.LET(_xlpm.t,MATCH($B121,'[1]Territory Definitions'!$B$5:$B$14,0),IF(ISNA(_xlpm.t),"NO TERRITORY",IF(INDEX('[1]Territory Definitions'!$D$5:$M$14,_xlpm.t,MATCH(F$4,'[1]Territory Definitions'!$D$4:$M$4,0))&lt;&gt;1,"NOT IN TERRITORY",IF(COUNTIFS('[1]Blackout Brand Fam Areas (Enc)'!$B$6:$B$998,$A121,'[1]Blackout Brand Fam Areas (Enc)'!$C$6:$C$998,F$4,'[1]Blackout Brand Fam Areas (Enc)'!$D$6:$D$998,"Inactive")&gt;0,"BLOCKED","CAN SELL")))))</f>
        <v>CAN SELL</v>
      </c>
      <c r="G121" s="11" t="str">
        <f>IF($A121="","",_xlfn.LET(_xlpm.t,MATCH($B121,'[1]Territory Definitions'!$B$5:$B$14,0),IF(ISNA(_xlpm.t),"NO TERRITORY",IF(INDEX('[1]Territory Definitions'!$D$5:$M$14,_xlpm.t,MATCH(G$4,'[1]Territory Definitions'!$D$4:$M$4,0))&lt;&gt;1,"NOT IN TERRITORY",IF(COUNTIFS('[1]Blackout Brand Fam Areas (Enc)'!$B$6:$B$998,$A121,'[1]Blackout Brand Fam Areas (Enc)'!$C$6:$C$998,G$4,'[1]Blackout Brand Fam Areas (Enc)'!$D$6:$D$998,"Inactive")&gt;0,"BLOCKED","CAN SELL")))))</f>
        <v>CAN SELL</v>
      </c>
      <c r="H121" s="11" t="str">
        <f>IF($A121="","",_xlfn.LET(_xlpm.t,MATCH($B121,'[1]Territory Definitions'!$B$5:$B$14,0),IF(ISNA(_xlpm.t),"NO TERRITORY",IF(INDEX('[1]Territory Definitions'!$D$5:$M$14,_xlpm.t,MATCH(H$4,'[1]Territory Definitions'!$D$4:$M$4,0))&lt;&gt;1,"NOT IN TERRITORY",IF(COUNTIFS('[1]Blackout Brand Fam Areas (Enc)'!$B$6:$B$998,$A121,'[1]Blackout Brand Fam Areas (Enc)'!$C$6:$C$998,H$4,'[1]Blackout Brand Fam Areas (Enc)'!$D$6:$D$998,"Inactive")&gt;0,"BLOCKED","CAN SELL")))))</f>
        <v>CAN SELL</v>
      </c>
      <c r="I121" s="11" t="str">
        <f>IF($A121="","",_xlfn.LET(_xlpm.t,MATCH($B121,'[1]Territory Definitions'!$B$5:$B$14,0),IF(ISNA(_xlpm.t),"NO TERRITORY",IF(INDEX('[1]Territory Definitions'!$D$5:$M$14,_xlpm.t,MATCH(I$4,'[1]Territory Definitions'!$D$4:$M$4,0))&lt;&gt;1,"NOT IN TERRITORY",IF(COUNTIFS('[1]Blackout Brand Fam Areas (Enc)'!$B$6:$B$998,$A121,'[1]Blackout Brand Fam Areas (Enc)'!$C$6:$C$998,I$4,'[1]Blackout Brand Fam Areas (Enc)'!$D$6:$D$998,"Inactive")&gt;0,"BLOCKED","CAN SELL")))))</f>
        <v>CAN SELL</v>
      </c>
      <c r="J121" s="11" t="str">
        <f>IF($A121="","",_xlfn.LET(_xlpm.t,MATCH($B121,'[1]Territory Definitions'!$B$5:$B$14,0),IF(ISNA(_xlpm.t),"NO TERRITORY",IF(INDEX('[1]Territory Definitions'!$D$5:$M$14,_xlpm.t,MATCH(J$4,'[1]Territory Definitions'!$D$4:$M$4,0))&lt;&gt;1,"NOT IN TERRITORY",IF(COUNTIFS('[1]Blackout Brand Fam Areas (Enc)'!$B$6:$B$998,$A121,'[1]Blackout Brand Fam Areas (Enc)'!$C$6:$C$998,J$4,'[1]Blackout Brand Fam Areas (Enc)'!$D$6:$D$998,"Inactive")&gt;0,"BLOCKED","CAN SELL")))))</f>
        <v>CAN SELL</v>
      </c>
      <c r="K121" s="11" t="str">
        <f>IF($A121="","",_xlfn.LET(_xlpm.t,MATCH($B121,'[1]Territory Definitions'!$B$5:$B$14,0),IF(ISNA(_xlpm.t),"NO TERRITORY",IF(INDEX('[1]Territory Definitions'!$D$5:$M$14,_xlpm.t,MATCH(K$4,'[1]Territory Definitions'!$D$4:$M$4,0))&lt;&gt;1,"NOT IN TERRITORY",IF(COUNTIFS('[1]Blackout Brand Fam Areas (Enc)'!$B$6:$B$998,$A121,'[1]Blackout Brand Fam Areas (Enc)'!$C$6:$C$998,K$4,'[1]Blackout Brand Fam Areas (Enc)'!$D$6:$D$998,"Inactive")&gt;0,"BLOCKED","CAN SELL")))))</f>
        <v>CAN SELL</v>
      </c>
      <c r="L121" s="11" t="str">
        <f>IF($A121="","",_xlfn.LET(_xlpm.t,MATCH($B121,'[1]Territory Definitions'!$B$5:$B$14,0),IF(ISNA(_xlpm.t),"NO TERRITORY",IF(INDEX('[1]Territory Definitions'!$D$5:$M$14,_xlpm.t,MATCH(L$4,'[1]Territory Definitions'!$D$4:$M$4,0))&lt;&gt;1,"NOT IN TERRITORY",IF(COUNTIFS('[1]Blackout Brand Fam Areas (Enc)'!$B$6:$B$998,$A121,'[1]Blackout Brand Fam Areas (Enc)'!$C$6:$C$998,L$4,'[1]Blackout Brand Fam Areas (Enc)'!$D$6:$D$998,"Inactive")&gt;0,"BLOCKED","CAN SELL")))))</f>
        <v>CAN SELL</v>
      </c>
      <c r="M121" s="12">
        <f>IF($A121="","",COUNTIF($C121:$L121,"CAN SELL"))</f>
        <v>10</v>
      </c>
      <c r="N121" s="13" cm="1">
        <f t="array" ref="N121">IF($A121="","",SUMPRODUCT(($C121:$L121="CAN SELL")*$C$3:$L$3))</f>
        <v>2306</v>
      </c>
      <c r="O121" s="14" t="str">
        <f>IF($A121="","",IF(COUNTIF($A$5:$A$299,$A121)&gt;1,"DUPLICATE - two different territories assigned",IF($B121="** NO TERRITORY SET **","No territory on Brand Family Territory (Enc)","")))</f>
        <v/>
      </c>
      <c r="P121" s="18" t="str">
        <f>IF($A121="","",IFERROR(INDEX([1]Products!$H$4:$H$4801,MATCH($A121,[1]Products!$G$4:$G$4801,0)),"(no products)"))</f>
        <v>Warwick Valley</v>
      </c>
      <c r="Q121" s="19">
        <f>IF($A121="","",COUNTIFS([1]Products!$G$4:$G$4801,$A121,[1]Products!$L$4:$L$4801,"Yes"))</f>
        <v>1</v>
      </c>
      <c r="R121" s="19">
        <f>IF($A121="","",COUNTIFS([1]Products!$G$4:$G$4801,$A121,[1]Products!$L$4:$L$4801,"Yes",[1]Products!$K$4:$K$4801,"Draft"))</f>
        <v>0</v>
      </c>
      <c r="S121" s="19">
        <f>IF($A121="","",COUNTIFS([1]Products!$G$4:$G$4801,$A121,[1]Products!$L$4:$L$4801,"Yes",[1]Products!$K$4:$K$4801,"Package"))</f>
        <v>0</v>
      </c>
      <c r="T121" s="20" t="str" cm="1">
        <f t="array" ref="T121">IF($A121="","",_xlfn.IFS($Q121=0,"NO ACTIVE SKUs",AND($R121&gt;0,$S121&gt;0),"Draft &amp; Package",$R121&gt;0,"Draft only",TRUE,"Package only"))</f>
        <v>Package only</v>
      </c>
    </row>
    <row r="122" spans="1:20" x14ac:dyDescent="0.2">
      <c r="A122" s="9" t="str">
        <v>Gionelli</v>
      </c>
      <c r="B122" s="10" t="str">
        <f>IF($A122="","",_xlfn.XLOOKUP($A122,'[1]Brand Family Territory (Enc)'!$A:$A,'[1]Brand Family Territory (Enc)'!$B:$B,"** NO TERRITORY SET **"))</f>
        <v>Core Market</v>
      </c>
      <c r="C122" s="11" t="str">
        <f>IF($A122="","",_xlfn.LET(_xlpm.t,MATCH($B122,'[1]Territory Definitions'!$B$5:$B$14,0),IF(ISNA(_xlpm.t),"NO TERRITORY",IF(INDEX('[1]Territory Definitions'!$D$5:$M$14,_xlpm.t,MATCH(C$4,'[1]Territory Definitions'!$D$4:$M$4,0))&lt;&gt;1,"NOT IN TERRITORY",IF(COUNTIFS('[1]Blackout Brand Fam Areas (Enc)'!$B$6:$B$998,$A122,'[1]Blackout Brand Fam Areas (Enc)'!$C$6:$C$998,C$4,'[1]Blackout Brand Fam Areas (Enc)'!$D$6:$D$998,"Inactive")&gt;0,"BLOCKED","CAN SELL")))))</f>
        <v>CAN SELL</v>
      </c>
      <c r="D122" s="11" t="str">
        <f>IF($A122="","",_xlfn.LET(_xlpm.t,MATCH($B122,'[1]Territory Definitions'!$B$5:$B$14,0),IF(ISNA(_xlpm.t),"NO TERRITORY",IF(INDEX('[1]Territory Definitions'!$D$5:$M$14,_xlpm.t,MATCH(D$4,'[1]Territory Definitions'!$D$4:$M$4,0))&lt;&gt;1,"NOT IN TERRITORY",IF(COUNTIFS('[1]Blackout Brand Fam Areas (Enc)'!$B$6:$B$998,$A122,'[1]Blackout Brand Fam Areas (Enc)'!$C$6:$C$998,D$4,'[1]Blackout Brand Fam Areas (Enc)'!$D$6:$D$998,"Inactive")&gt;0,"BLOCKED","CAN SELL")))))</f>
        <v>CAN SELL</v>
      </c>
      <c r="E122" s="11" t="str">
        <f>IF($A122="","",_xlfn.LET(_xlpm.t,MATCH($B122,'[1]Territory Definitions'!$B$5:$B$14,0),IF(ISNA(_xlpm.t),"NO TERRITORY",IF(INDEX('[1]Territory Definitions'!$D$5:$M$14,_xlpm.t,MATCH(E$4,'[1]Territory Definitions'!$D$4:$M$4,0))&lt;&gt;1,"NOT IN TERRITORY",IF(COUNTIFS('[1]Blackout Brand Fam Areas (Enc)'!$B$6:$B$998,$A122,'[1]Blackout Brand Fam Areas (Enc)'!$C$6:$C$998,E$4,'[1]Blackout Brand Fam Areas (Enc)'!$D$6:$D$998,"Inactive")&gt;0,"BLOCKED","CAN SELL")))))</f>
        <v>CAN SELL</v>
      </c>
      <c r="F122" s="11" t="str">
        <f>IF($A122="","",_xlfn.LET(_xlpm.t,MATCH($B122,'[1]Territory Definitions'!$B$5:$B$14,0),IF(ISNA(_xlpm.t),"NO TERRITORY",IF(INDEX('[1]Territory Definitions'!$D$5:$M$14,_xlpm.t,MATCH(F$4,'[1]Territory Definitions'!$D$4:$M$4,0))&lt;&gt;1,"NOT IN TERRITORY",IF(COUNTIFS('[1]Blackout Brand Fam Areas (Enc)'!$B$6:$B$998,$A122,'[1]Blackout Brand Fam Areas (Enc)'!$C$6:$C$998,F$4,'[1]Blackout Brand Fam Areas (Enc)'!$D$6:$D$998,"Inactive")&gt;0,"BLOCKED","CAN SELL")))))</f>
        <v>NOT IN TERRITORY</v>
      </c>
      <c r="G122" s="11" t="str">
        <f>IF($A122="","",_xlfn.LET(_xlpm.t,MATCH($B122,'[1]Territory Definitions'!$B$5:$B$14,0),IF(ISNA(_xlpm.t),"NO TERRITORY",IF(INDEX('[1]Territory Definitions'!$D$5:$M$14,_xlpm.t,MATCH(G$4,'[1]Territory Definitions'!$D$4:$M$4,0))&lt;&gt;1,"NOT IN TERRITORY",IF(COUNTIFS('[1]Blackout Brand Fam Areas (Enc)'!$B$6:$B$998,$A122,'[1]Blackout Brand Fam Areas (Enc)'!$C$6:$C$998,G$4,'[1]Blackout Brand Fam Areas (Enc)'!$D$6:$D$998,"Inactive")&gt;0,"BLOCKED","CAN SELL")))))</f>
        <v>NOT IN TERRITORY</v>
      </c>
      <c r="H122" s="11" t="str">
        <f>IF($A122="","",_xlfn.LET(_xlpm.t,MATCH($B122,'[1]Territory Definitions'!$B$5:$B$14,0),IF(ISNA(_xlpm.t),"NO TERRITORY",IF(INDEX('[1]Territory Definitions'!$D$5:$M$14,_xlpm.t,MATCH(H$4,'[1]Territory Definitions'!$D$4:$M$4,0))&lt;&gt;1,"NOT IN TERRITORY",IF(COUNTIFS('[1]Blackout Brand Fam Areas (Enc)'!$B$6:$B$998,$A122,'[1]Blackout Brand Fam Areas (Enc)'!$C$6:$C$998,H$4,'[1]Blackout Brand Fam Areas (Enc)'!$D$6:$D$998,"Inactive")&gt;0,"BLOCKED","CAN SELL")))))</f>
        <v>NOT IN TERRITORY</v>
      </c>
      <c r="I122" s="11" t="str">
        <f>IF($A122="","",_xlfn.LET(_xlpm.t,MATCH($B122,'[1]Territory Definitions'!$B$5:$B$14,0),IF(ISNA(_xlpm.t),"NO TERRITORY",IF(INDEX('[1]Territory Definitions'!$D$5:$M$14,_xlpm.t,MATCH(I$4,'[1]Territory Definitions'!$D$4:$M$4,0))&lt;&gt;1,"NOT IN TERRITORY",IF(COUNTIFS('[1]Blackout Brand Fam Areas (Enc)'!$B$6:$B$998,$A122,'[1]Blackout Brand Fam Areas (Enc)'!$C$6:$C$998,I$4,'[1]Blackout Brand Fam Areas (Enc)'!$D$6:$D$998,"Inactive")&gt;0,"BLOCKED","CAN SELL")))))</f>
        <v>CAN SELL</v>
      </c>
      <c r="J122" s="11" t="str">
        <f>IF($A122="","",_xlfn.LET(_xlpm.t,MATCH($B122,'[1]Territory Definitions'!$B$5:$B$14,0),IF(ISNA(_xlpm.t),"NO TERRITORY",IF(INDEX('[1]Territory Definitions'!$D$5:$M$14,_xlpm.t,MATCH(J$4,'[1]Territory Definitions'!$D$4:$M$4,0))&lt;&gt;1,"NOT IN TERRITORY",IF(COUNTIFS('[1]Blackout Brand Fam Areas (Enc)'!$B$6:$B$998,$A122,'[1]Blackout Brand Fam Areas (Enc)'!$C$6:$C$998,J$4,'[1]Blackout Brand Fam Areas (Enc)'!$D$6:$D$998,"Inactive")&gt;0,"BLOCKED","CAN SELL")))))</f>
        <v>CAN SELL</v>
      </c>
      <c r="K122" s="11" t="str">
        <f>IF($A122="","",_xlfn.LET(_xlpm.t,MATCH($B122,'[1]Territory Definitions'!$B$5:$B$14,0),IF(ISNA(_xlpm.t),"NO TERRITORY",IF(INDEX('[1]Territory Definitions'!$D$5:$M$14,_xlpm.t,MATCH(K$4,'[1]Territory Definitions'!$D$4:$M$4,0))&lt;&gt;1,"NOT IN TERRITORY",IF(COUNTIFS('[1]Blackout Brand Fam Areas (Enc)'!$B$6:$B$998,$A122,'[1]Blackout Brand Fam Areas (Enc)'!$C$6:$C$998,K$4,'[1]Blackout Brand Fam Areas (Enc)'!$D$6:$D$998,"Inactive")&gt;0,"BLOCKED","CAN SELL")))))</f>
        <v>NOT IN TERRITORY</v>
      </c>
      <c r="L122" s="11" t="str">
        <f>IF($A122="","",_xlfn.LET(_xlpm.t,MATCH($B122,'[1]Territory Definitions'!$B$5:$B$14,0),IF(ISNA(_xlpm.t),"NO TERRITORY",IF(INDEX('[1]Territory Definitions'!$D$5:$M$14,_xlpm.t,MATCH(L$4,'[1]Territory Definitions'!$D$4:$M$4,0))&lt;&gt;1,"NOT IN TERRITORY",IF(COUNTIFS('[1]Blackout Brand Fam Areas (Enc)'!$B$6:$B$998,$A122,'[1]Blackout Brand Fam Areas (Enc)'!$C$6:$C$998,L$4,'[1]Blackout Brand Fam Areas (Enc)'!$D$6:$D$998,"Inactive")&gt;0,"BLOCKED","CAN SELL")))))</f>
        <v>CAN SELL</v>
      </c>
      <c r="M122" s="12">
        <f>IF($A122="","",COUNTIF($C122:$L122,"CAN SELL"))</f>
        <v>6</v>
      </c>
      <c r="N122" s="13" cm="1">
        <f t="array" ref="N122">IF($A122="","",SUMPRODUCT(($C122:$L122="CAN SELL")*$C$3:$L$3))</f>
        <v>1596</v>
      </c>
      <c r="O122" s="14" t="str">
        <f>IF($A122="","",IF(COUNTIF($A$5:$A$299,$A122)&gt;1,"DUPLICATE - two different territories assigned",IF($B122="** NO TERRITORY SET **","No territory on Brand Family Territory (Enc)","")))</f>
        <v/>
      </c>
      <c r="P122" s="18" t="str">
        <f>IF($A122="","",IFERROR(INDEX([1]Products!$H$4:$H$4801,MATCH($A122,[1]Products!$G$4:$G$4801,0)),"(no products)"))</f>
        <v>Prestige Beverage Group</v>
      </c>
      <c r="Q122" s="19">
        <f>IF($A122="","",COUNTIFS([1]Products!$G$4:$G$4801,$A122,[1]Products!$L$4:$L$4801,"Yes"))</f>
        <v>1</v>
      </c>
      <c r="R122" s="19">
        <f>IF($A122="","",COUNTIFS([1]Products!$G$4:$G$4801,$A122,[1]Products!$L$4:$L$4801,"Yes",[1]Products!$K$4:$K$4801,"Draft"))</f>
        <v>0</v>
      </c>
      <c r="S122" s="19">
        <f>IF($A122="","",COUNTIFS([1]Products!$G$4:$G$4801,$A122,[1]Products!$L$4:$L$4801,"Yes",[1]Products!$K$4:$K$4801,"Package"))</f>
        <v>0</v>
      </c>
      <c r="T122" s="20" t="str" cm="1">
        <f t="array" ref="T122">IF($A122="","",_xlfn.IFS($Q122=0,"NO ACTIVE SKUs",AND($R122&gt;0,$S122&gt;0),"Draft &amp; Package",$R122&gt;0,"Draft only",TRUE,"Package only"))</f>
        <v>Package only</v>
      </c>
    </row>
    <row r="123" spans="1:20" x14ac:dyDescent="0.2">
      <c r="A123" s="9" t="str">
        <v>Good Supply</v>
      </c>
      <c r="B123" s="10" t="str">
        <f>IF($A123="","",_xlfn.XLOOKUP($A123,'[1]Brand Family Territory (Enc)'!$A:$A,'[1]Brand Family Territory (Enc)'!$B:$B,"** NO TERRITORY SET **"))</f>
        <v>All Counties</v>
      </c>
      <c r="C123" s="11" t="str">
        <f>IF($A123="","",_xlfn.LET(_xlpm.t,MATCH($B123,'[1]Territory Definitions'!$B$5:$B$14,0),IF(ISNA(_xlpm.t),"NO TERRITORY",IF(INDEX('[1]Territory Definitions'!$D$5:$M$14,_xlpm.t,MATCH(C$4,'[1]Territory Definitions'!$D$4:$M$4,0))&lt;&gt;1,"NOT IN TERRITORY",IF(COUNTIFS('[1]Blackout Brand Fam Areas (Enc)'!$B$6:$B$998,$A123,'[1]Blackout Brand Fam Areas (Enc)'!$C$6:$C$998,C$4,'[1]Blackout Brand Fam Areas (Enc)'!$D$6:$D$998,"Inactive")&gt;0,"BLOCKED","CAN SELL")))))</f>
        <v>CAN SELL</v>
      </c>
      <c r="D123" s="11" t="str">
        <f>IF($A123="","",_xlfn.LET(_xlpm.t,MATCH($B123,'[1]Territory Definitions'!$B$5:$B$14,0),IF(ISNA(_xlpm.t),"NO TERRITORY",IF(INDEX('[1]Territory Definitions'!$D$5:$M$14,_xlpm.t,MATCH(D$4,'[1]Territory Definitions'!$D$4:$M$4,0))&lt;&gt;1,"NOT IN TERRITORY",IF(COUNTIFS('[1]Blackout Brand Fam Areas (Enc)'!$B$6:$B$998,$A123,'[1]Blackout Brand Fam Areas (Enc)'!$C$6:$C$998,D$4,'[1]Blackout Brand Fam Areas (Enc)'!$D$6:$D$998,"Inactive")&gt;0,"BLOCKED","CAN SELL")))))</f>
        <v>CAN SELL</v>
      </c>
      <c r="E123" s="11" t="str">
        <f>IF($A123="","",_xlfn.LET(_xlpm.t,MATCH($B123,'[1]Territory Definitions'!$B$5:$B$14,0),IF(ISNA(_xlpm.t),"NO TERRITORY",IF(INDEX('[1]Territory Definitions'!$D$5:$M$14,_xlpm.t,MATCH(E$4,'[1]Territory Definitions'!$D$4:$M$4,0))&lt;&gt;1,"NOT IN TERRITORY",IF(COUNTIFS('[1]Blackout Brand Fam Areas (Enc)'!$B$6:$B$998,$A123,'[1]Blackout Brand Fam Areas (Enc)'!$C$6:$C$998,E$4,'[1]Blackout Brand Fam Areas (Enc)'!$D$6:$D$998,"Inactive")&gt;0,"BLOCKED","CAN SELL")))))</f>
        <v>CAN SELL</v>
      </c>
      <c r="F123" s="11" t="str">
        <f>IF($A123="","",_xlfn.LET(_xlpm.t,MATCH($B123,'[1]Territory Definitions'!$B$5:$B$14,0),IF(ISNA(_xlpm.t),"NO TERRITORY",IF(INDEX('[1]Territory Definitions'!$D$5:$M$14,_xlpm.t,MATCH(F$4,'[1]Territory Definitions'!$D$4:$M$4,0))&lt;&gt;1,"NOT IN TERRITORY",IF(COUNTIFS('[1]Blackout Brand Fam Areas (Enc)'!$B$6:$B$998,$A123,'[1]Blackout Brand Fam Areas (Enc)'!$C$6:$C$998,F$4,'[1]Blackout Brand Fam Areas (Enc)'!$D$6:$D$998,"Inactive")&gt;0,"BLOCKED","CAN SELL")))))</f>
        <v>CAN SELL</v>
      </c>
      <c r="G123" s="11" t="str">
        <f>IF($A123="","",_xlfn.LET(_xlpm.t,MATCH($B123,'[1]Territory Definitions'!$B$5:$B$14,0),IF(ISNA(_xlpm.t),"NO TERRITORY",IF(INDEX('[1]Territory Definitions'!$D$5:$M$14,_xlpm.t,MATCH(G$4,'[1]Territory Definitions'!$D$4:$M$4,0))&lt;&gt;1,"NOT IN TERRITORY",IF(COUNTIFS('[1]Blackout Brand Fam Areas (Enc)'!$B$6:$B$998,$A123,'[1]Blackout Brand Fam Areas (Enc)'!$C$6:$C$998,G$4,'[1]Blackout Brand Fam Areas (Enc)'!$D$6:$D$998,"Inactive")&gt;0,"BLOCKED","CAN SELL")))))</f>
        <v>CAN SELL</v>
      </c>
      <c r="H123" s="11" t="str">
        <f>IF($A123="","",_xlfn.LET(_xlpm.t,MATCH($B123,'[1]Territory Definitions'!$B$5:$B$14,0),IF(ISNA(_xlpm.t),"NO TERRITORY",IF(INDEX('[1]Territory Definitions'!$D$5:$M$14,_xlpm.t,MATCH(H$4,'[1]Territory Definitions'!$D$4:$M$4,0))&lt;&gt;1,"NOT IN TERRITORY",IF(COUNTIFS('[1]Blackout Brand Fam Areas (Enc)'!$B$6:$B$998,$A123,'[1]Blackout Brand Fam Areas (Enc)'!$C$6:$C$998,H$4,'[1]Blackout Brand Fam Areas (Enc)'!$D$6:$D$998,"Inactive")&gt;0,"BLOCKED","CAN SELL")))))</f>
        <v>CAN SELL</v>
      </c>
      <c r="I123" s="11" t="str">
        <f>IF($A123="","",_xlfn.LET(_xlpm.t,MATCH($B123,'[1]Territory Definitions'!$B$5:$B$14,0),IF(ISNA(_xlpm.t),"NO TERRITORY",IF(INDEX('[1]Territory Definitions'!$D$5:$M$14,_xlpm.t,MATCH(I$4,'[1]Territory Definitions'!$D$4:$M$4,0))&lt;&gt;1,"NOT IN TERRITORY",IF(COUNTIFS('[1]Blackout Brand Fam Areas (Enc)'!$B$6:$B$998,$A123,'[1]Blackout Brand Fam Areas (Enc)'!$C$6:$C$998,I$4,'[1]Blackout Brand Fam Areas (Enc)'!$D$6:$D$998,"Inactive")&gt;0,"BLOCKED","CAN SELL")))))</f>
        <v>CAN SELL</v>
      </c>
      <c r="J123" s="11" t="str">
        <f>IF($A123="","",_xlfn.LET(_xlpm.t,MATCH($B123,'[1]Territory Definitions'!$B$5:$B$14,0),IF(ISNA(_xlpm.t),"NO TERRITORY",IF(INDEX('[1]Territory Definitions'!$D$5:$M$14,_xlpm.t,MATCH(J$4,'[1]Territory Definitions'!$D$4:$M$4,0))&lt;&gt;1,"NOT IN TERRITORY",IF(COUNTIFS('[1]Blackout Brand Fam Areas (Enc)'!$B$6:$B$998,$A123,'[1]Blackout Brand Fam Areas (Enc)'!$C$6:$C$998,J$4,'[1]Blackout Brand Fam Areas (Enc)'!$D$6:$D$998,"Inactive")&gt;0,"BLOCKED","CAN SELL")))))</f>
        <v>CAN SELL</v>
      </c>
      <c r="K123" s="11" t="str">
        <f>IF($A123="","",_xlfn.LET(_xlpm.t,MATCH($B123,'[1]Territory Definitions'!$B$5:$B$14,0),IF(ISNA(_xlpm.t),"NO TERRITORY",IF(INDEX('[1]Territory Definitions'!$D$5:$M$14,_xlpm.t,MATCH(K$4,'[1]Territory Definitions'!$D$4:$M$4,0))&lt;&gt;1,"NOT IN TERRITORY",IF(COUNTIFS('[1]Blackout Brand Fam Areas (Enc)'!$B$6:$B$998,$A123,'[1]Blackout Brand Fam Areas (Enc)'!$C$6:$C$998,K$4,'[1]Blackout Brand Fam Areas (Enc)'!$D$6:$D$998,"Inactive")&gt;0,"BLOCKED","CAN SELL")))))</f>
        <v>CAN SELL</v>
      </c>
      <c r="L123" s="11" t="str">
        <f>IF($A123="","",_xlfn.LET(_xlpm.t,MATCH($B123,'[1]Territory Definitions'!$B$5:$B$14,0),IF(ISNA(_xlpm.t),"NO TERRITORY",IF(INDEX('[1]Territory Definitions'!$D$5:$M$14,_xlpm.t,MATCH(L$4,'[1]Territory Definitions'!$D$4:$M$4,0))&lt;&gt;1,"NOT IN TERRITORY",IF(COUNTIFS('[1]Blackout Brand Fam Areas (Enc)'!$B$6:$B$998,$A123,'[1]Blackout Brand Fam Areas (Enc)'!$C$6:$C$998,L$4,'[1]Blackout Brand Fam Areas (Enc)'!$D$6:$D$998,"Inactive")&gt;0,"BLOCKED","CAN SELL")))))</f>
        <v>CAN SELL</v>
      </c>
      <c r="M123" s="12">
        <f>IF($A123="","",COUNTIF($C123:$L123,"CAN SELL"))</f>
        <v>10</v>
      </c>
      <c r="N123" s="13" cm="1">
        <f t="array" ref="N123">IF($A123="","",SUMPRODUCT(($C123:$L123="CAN SELL")*$C$3:$L$3))</f>
        <v>2306</v>
      </c>
      <c r="O123" s="14" t="str">
        <f>IF($A123="","",IF(COUNTIF($A$5:$A$299,$A123)&gt;1,"DUPLICATE - two different territories assigned",IF($B123="** NO TERRITORY SET **","No territory on Brand Family Territory (Enc)","")))</f>
        <v/>
      </c>
      <c r="P123" s="18" t="str">
        <f>IF($A123="","",IFERROR(INDEX([1]Products!$H$4:$H$4801,MATCH($A123,[1]Products!$G$4:$G$4801,0)),"(no products)"))</f>
        <v>(no products)</v>
      </c>
      <c r="Q123" s="19">
        <f>IF($A123="","",COUNTIFS([1]Products!$G$4:$G$4801,$A123,[1]Products!$L$4:$L$4801,"Yes"))</f>
        <v>0</v>
      </c>
      <c r="R123" s="19">
        <f>IF($A123="","",COUNTIFS([1]Products!$G$4:$G$4801,$A123,[1]Products!$L$4:$L$4801,"Yes",[1]Products!$K$4:$K$4801,"Draft"))</f>
        <v>0</v>
      </c>
      <c r="S123" s="19">
        <f>IF($A123="","",COUNTIFS([1]Products!$G$4:$G$4801,$A123,[1]Products!$L$4:$L$4801,"Yes",[1]Products!$K$4:$K$4801,"Package"))</f>
        <v>0</v>
      </c>
      <c r="T123" s="20" t="str" cm="1">
        <f t="array" ref="T123">IF($A123="","",_xlfn.IFS($Q123=0,"NO ACTIVE SKUs",AND($R123&gt;0,$S123&gt;0),"Draft &amp; Package",$R123&gt;0,"Draft only",TRUE,"Package only"))</f>
        <v>NO ACTIVE SKUs</v>
      </c>
    </row>
    <row r="124" spans="1:20" x14ac:dyDescent="0.2">
      <c r="A124" s="9" t="str">
        <v>Great Lakes</v>
      </c>
      <c r="B124" s="10" t="str">
        <f>IF($A124="","",_xlfn.XLOOKUP($A124,'[1]Brand Family Territory (Enc)'!$A:$A,'[1]Brand Family Territory (Enc)'!$B:$B,"** NO TERRITORY SET **"))</f>
        <v>All Counties</v>
      </c>
      <c r="C124" s="11" t="str">
        <f>IF($A124="","",_xlfn.LET(_xlpm.t,MATCH($B124,'[1]Territory Definitions'!$B$5:$B$14,0),IF(ISNA(_xlpm.t),"NO TERRITORY",IF(INDEX('[1]Territory Definitions'!$D$5:$M$14,_xlpm.t,MATCH(C$4,'[1]Territory Definitions'!$D$4:$M$4,0))&lt;&gt;1,"NOT IN TERRITORY",IF(COUNTIFS('[1]Blackout Brand Fam Areas (Enc)'!$B$6:$B$998,$A124,'[1]Blackout Brand Fam Areas (Enc)'!$C$6:$C$998,C$4,'[1]Blackout Brand Fam Areas (Enc)'!$D$6:$D$998,"Inactive")&gt;0,"BLOCKED","CAN SELL")))))</f>
        <v>CAN SELL</v>
      </c>
      <c r="D124" s="11" t="str">
        <f>IF($A124="","",_xlfn.LET(_xlpm.t,MATCH($B124,'[1]Territory Definitions'!$B$5:$B$14,0),IF(ISNA(_xlpm.t),"NO TERRITORY",IF(INDEX('[1]Territory Definitions'!$D$5:$M$14,_xlpm.t,MATCH(D$4,'[1]Territory Definitions'!$D$4:$M$4,0))&lt;&gt;1,"NOT IN TERRITORY",IF(COUNTIFS('[1]Blackout Brand Fam Areas (Enc)'!$B$6:$B$998,$A124,'[1]Blackout Brand Fam Areas (Enc)'!$C$6:$C$998,D$4,'[1]Blackout Brand Fam Areas (Enc)'!$D$6:$D$998,"Inactive")&gt;0,"BLOCKED","CAN SELL")))))</f>
        <v>CAN SELL</v>
      </c>
      <c r="E124" s="11" t="str">
        <f>IF($A124="","",_xlfn.LET(_xlpm.t,MATCH($B124,'[1]Territory Definitions'!$B$5:$B$14,0),IF(ISNA(_xlpm.t),"NO TERRITORY",IF(INDEX('[1]Territory Definitions'!$D$5:$M$14,_xlpm.t,MATCH(E$4,'[1]Territory Definitions'!$D$4:$M$4,0))&lt;&gt;1,"NOT IN TERRITORY",IF(COUNTIFS('[1]Blackout Brand Fam Areas (Enc)'!$B$6:$B$998,$A124,'[1]Blackout Brand Fam Areas (Enc)'!$C$6:$C$998,E$4,'[1]Blackout Brand Fam Areas (Enc)'!$D$6:$D$998,"Inactive")&gt;0,"BLOCKED","CAN SELL")))))</f>
        <v>CAN SELL</v>
      </c>
      <c r="F124" s="11" t="str">
        <f>IF($A124="","",_xlfn.LET(_xlpm.t,MATCH($B124,'[1]Territory Definitions'!$B$5:$B$14,0),IF(ISNA(_xlpm.t),"NO TERRITORY",IF(INDEX('[1]Territory Definitions'!$D$5:$M$14,_xlpm.t,MATCH(F$4,'[1]Territory Definitions'!$D$4:$M$4,0))&lt;&gt;1,"NOT IN TERRITORY",IF(COUNTIFS('[1]Blackout Brand Fam Areas (Enc)'!$B$6:$B$998,$A124,'[1]Blackout Brand Fam Areas (Enc)'!$C$6:$C$998,F$4,'[1]Blackout Brand Fam Areas (Enc)'!$D$6:$D$998,"Inactive")&gt;0,"BLOCKED","CAN SELL")))))</f>
        <v>CAN SELL</v>
      </c>
      <c r="G124" s="11" t="str">
        <f>IF($A124="","",_xlfn.LET(_xlpm.t,MATCH($B124,'[1]Territory Definitions'!$B$5:$B$14,0),IF(ISNA(_xlpm.t),"NO TERRITORY",IF(INDEX('[1]Territory Definitions'!$D$5:$M$14,_xlpm.t,MATCH(G$4,'[1]Territory Definitions'!$D$4:$M$4,0))&lt;&gt;1,"NOT IN TERRITORY",IF(COUNTIFS('[1]Blackout Brand Fam Areas (Enc)'!$B$6:$B$998,$A124,'[1]Blackout Brand Fam Areas (Enc)'!$C$6:$C$998,G$4,'[1]Blackout Brand Fam Areas (Enc)'!$D$6:$D$998,"Inactive")&gt;0,"BLOCKED","CAN SELL")))))</f>
        <v>CAN SELL</v>
      </c>
      <c r="H124" s="11" t="str">
        <f>IF($A124="","",_xlfn.LET(_xlpm.t,MATCH($B124,'[1]Territory Definitions'!$B$5:$B$14,0),IF(ISNA(_xlpm.t),"NO TERRITORY",IF(INDEX('[1]Territory Definitions'!$D$5:$M$14,_xlpm.t,MATCH(H$4,'[1]Territory Definitions'!$D$4:$M$4,0))&lt;&gt;1,"NOT IN TERRITORY",IF(COUNTIFS('[1]Blackout Brand Fam Areas (Enc)'!$B$6:$B$998,$A124,'[1]Blackout Brand Fam Areas (Enc)'!$C$6:$C$998,H$4,'[1]Blackout Brand Fam Areas (Enc)'!$D$6:$D$998,"Inactive")&gt;0,"BLOCKED","CAN SELL")))))</f>
        <v>CAN SELL</v>
      </c>
      <c r="I124" s="11" t="str">
        <f>IF($A124="","",_xlfn.LET(_xlpm.t,MATCH($B124,'[1]Territory Definitions'!$B$5:$B$14,0),IF(ISNA(_xlpm.t),"NO TERRITORY",IF(INDEX('[1]Territory Definitions'!$D$5:$M$14,_xlpm.t,MATCH(I$4,'[1]Territory Definitions'!$D$4:$M$4,0))&lt;&gt;1,"NOT IN TERRITORY",IF(COUNTIFS('[1]Blackout Brand Fam Areas (Enc)'!$B$6:$B$998,$A124,'[1]Blackout Brand Fam Areas (Enc)'!$C$6:$C$998,I$4,'[1]Blackout Brand Fam Areas (Enc)'!$D$6:$D$998,"Inactive")&gt;0,"BLOCKED","CAN SELL")))))</f>
        <v>CAN SELL</v>
      </c>
      <c r="J124" s="11" t="str">
        <f>IF($A124="","",_xlfn.LET(_xlpm.t,MATCH($B124,'[1]Territory Definitions'!$B$5:$B$14,0),IF(ISNA(_xlpm.t),"NO TERRITORY",IF(INDEX('[1]Territory Definitions'!$D$5:$M$14,_xlpm.t,MATCH(J$4,'[1]Territory Definitions'!$D$4:$M$4,0))&lt;&gt;1,"NOT IN TERRITORY",IF(COUNTIFS('[1]Blackout Brand Fam Areas (Enc)'!$B$6:$B$998,$A124,'[1]Blackout Brand Fam Areas (Enc)'!$C$6:$C$998,J$4,'[1]Blackout Brand Fam Areas (Enc)'!$D$6:$D$998,"Inactive")&gt;0,"BLOCKED","CAN SELL")))))</f>
        <v>CAN SELL</v>
      </c>
      <c r="K124" s="11" t="str">
        <f>IF($A124="","",_xlfn.LET(_xlpm.t,MATCH($B124,'[1]Territory Definitions'!$B$5:$B$14,0),IF(ISNA(_xlpm.t),"NO TERRITORY",IF(INDEX('[1]Territory Definitions'!$D$5:$M$14,_xlpm.t,MATCH(K$4,'[1]Territory Definitions'!$D$4:$M$4,0))&lt;&gt;1,"NOT IN TERRITORY",IF(COUNTIFS('[1]Blackout Brand Fam Areas (Enc)'!$B$6:$B$998,$A124,'[1]Blackout Brand Fam Areas (Enc)'!$C$6:$C$998,K$4,'[1]Blackout Brand Fam Areas (Enc)'!$D$6:$D$998,"Inactive")&gt;0,"BLOCKED","CAN SELL")))))</f>
        <v>CAN SELL</v>
      </c>
      <c r="L124" s="11" t="str">
        <f>IF($A124="","",_xlfn.LET(_xlpm.t,MATCH($B124,'[1]Territory Definitions'!$B$5:$B$14,0),IF(ISNA(_xlpm.t),"NO TERRITORY",IF(INDEX('[1]Territory Definitions'!$D$5:$M$14,_xlpm.t,MATCH(L$4,'[1]Territory Definitions'!$D$4:$M$4,0))&lt;&gt;1,"NOT IN TERRITORY",IF(COUNTIFS('[1]Blackout Brand Fam Areas (Enc)'!$B$6:$B$998,$A124,'[1]Blackout Brand Fam Areas (Enc)'!$C$6:$C$998,L$4,'[1]Blackout Brand Fam Areas (Enc)'!$D$6:$D$998,"Inactive")&gt;0,"BLOCKED","CAN SELL")))))</f>
        <v>CAN SELL</v>
      </c>
      <c r="M124" s="12">
        <f>IF($A124="","",COUNTIF($C124:$L124,"CAN SELL"))</f>
        <v>10</v>
      </c>
      <c r="N124" s="13" cm="1">
        <f t="array" ref="N124">IF($A124="","",SUMPRODUCT(($C124:$L124="CAN SELL")*$C$3:$L$3))</f>
        <v>2306</v>
      </c>
      <c r="O124" s="14" t="str">
        <f>IF($A124="","",IF(COUNTIF($A$5:$A$299,$A124)&gt;1,"DUPLICATE - two different territories assigned",IF($B124="** NO TERRITORY SET **","No territory on Brand Family Territory (Enc)","")))</f>
        <v/>
      </c>
      <c r="P124" s="18" t="str">
        <f>IF($A124="","",IFERROR(INDEX([1]Products!$H$4:$H$4801,MATCH($A124,[1]Products!$G$4:$G$4801,0)),"(no products)"))</f>
        <v>Great Lakes</v>
      </c>
      <c r="Q124" s="19">
        <f>IF($A124="","",COUNTIFS([1]Products!$G$4:$G$4801,$A124,[1]Products!$L$4:$L$4801,"Yes"))</f>
        <v>47</v>
      </c>
      <c r="R124" s="19">
        <f>IF($A124="","",COUNTIFS([1]Products!$G$4:$G$4801,$A124,[1]Products!$L$4:$L$4801,"Yes",[1]Products!$K$4:$K$4801,"Draft"))</f>
        <v>18</v>
      </c>
      <c r="S124" s="19">
        <f>IF($A124="","",COUNTIFS([1]Products!$G$4:$G$4801,$A124,[1]Products!$L$4:$L$4801,"Yes",[1]Products!$K$4:$K$4801,"Package"))</f>
        <v>29</v>
      </c>
      <c r="T124" s="20" t="str" cm="1">
        <f t="array" ref="T124">IF($A124="","",_xlfn.IFS($Q124=0,"NO ACTIVE SKUs",AND($R124&gt;0,$S124&gt;0),"Draft &amp; Package",$R124&gt;0,"Draft only",TRUE,"Package only"))</f>
        <v>Draft &amp; Package</v>
      </c>
    </row>
    <row r="125" spans="1:20" x14ac:dyDescent="0.2">
      <c r="A125" s="9" t="str">
        <v>Greek Spirits</v>
      </c>
      <c r="B125" s="10" t="str">
        <f>IF($A125="","",_xlfn.XLOOKUP($A125,'[1]Brand Family Territory (Enc)'!$A:$A,'[1]Brand Family Territory (Enc)'!$B:$B,"** NO TERRITORY SET **"))</f>
        <v>All Counties</v>
      </c>
      <c r="C125" s="11" t="str">
        <f>IF($A125="","",_xlfn.LET(_xlpm.t,MATCH($B125,'[1]Territory Definitions'!$B$5:$B$14,0),IF(ISNA(_xlpm.t),"NO TERRITORY",IF(INDEX('[1]Territory Definitions'!$D$5:$M$14,_xlpm.t,MATCH(C$4,'[1]Territory Definitions'!$D$4:$M$4,0))&lt;&gt;1,"NOT IN TERRITORY",IF(COUNTIFS('[1]Blackout Brand Fam Areas (Enc)'!$B$6:$B$998,$A125,'[1]Blackout Brand Fam Areas (Enc)'!$C$6:$C$998,C$4,'[1]Blackout Brand Fam Areas (Enc)'!$D$6:$D$998,"Inactive")&gt;0,"BLOCKED","CAN SELL")))))</f>
        <v>CAN SELL</v>
      </c>
      <c r="D125" s="11" t="str">
        <f>IF($A125="","",_xlfn.LET(_xlpm.t,MATCH($B125,'[1]Territory Definitions'!$B$5:$B$14,0),IF(ISNA(_xlpm.t),"NO TERRITORY",IF(INDEX('[1]Territory Definitions'!$D$5:$M$14,_xlpm.t,MATCH(D$4,'[1]Territory Definitions'!$D$4:$M$4,0))&lt;&gt;1,"NOT IN TERRITORY",IF(COUNTIFS('[1]Blackout Brand Fam Areas (Enc)'!$B$6:$B$998,$A125,'[1]Blackout Brand Fam Areas (Enc)'!$C$6:$C$998,D$4,'[1]Blackout Brand Fam Areas (Enc)'!$D$6:$D$998,"Inactive")&gt;0,"BLOCKED","CAN SELL")))))</f>
        <v>CAN SELL</v>
      </c>
      <c r="E125" s="11" t="str">
        <f>IF($A125="","",_xlfn.LET(_xlpm.t,MATCH($B125,'[1]Territory Definitions'!$B$5:$B$14,0),IF(ISNA(_xlpm.t),"NO TERRITORY",IF(INDEX('[1]Territory Definitions'!$D$5:$M$14,_xlpm.t,MATCH(E$4,'[1]Territory Definitions'!$D$4:$M$4,0))&lt;&gt;1,"NOT IN TERRITORY",IF(COUNTIFS('[1]Blackout Brand Fam Areas (Enc)'!$B$6:$B$998,$A125,'[1]Blackout Brand Fam Areas (Enc)'!$C$6:$C$998,E$4,'[1]Blackout Brand Fam Areas (Enc)'!$D$6:$D$998,"Inactive")&gt;0,"BLOCKED","CAN SELL")))))</f>
        <v>CAN SELL</v>
      </c>
      <c r="F125" s="11" t="str">
        <f>IF($A125="","",_xlfn.LET(_xlpm.t,MATCH($B125,'[1]Territory Definitions'!$B$5:$B$14,0),IF(ISNA(_xlpm.t),"NO TERRITORY",IF(INDEX('[1]Territory Definitions'!$D$5:$M$14,_xlpm.t,MATCH(F$4,'[1]Territory Definitions'!$D$4:$M$4,0))&lt;&gt;1,"NOT IN TERRITORY",IF(COUNTIFS('[1]Blackout Brand Fam Areas (Enc)'!$B$6:$B$998,$A125,'[1]Blackout Brand Fam Areas (Enc)'!$C$6:$C$998,F$4,'[1]Blackout Brand Fam Areas (Enc)'!$D$6:$D$998,"Inactive")&gt;0,"BLOCKED","CAN SELL")))))</f>
        <v>CAN SELL</v>
      </c>
      <c r="G125" s="11" t="str">
        <f>IF($A125="","",_xlfn.LET(_xlpm.t,MATCH($B125,'[1]Territory Definitions'!$B$5:$B$14,0),IF(ISNA(_xlpm.t),"NO TERRITORY",IF(INDEX('[1]Territory Definitions'!$D$5:$M$14,_xlpm.t,MATCH(G$4,'[1]Territory Definitions'!$D$4:$M$4,0))&lt;&gt;1,"NOT IN TERRITORY",IF(COUNTIFS('[1]Blackout Brand Fam Areas (Enc)'!$B$6:$B$998,$A125,'[1]Blackout Brand Fam Areas (Enc)'!$C$6:$C$998,G$4,'[1]Blackout Brand Fam Areas (Enc)'!$D$6:$D$998,"Inactive")&gt;0,"BLOCKED","CAN SELL")))))</f>
        <v>CAN SELL</v>
      </c>
      <c r="H125" s="11" t="str">
        <f>IF($A125="","",_xlfn.LET(_xlpm.t,MATCH($B125,'[1]Territory Definitions'!$B$5:$B$14,0),IF(ISNA(_xlpm.t),"NO TERRITORY",IF(INDEX('[1]Territory Definitions'!$D$5:$M$14,_xlpm.t,MATCH(H$4,'[1]Territory Definitions'!$D$4:$M$4,0))&lt;&gt;1,"NOT IN TERRITORY",IF(COUNTIFS('[1]Blackout Brand Fam Areas (Enc)'!$B$6:$B$998,$A125,'[1]Blackout Brand Fam Areas (Enc)'!$C$6:$C$998,H$4,'[1]Blackout Brand Fam Areas (Enc)'!$D$6:$D$998,"Inactive")&gt;0,"BLOCKED","CAN SELL")))))</f>
        <v>CAN SELL</v>
      </c>
      <c r="I125" s="11" t="str">
        <f>IF($A125="","",_xlfn.LET(_xlpm.t,MATCH($B125,'[1]Territory Definitions'!$B$5:$B$14,0),IF(ISNA(_xlpm.t),"NO TERRITORY",IF(INDEX('[1]Territory Definitions'!$D$5:$M$14,_xlpm.t,MATCH(I$4,'[1]Territory Definitions'!$D$4:$M$4,0))&lt;&gt;1,"NOT IN TERRITORY",IF(COUNTIFS('[1]Blackout Brand Fam Areas (Enc)'!$B$6:$B$998,$A125,'[1]Blackout Brand Fam Areas (Enc)'!$C$6:$C$998,I$4,'[1]Blackout Brand Fam Areas (Enc)'!$D$6:$D$998,"Inactive")&gt;0,"BLOCKED","CAN SELL")))))</f>
        <v>CAN SELL</v>
      </c>
      <c r="J125" s="11" t="str">
        <f>IF($A125="","",_xlfn.LET(_xlpm.t,MATCH($B125,'[1]Territory Definitions'!$B$5:$B$14,0),IF(ISNA(_xlpm.t),"NO TERRITORY",IF(INDEX('[1]Territory Definitions'!$D$5:$M$14,_xlpm.t,MATCH(J$4,'[1]Territory Definitions'!$D$4:$M$4,0))&lt;&gt;1,"NOT IN TERRITORY",IF(COUNTIFS('[1]Blackout Brand Fam Areas (Enc)'!$B$6:$B$998,$A125,'[1]Blackout Brand Fam Areas (Enc)'!$C$6:$C$998,J$4,'[1]Blackout Brand Fam Areas (Enc)'!$D$6:$D$998,"Inactive")&gt;0,"BLOCKED","CAN SELL")))))</f>
        <v>CAN SELL</v>
      </c>
      <c r="K125" s="11" t="str">
        <f>IF($A125="","",_xlfn.LET(_xlpm.t,MATCH($B125,'[1]Territory Definitions'!$B$5:$B$14,0),IF(ISNA(_xlpm.t),"NO TERRITORY",IF(INDEX('[1]Territory Definitions'!$D$5:$M$14,_xlpm.t,MATCH(K$4,'[1]Territory Definitions'!$D$4:$M$4,0))&lt;&gt;1,"NOT IN TERRITORY",IF(COUNTIFS('[1]Blackout Brand Fam Areas (Enc)'!$B$6:$B$998,$A125,'[1]Blackout Brand Fam Areas (Enc)'!$C$6:$C$998,K$4,'[1]Blackout Brand Fam Areas (Enc)'!$D$6:$D$998,"Inactive")&gt;0,"BLOCKED","CAN SELL")))))</f>
        <v>CAN SELL</v>
      </c>
      <c r="L125" s="11" t="str">
        <f>IF($A125="","",_xlfn.LET(_xlpm.t,MATCH($B125,'[1]Territory Definitions'!$B$5:$B$14,0),IF(ISNA(_xlpm.t),"NO TERRITORY",IF(INDEX('[1]Territory Definitions'!$D$5:$M$14,_xlpm.t,MATCH(L$4,'[1]Territory Definitions'!$D$4:$M$4,0))&lt;&gt;1,"NOT IN TERRITORY",IF(COUNTIFS('[1]Blackout Brand Fam Areas (Enc)'!$B$6:$B$998,$A125,'[1]Blackout Brand Fam Areas (Enc)'!$C$6:$C$998,L$4,'[1]Blackout Brand Fam Areas (Enc)'!$D$6:$D$998,"Inactive")&gt;0,"BLOCKED","CAN SELL")))))</f>
        <v>CAN SELL</v>
      </c>
      <c r="M125" s="12">
        <f>IF($A125="","",COUNTIF($C125:$L125,"CAN SELL"))</f>
        <v>10</v>
      </c>
      <c r="N125" s="13" cm="1">
        <f t="array" ref="N125">IF($A125="","",SUMPRODUCT(($C125:$L125="CAN SELL")*$C$3:$L$3))</f>
        <v>2306</v>
      </c>
      <c r="O125" s="14" t="str">
        <f>IF($A125="","",IF(COUNTIF($A$5:$A$299,$A125)&gt;1,"DUPLICATE - two different territories assigned",IF($B125="** NO TERRITORY SET **","No territory on Brand Family Territory (Enc)","")))</f>
        <v/>
      </c>
      <c r="P125" s="18" t="str">
        <f>IF($A125="","",IFERROR(INDEX([1]Products!$H$4:$H$4801,MATCH($A125,[1]Products!$G$4:$G$4801,0)),"(no products)"))</f>
        <v>Prestige</v>
      </c>
      <c r="Q125" s="19">
        <f>IF($A125="","",COUNTIFS([1]Products!$G$4:$G$4801,$A125,[1]Products!$L$4:$L$4801,"Yes"))</f>
        <v>2</v>
      </c>
      <c r="R125" s="19">
        <f>IF($A125="","",COUNTIFS([1]Products!$G$4:$G$4801,$A125,[1]Products!$L$4:$L$4801,"Yes",[1]Products!$K$4:$K$4801,"Draft"))</f>
        <v>0</v>
      </c>
      <c r="S125" s="19">
        <f>IF($A125="","",COUNTIFS([1]Products!$G$4:$G$4801,$A125,[1]Products!$L$4:$L$4801,"Yes",[1]Products!$K$4:$K$4801,"Package"))</f>
        <v>0</v>
      </c>
      <c r="T125" s="20" t="str" cm="1">
        <f t="array" ref="T125">IF($A125="","",_xlfn.IFS($Q125=0,"NO ACTIVE SKUs",AND($R125&gt;0,$S125&gt;0),"Draft &amp; Package",$R125&gt;0,"Draft only",TRUE,"Package only"))</f>
        <v>Package only</v>
      </c>
    </row>
    <row r="126" spans="1:20" x14ac:dyDescent="0.2">
      <c r="A126" s="9" t="str">
        <v>Grolsch</v>
      </c>
      <c r="B126" s="10" t="str">
        <f>IF($A126="","",_xlfn.XLOOKUP($A126,'[1]Brand Family Territory (Enc)'!$A:$A,'[1]Brand Family Territory (Enc)'!$B:$B,"** NO TERRITORY SET **"))</f>
        <v>Core Market</v>
      </c>
      <c r="C126" s="11" t="str">
        <f>IF($A126="","",_xlfn.LET(_xlpm.t,MATCH($B126,'[1]Territory Definitions'!$B$5:$B$14,0),IF(ISNA(_xlpm.t),"NO TERRITORY",IF(INDEX('[1]Territory Definitions'!$D$5:$M$14,_xlpm.t,MATCH(C$4,'[1]Territory Definitions'!$D$4:$M$4,0))&lt;&gt;1,"NOT IN TERRITORY",IF(COUNTIFS('[1]Blackout Brand Fam Areas (Enc)'!$B$6:$B$998,$A126,'[1]Blackout Brand Fam Areas (Enc)'!$C$6:$C$998,C$4,'[1]Blackout Brand Fam Areas (Enc)'!$D$6:$D$998,"Inactive")&gt;0,"BLOCKED","CAN SELL")))))</f>
        <v>CAN SELL</v>
      </c>
      <c r="D126" s="11" t="str">
        <f>IF($A126="","",_xlfn.LET(_xlpm.t,MATCH($B126,'[1]Territory Definitions'!$B$5:$B$14,0),IF(ISNA(_xlpm.t),"NO TERRITORY",IF(INDEX('[1]Territory Definitions'!$D$5:$M$14,_xlpm.t,MATCH(D$4,'[1]Territory Definitions'!$D$4:$M$4,0))&lt;&gt;1,"NOT IN TERRITORY",IF(COUNTIFS('[1]Blackout Brand Fam Areas (Enc)'!$B$6:$B$998,$A126,'[1]Blackout Brand Fam Areas (Enc)'!$C$6:$C$998,D$4,'[1]Blackout Brand Fam Areas (Enc)'!$D$6:$D$998,"Inactive")&gt;0,"BLOCKED","CAN SELL")))))</f>
        <v>CAN SELL</v>
      </c>
      <c r="E126" s="11" t="str">
        <f>IF($A126="","",_xlfn.LET(_xlpm.t,MATCH($B126,'[1]Territory Definitions'!$B$5:$B$14,0),IF(ISNA(_xlpm.t),"NO TERRITORY",IF(INDEX('[1]Territory Definitions'!$D$5:$M$14,_xlpm.t,MATCH(E$4,'[1]Territory Definitions'!$D$4:$M$4,0))&lt;&gt;1,"NOT IN TERRITORY",IF(COUNTIFS('[1]Blackout Brand Fam Areas (Enc)'!$B$6:$B$998,$A126,'[1]Blackout Brand Fam Areas (Enc)'!$C$6:$C$998,E$4,'[1]Blackout Brand Fam Areas (Enc)'!$D$6:$D$998,"Inactive")&gt;0,"BLOCKED","CAN SELL")))))</f>
        <v>CAN SELL</v>
      </c>
      <c r="F126" s="11" t="str">
        <f>IF($A126="","",_xlfn.LET(_xlpm.t,MATCH($B126,'[1]Territory Definitions'!$B$5:$B$14,0),IF(ISNA(_xlpm.t),"NO TERRITORY",IF(INDEX('[1]Territory Definitions'!$D$5:$M$14,_xlpm.t,MATCH(F$4,'[1]Territory Definitions'!$D$4:$M$4,0))&lt;&gt;1,"NOT IN TERRITORY",IF(COUNTIFS('[1]Blackout Brand Fam Areas (Enc)'!$B$6:$B$998,$A126,'[1]Blackout Brand Fam Areas (Enc)'!$C$6:$C$998,F$4,'[1]Blackout Brand Fam Areas (Enc)'!$D$6:$D$998,"Inactive")&gt;0,"BLOCKED","CAN SELL")))))</f>
        <v>NOT IN TERRITORY</v>
      </c>
      <c r="G126" s="11" t="str">
        <f>IF($A126="","",_xlfn.LET(_xlpm.t,MATCH($B126,'[1]Territory Definitions'!$B$5:$B$14,0),IF(ISNA(_xlpm.t),"NO TERRITORY",IF(INDEX('[1]Territory Definitions'!$D$5:$M$14,_xlpm.t,MATCH(G$4,'[1]Territory Definitions'!$D$4:$M$4,0))&lt;&gt;1,"NOT IN TERRITORY",IF(COUNTIFS('[1]Blackout Brand Fam Areas (Enc)'!$B$6:$B$998,$A126,'[1]Blackout Brand Fam Areas (Enc)'!$C$6:$C$998,G$4,'[1]Blackout Brand Fam Areas (Enc)'!$D$6:$D$998,"Inactive")&gt;0,"BLOCKED","CAN SELL")))))</f>
        <v>NOT IN TERRITORY</v>
      </c>
      <c r="H126" s="11" t="str">
        <f>IF($A126="","",_xlfn.LET(_xlpm.t,MATCH($B126,'[1]Territory Definitions'!$B$5:$B$14,0),IF(ISNA(_xlpm.t),"NO TERRITORY",IF(INDEX('[1]Territory Definitions'!$D$5:$M$14,_xlpm.t,MATCH(H$4,'[1]Territory Definitions'!$D$4:$M$4,0))&lt;&gt;1,"NOT IN TERRITORY",IF(COUNTIFS('[1]Blackout Brand Fam Areas (Enc)'!$B$6:$B$998,$A126,'[1]Blackout Brand Fam Areas (Enc)'!$C$6:$C$998,H$4,'[1]Blackout Brand Fam Areas (Enc)'!$D$6:$D$998,"Inactive")&gt;0,"BLOCKED","CAN SELL")))))</f>
        <v>NOT IN TERRITORY</v>
      </c>
      <c r="I126" s="11" t="str">
        <f>IF($A126="","",_xlfn.LET(_xlpm.t,MATCH($B126,'[1]Territory Definitions'!$B$5:$B$14,0),IF(ISNA(_xlpm.t),"NO TERRITORY",IF(INDEX('[1]Territory Definitions'!$D$5:$M$14,_xlpm.t,MATCH(I$4,'[1]Territory Definitions'!$D$4:$M$4,0))&lt;&gt;1,"NOT IN TERRITORY",IF(COUNTIFS('[1]Blackout Brand Fam Areas (Enc)'!$B$6:$B$998,$A126,'[1]Blackout Brand Fam Areas (Enc)'!$C$6:$C$998,I$4,'[1]Blackout Brand Fam Areas (Enc)'!$D$6:$D$998,"Inactive")&gt;0,"BLOCKED","CAN SELL")))))</f>
        <v>CAN SELL</v>
      </c>
      <c r="J126" s="11" t="str">
        <f>IF($A126="","",_xlfn.LET(_xlpm.t,MATCH($B126,'[1]Territory Definitions'!$B$5:$B$14,0),IF(ISNA(_xlpm.t),"NO TERRITORY",IF(INDEX('[1]Territory Definitions'!$D$5:$M$14,_xlpm.t,MATCH(J$4,'[1]Territory Definitions'!$D$4:$M$4,0))&lt;&gt;1,"NOT IN TERRITORY",IF(COUNTIFS('[1]Blackout Brand Fam Areas (Enc)'!$B$6:$B$998,$A126,'[1]Blackout Brand Fam Areas (Enc)'!$C$6:$C$998,J$4,'[1]Blackout Brand Fam Areas (Enc)'!$D$6:$D$998,"Inactive")&gt;0,"BLOCKED","CAN SELL")))))</f>
        <v>CAN SELL</v>
      </c>
      <c r="K126" s="11" t="str">
        <f>IF($A126="","",_xlfn.LET(_xlpm.t,MATCH($B126,'[1]Territory Definitions'!$B$5:$B$14,0),IF(ISNA(_xlpm.t),"NO TERRITORY",IF(INDEX('[1]Territory Definitions'!$D$5:$M$14,_xlpm.t,MATCH(K$4,'[1]Territory Definitions'!$D$4:$M$4,0))&lt;&gt;1,"NOT IN TERRITORY",IF(COUNTIFS('[1]Blackout Brand Fam Areas (Enc)'!$B$6:$B$998,$A126,'[1]Blackout Brand Fam Areas (Enc)'!$C$6:$C$998,K$4,'[1]Blackout Brand Fam Areas (Enc)'!$D$6:$D$998,"Inactive")&gt;0,"BLOCKED","CAN SELL")))))</f>
        <v>NOT IN TERRITORY</v>
      </c>
      <c r="L126" s="11" t="str">
        <f>IF($A126="","",_xlfn.LET(_xlpm.t,MATCH($B126,'[1]Territory Definitions'!$B$5:$B$14,0),IF(ISNA(_xlpm.t),"NO TERRITORY",IF(INDEX('[1]Territory Definitions'!$D$5:$M$14,_xlpm.t,MATCH(L$4,'[1]Territory Definitions'!$D$4:$M$4,0))&lt;&gt;1,"NOT IN TERRITORY",IF(COUNTIFS('[1]Blackout Brand Fam Areas (Enc)'!$B$6:$B$998,$A126,'[1]Blackout Brand Fam Areas (Enc)'!$C$6:$C$998,L$4,'[1]Blackout Brand Fam Areas (Enc)'!$D$6:$D$998,"Inactive")&gt;0,"BLOCKED","CAN SELL")))))</f>
        <v>CAN SELL</v>
      </c>
      <c r="M126" s="12">
        <f>IF($A126="","",COUNTIF($C126:$L126,"CAN SELL"))</f>
        <v>6</v>
      </c>
      <c r="N126" s="13" cm="1">
        <f t="array" ref="N126">IF($A126="","",SUMPRODUCT(($C126:$L126="CAN SELL")*$C$3:$L$3))</f>
        <v>1596</v>
      </c>
      <c r="O126" s="14" t="str">
        <f>IF($A126="","",IF(COUNTIF($A$5:$A$299,$A126)&gt;1,"DUPLICATE - two different territories assigned",IF($B126="** NO TERRITORY SET **","No territory on Brand Family Territory (Enc)","")))</f>
        <v/>
      </c>
      <c r="P126" s="18" t="str">
        <f>IF($A126="","",IFERROR(INDEX([1]Products!$H$4:$H$4801,MATCH($A126,[1]Products!$G$4:$G$4801,0)),"(no products)"))</f>
        <v>MolsonCoors Beverage Company</v>
      </c>
      <c r="Q126" s="19">
        <f>IF($A126="","",COUNTIFS([1]Products!$G$4:$G$4801,$A126,[1]Products!$L$4:$L$4801,"Yes"))</f>
        <v>2</v>
      </c>
      <c r="R126" s="19">
        <f>IF($A126="","",COUNTIFS([1]Products!$G$4:$G$4801,$A126,[1]Products!$L$4:$L$4801,"Yes",[1]Products!$K$4:$K$4801,"Draft"))</f>
        <v>0</v>
      </c>
      <c r="S126" s="19">
        <f>IF($A126="","",COUNTIFS([1]Products!$G$4:$G$4801,$A126,[1]Products!$L$4:$L$4801,"Yes",[1]Products!$K$4:$K$4801,"Package"))</f>
        <v>2</v>
      </c>
      <c r="T126" s="20" t="str" cm="1">
        <f t="array" ref="T126">IF($A126="","",_xlfn.IFS($Q126=0,"NO ACTIVE SKUs",AND($R126&gt;0,$S126&gt;0),"Draft &amp; Package",$R126&gt;0,"Draft only",TRUE,"Package only"))</f>
        <v>Package only</v>
      </c>
    </row>
    <row r="127" spans="1:20" x14ac:dyDescent="0.2">
      <c r="A127" s="9" t="str">
        <v>Guaname Rompope</v>
      </c>
      <c r="B127" s="10" t="str">
        <f>IF($A127="","",_xlfn.XLOOKUP($A127,'[1]Brand Family Territory (Enc)'!$A:$A,'[1]Brand Family Territory (Enc)'!$B:$B,"** NO TERRITORY SET **"))</f>
        <v>All Counties</v>
      </c>
      <c r="C127" s="11" t="str">
        <f>IF($A127="","",_xlfn.LET(_xlpm.t,MATCH($B127,'[1]Territory Definitions'!$B$5:$B$14,0),IF(ISNA(_xlpm.t),"NO TERRITORY",IF(INDEX('[1]Territory Definitions'!$D$5:$M$14,_xlpm.t,MATCH(C$4,'[1]Territory Definitions'!$D$4:$M$4,0))&lt;&gt;1,"NOT IN TERRITORY",IF(COUNTIFS('[1]Blackout Brand Fam Areas (Enc)'!$B$6:$B$998,$A127,'[1]Blackout Brand Fam Areas (Enc)'!$C$6:$C$998,C$4,'[1]Blackout Brand Fam Areas (Enc)'!$D$6:$D$998,"Inactive")&gt;0,"BLOCKED","CAN SELL")))))</f>
        <v>CAN SELL</v>
      </c>
      <c r="D127" s="11" t="str">
        <f>IF($A127="","",_xlfn.LET(_xlpm.t,MATCH($B127,'[1]Territory Definitions'!$B$5:$B$14,0),IF(ISNA(_xlpm.t),"NO TERRITORY",IF(INDEX('[1]Territory Definitions'!$D$5:$M$14,_xlpm.t,MATCH(D$4,'[1]Territory Definitions'!$D$4:$M$4,0))&lt;&gt;1,"NOT IN TERRITORY",IF(COUNTIFS('[1]Blackout Brand Fam Areas (Enc)'!$B$6:$B$998,$A127,'[1]Blackout Brand Fam Areas (Enc)'!$C$6:$C$998,D$4,'[1]Blackout Brand Fam Areas (Enc)'!$D$6:$D$998,"Inactive")&gt;0,"BLOCKED","CAN SELL")))))</f>
        <v>CAN SELL</v>
      </c>
      <c r="E127" s="11" t="str">
        <f>IF($A127="","",_xlfn.LET(_xlpm.t,MATCH($B127,'[1]Territory Definitions'!$B$5:$B$14,0),IF(ISNA(_xlpm.t),"NO TERRITORY",IF(INDEX('[1]Territory Definitions'!$D$5:$M$14,_xlpm.t,MATCH(E$4,'[1]Territory Definitions'!$D$4:$M$4,0))&lt;&gt;1,"NOT IN TERRITORY",IF(COUNTIFS('[1]Blackout Brand Fam Areas (Enc)'!$B$6:$B$998,$A127,'[1]Blackout Brand Fam Areas (Enc)'!$C$6:$C$998,E$4,'[1]Blackout Brand Fam Areas (Enc)'!$D$6:$D$998,"Inactive")&gt;0,"BLOCKED","CAN SELL")))))</f>
        <v>CAN SELL</v>
      </c>
      <c r="F127" s="11" t="str">
        <f>IF($A127="","",_xlfn.LET(_xlpm.t,MATCH($B127,'[1]Territory Definitions'!$B$5:$B$14,0),IF(ISNA(_xlpm.t),"NO TERRITORY",IF(INDEX('[1]Territory Definitions'!$D$5:$M$14,_xlpm.t,MATCH(F$4,'[1]Territory Definitions'!$D$4:$M$4,0))&lt;&gt;1,"NOT IN TERRITORY",IF(COUNTIFS('[1]Blackout Brand Fam Areas (Enc)'!$B$6:$B$998,$A127,'[1]Blackout Brand Fam Areas (Enc)'!$C$6:$C$998,F$4,'[1]Blackout Brand Fam Areas (Enc)'!$D$6:$D$998,"Inactive")&gt;0,"BLOCKED","CAN SELL")))))</f>
        <v>CAN SELL</v>
      </c>
      <c r="G127" s="11" t="str">
        <f>IF($A127="","",_xlfn.LET(_xlpm.t,MATCH($B127,'[1]Territory Definitions'!$B$5:$B$14,0),IF(ISNA(_xlpm.t),"NO TERRITORY",IF(INDEX('[1]Territory Definitions'!$D$5:$M$14,_xlpm.t,MATCH(G$4,'[1]Territory Definitions'!$D$4:$M$4,0))&lt;&gt;1,"NOT IN TERRITORY",IF(COUNTIFS('[1]Blackout Brand Fam Areas (Enc)'!$B$6:$B$998,$A127,'[1]Blackout Brand Fam Areas (Enc)'!$C$6:$C$998,G$4,'[1]Blackout Brand Fam Areas (Enc)'!$D$6:$D$998,"Inactive")&gt;0,"BLOCKED","CAN SELL")))))</f>
        <v>CAN SELL</v>
      </c>
      <c r="H127" s="11" t="str">
        <f>IF($A127="","",_xlfn.LET(_xlpm.t,MATCH($B127,'[1]Territory Definitions'!$B$5:$B$14,0),IF(ISNA(_xlpm.t),"NO TERRITORY",IF(INDEX('[1]Territory Definitions'!$D$5:$M$14,_xlpm.t,MATCH(H$4,'[1]Territory Definitions'!$D$4:$M$4,0))&lt;&gt;1,"NOT IN TERRITORY",IF(COUNTIFS('[1]Blackout Brand Fam Areas (Enc)'!$B$6:$B$998,$A127,'[1]Blackout Brand Fam Areas (Enc)'!$C$6:$C$998,H$4,'[1]Blackout Brand Fam Areas (Enc)'!$D$6:$D$998,"Inactive")&gt;0,"BLOCKED","CAN SELL")))))</f>
        <v>CAN SELL</v>
      </c>
      <c r="I127" s="11" t="str">
        <f>IF($A127="","",_xlfn.LET(_xlpm.t,MATCH($B127,'[1]Territory Definitions'!$B$5:$B$14,0),IF(ISNA(_xlpm.t),"NO TERRITORY",IF(INDEX('[1]Territory Definitions'!$D$5:$M$14,_xlpm.t,MATCH(I$4,'[1]Territory Definitions'!$D$4:$M$4,0))&lt;&gt;1,"NOT IN TERRITORY",IF(COUNTIFS('[1]Blackout Brand Fam Areas (Enc)'!$B$6:$B$998,$A127,'[1]Blackout Brand Fam Areas (Enc)'!$C$6:$C$998,I$4,'[1]Blackout Brand Fam Areas (Enc)'!$D$6:$D$998,"Inactive")&gt;0,"BLOCKED","CAN SELL")))))</f>
        <v>CAN SELL</v>
      </c>
      <c r="J127" s="11" t="str">
        <f>IF($A127="","",_xlfn.LET(_xlpm.t,MATCH($B127,'[1]Territory Definitions'!$B$5:$B$14,0),IF(ISNA(_xlpm.t),"NO TERRITORY",IF(INDEX('[1]Territory Definitions'!$D$5:$M$14,_xlpm.t,MATCH(J$4,'[1]Territory Definitions'!$D$4:$M$4,0))&lt;&gt;1,"NOT IN TERRITORY",IF(COUNTIFS('[1]Blackout Brand Fam Areas (Enc)'!$B$6:$B$998,$A127,'[1]Blackout Brand Fam Areas (Enc)'!$C$6:$C$998,J$4,'[1]Blackout Brand Fam Areas (Enc)'!$D$6:$D$998,"Inactive")&gt;0,"BLOCKED","CAN SELL")))))</f>
        <v>CAN SELL</v>
      </c>
      <c r="K127" s="11" t="str">
        <f>IF($A127="","",_xlfn.LET(_xlpm.t,MATCH($B127,'[1]Territory Definitions'!$B$5:$B$14,0),IF(ISNA(_xlpm.t),"NO TERRITORY",IF(INDEX('[1]Territory Definitions'!$D$5:$M$14,_xlpm.t,MATCH(K$4,'[1]Territory Definitions'!$D$4:$M$4,0))&lt;&gt;1,"NOT IN TERRITORY",IF(COUNTIFS('[1]Blackout Brand Fam Areas (Enc)'!$B$6:$B$998,$A127,'[1]Blackout Brand Fam Areas (Enc)'!$C$6:$C$998,K$4,'[1]Blackout Brand Fam Areas (Enc)'!$D$6:$D$998,"Inactive")&gt;0,"BLOCKED","CAN SELL")))))</f>
        <v>CAN SELL</v>
      </c>
      <c r="L127" s="11" t="str">
        <f>IF($A127="","",_xlfn.LET(_xlpm.t,MATCH($B127,'[1]Territory Definitions'!$B$5:$B$14,0),IF(ISNA(_xlpm.t),"NO TERRITORY",IF(INDEX('[1]Territory Definitions'!$D$5:$M$14,_xlpm.t,MATCH(L$4,'[1]Territory Definitions'!$D$4:$M$4,0))&lt;&gt;1,"NOT IN TERRITORY",IF(COUNTIFS('[1]Blackout Brand Fam Areas (Enc)'!$B$6:$B$998,$A127,'[1]Blackout Brand Fam Areas (Enc)'!$C$6:$C$998,L$4,'[1]Blackout Brand Fam Areas (Enc)'!$D$6:$D$998,"Inactive")&gt;0,"BLOCKED","CAN SELL")))))</f>
        <v>CAN SELL</v>
      </c>
      <c r="M127" s="12">
        <f>IF($A127="","",COUNTIF($C127:$L127,"CAN SELL"))</f>
        <v>10</v>
      </c>
      <c r="N127" s="13" cm="1">
        <f t="array" ref="N127">IF($A127="","",SUMPRODUCT(($C127:$L127="CAN SELL")*$C$3:$L$3))</f>
        <v>2306</v>
      </c>
      <c r="O127" s="14" t="str">
        <f>IF($A127="","",IF(COUNTIF($A$5:$A$299,$A127)&gt;1,"DUPLICATE - two different territories assigned",IF($B127="** NO TERRITORY SET **","No territory on Brand Family Territory (Enc)","")))</f>
        <v/>
      </c>
      <c r="P127" s="18" t="str">
        <f>IF($A127="","",IFERROR(INDEX([1]Products!$H$4:$H$4801,MATCH($A127,[1]Products!$G$4:$G$4801,0)),"(no products)"))</f>
        <v>Primos Imports LLC</v>
      </c>
      <c r="Q127" s="19">
        <f>IF($A127="","",COUNTIFS([1]Products!$G$4:$G$4801,$A127,[1]Products!$L$4:$L$4801,"Yes"))</f>
        <v>1</v>
      </c>
      <c r="R127" s="19">
        <f>IF($A127="","",COUNTIFS([1]Products!$G$4:$G$4801,$A127,[1]Products!$L$4:$L$4801,"Yes",[1]Products!$K$4:$K$4801,"Draft"))</f>
        <v>0</v>
      </c>
      <c r="S127" s="19">
        <f>IF($A127="","",COUNTIFS([1]Products!$G$4:$G$4801,$A127,[1]Products!$L$4:$L$4801,"Yes",[1]Products!$K$4:$K$4801,"Package"))</f>
        <v>0</v>
      </c>
      <c r="T127" s="20" t="str" cm="1">
        <f t="array" ref="T127">IF($A127="","",_xlfn.IFS($Q127=0,"NO ACTIVE SKUs",AND($R127&gt;0,$S127&gt;0),"Draft &amp; Package",$R127&gt;0,"Draft only",TRUE,"Package only"))</f>
        <v>Package only</v>
      </c>
    </row>
    <row r="128" spans="1:20" x14ac:dyDescent="0.2">
      <c r="A128" s="9" t="str">
        <v>Gulden Draak</v>
      </c>
      <c r="B128" s="10" t="str">
        <f>IF($A128="","",_xlfn.XLOOKUP($A128,'[1]Brand Family Territory (Enc)'!$A:$A,'[1]Brand Family Territory (Enc)'!$B:$B,"** NO TERRITORY SET **"))</f>
        <v>All Counties</v>
      </c>
      <c r="C128" s="11" t="str">
        <f>IF($A128="","",_xlfn.LET(_xlpm.t,MATCH($B128,'[1]Territory Definitions'!$B$5:$B$14,0),IF(ISNA(_xlpm.t),"NO TERRITORY",IF(INDEX('[1]Territory Definitions'!$D$5:$M$14,_xlpm.t,MATCH(C$4,'[1]Territory Definitions'!$D$4:$M$4,0))&lt;&gt;1,"NOT IN TERRITORY",IF(COUNTIFS('[1]Blackout Brand Fam Areas (Enc)'!$B$6:$B$998,$A128,'[1]Blackout Brand Fam Areas (Enc)'!$C$6:$C$998,C$4,'[1]Blackout Brand Fam Areas (Enc)'!$D$6:$D$998,"Inactive")&gt;0,"BLOCKED","CAN SELL")))))</f>
        <v>CAN SELL</v>
      </c>
      <c r="D128" s="11" t="str">
        <f>IF($A128="","",_xlfn.LET(_xlpm.t,MATCH($B128,'[1]Territory Definitions'!$B$5:$B$14,0),IF(ISNA(_xlpm.t),"NO TERRITORY",IF(INDEX('[1]Territory Definitions'!$D$5:$M$14,_xlpm.t,MATCH(D$4,'[1]Territory Definitions'!$D$4:$M$4,0))&lt;&gt;1,"NOT IN TERRITORY",IF(COUNTIFS('[1]Blackout Brand Fam Areas (Enc)'!$B$6:$B$998,$A128,'[1]Blackout Brand Fam Areas (Enc)'!$C$6:$C$998,D$4,'[1]Blackout Brand Fam Areas (Enc)'!$D$6:$D$998,"Inactive")&gt;0,"BLOCKED","CAN SELL")))))</f>
        <v>CAN SELL</v>
      </c>
      <c r="E128" s="11" t="str">
        <f>IF($A128="","",_xlfn.LET(_xlpm.t,MATCH($B128,'[1]Territory Definitions'!$B$5:$B$14,0),IF(ISNA(_xlpm.t),"NO TERRITORY",IF(INDEX('[1]Territory Definitions'!$D$5:$M$14,_xlpm.t,MATCH(E$4,'[1]Territory Definitions'!$D$4:$M$4,0))&lt;&gt;1,"NOT IN TERRITORY",IF(COUNTIFS('[1]Blackout Brand Fam Areas (Enc)'!$B$6:$B$998,$A128,'[1]Blackout Brand Fam Areas (Enc)'!$C$6:$C$998,E$4,'[1]Blackout Brand Fam Areas (Enc)'!$D$6:$D$998,"Inactive")&gt;0,"BLOCKED","CAN SELL")))))</f>
        <v>CAN SELL</v>
      </c>
      <c r="F128" s="11" t="str">
        <f>IF($A128="","",_xlfn.LET(_xlpm.t,MATCH($B128,'[1]Territory Definitions'!$B$5:$B$14,0),IF(ISNA(_xlpm.t),"NO TERRITORY",IF(INDEX('[1]Territory Definitions'!$D$5:$M$14,_xlpm.t,MATCH(F$4,'[1]Territory Definitions'!$D$4:$M$4,0))&lt;&gt;1,"NOT IN TERRITORY",IF(COUNTIFS('[1]Blackout Brand Fam Areas (Enc)'!$B$6:$B$998,$A128,'[1]Blackout Brand Fam Areas (Enc)'!$C$6:$C$998,F$4,'[1]Blackout Brand Fam Areas (Enc)'!$D$6:$D$998,"Inactive")&gt;0,"BLOCKED","CAN SELL")))))</f>
        <v>CAN SELL</v>
      </c>
      <c r="G128" s="11" t="str">
        <f>IF($A128="","",_xlfn.LET(_xlpm.t,MATCH($B128,'[1]Territory Definitions'!$B$5:$B$14,0),IF(ISNA(_xlpm.t),"NO TERRITORY",IF(INDEX('[1]Territory Definitions'!$D$5:$M$14,_xlpm.t,MATCH(G$4,'[1]Territory Definitions'!$D$4:$M$4,0))&lt;&gt;1,"NOT IN TERRITORY",IF(COUNTIFS('[1]Blackout Brand Fam Areas (Enc)'!$B$6:$B$998,$A128,'[1]Blackout Brand Fam Areas (Enc)'!$C$6:$C$998,G$4,'[1]Blackout Brand Fam Areas (Enc)'!$D$6:$D$998,"Inactive")&gt;0,"BLOCKED","CAN SELL")))))</f>
        <v>CAN SELL</v>
      </c>
      <c r="H128" s="11" t="str">
        <f>IF($A128="","",_xlfn.LET(_xlpm.t,MATCH($B128,'[1]Territory Definitions'!$B$5:$B$14,0),IF(ISNA(_xlpm.t),"NO TERRITORY",IF(INDEX('[1]Territory Definitions'!$D$5:$M$14,_xlpm.t,MATCH(H$4,'[1]Territory Definitions'!$D$4:$M$4,0))&lt;&gt;1,"NOT IN TERRITORY",IF(COUNTIFS('[1]Blackout Brand Fam Areas (Enc)'!$B$6:$B$998,$A128,'[1]Blackout Brand Fam Areas (Enc)'!$C$6:$C$998,H$4,'[1]Blackout Brand Fam Areas (Enc)'!$D$6:$D$998,"Inactive")&gt;0,"BLOCKED","CAN SELL")))))</f>
        <v>CAN SELL</v>
      </c>
      <c r="I128" s="11" t="str">
        <f>IF($A128="","",_xlfn.LET(_xlpm.t,MATCH($B128,'[1]Territory Definitions'!$B$5:$B$14,0),IF(ISNA(_xlpm.t),"NO TERRITORY",IF(INDEX('[1]Territory Definitions'!$D$5:$M$14,_xlpm.t,MATCH(I$4,'[1]Territory Definitions'!$D$4:$M$4,0))&lt;&gt;1,"NOT IN TERRITORY",IF(COUNTIFS('[1]Blackout Brand Fam Areas (Enc)'!$B$6:$B$998,$A128,'[1]Blackout Brand Fam Areas (Enc)'!$C$6:$C$998,I$4,'[1]Blackout Brand Fam Areas (Enc)'!$D$6:$D$998,"Inactive")&gt;0,"BLOCKED","CAN SELL")))))</f>
        <v>CAN SELL</v>
      </c>
      <c r="J128" s="11" t="str">
        <f>IF($A128="","",_xlfn.LET(_xlpm.t,MATCH($B128,'[1]Territory Definitions'!$B$5:$B$14,0),IF(ISNA(_xlpm.t),"NO TERRITORY",IF(INDEX('[1]Territory Definitions'!$D$5:$M$14,_xlpm.t,MATCH(J$4,'[1]Territory Definitions'!$D$4:$M$4,0))&lt;&gt;1,"NOT IN TERRITORY",IF(COUNTIFS('[1]Blackout Brand Fam Areas (Enc)'!$B$6:$B$998,$A128,'[1]Blackout Brand Fam Areas (Enc)'!$C$6:$C$998,J$4,'[1]Blackout Brand Fam Areas (Enc)'!$D$6:$D$998,"Inactive")&gt;0,"BLOCKED","CAN SELL")))))</f>
        <v>CAN SELL</v>
      </c>
      <c r="K128" s="11" t="str">
        <f>IF($A128="","",_xlfn.LET(_xlpm.t,MATCH($B128,'[1]Territory Definitions'!$B$5:$B$14,0),IF(ISNA(_xlpm.t),"NO TERRITORY",IF(INDEX('[1]Territory Definitions'!$D$5:$M$14,_xlpm.t,MATCH(K$4,'[1]Territory Definitions'!$D$4:$M$4,0))&lt;&gt;1,"NOT IN TERRITORY",IF(COUNTIFS('[1]Blackout Brand Fam Areas (Enc)'!$B$6:$B$998,$A128,'[1]Blackout Brand Fam Areas (Enc)'!$C$6:$C$998,K$4,'[1]Blackout Brand Fam Areas (Enc)'!$D$6:$D$998,"Inactive")&gt;0,"BLOCKED","CAN SELL")))))</f>
        <v>CAN SELL</v>
      </c>
      <c r="L128" s="11" t="str">
        <f>IF($A128="","",_xlfn.LET(_xlpm.t,MATCH($B128,'[1]Territory Definitions'!$B$5:$B$14,0),IF(ISNA(_xlpm.t),"NO TERRITORY",IF(INDEX('[1]Territory Definitions'!$D$5:$M$14,_xlpm.t,MATCH(L$4,'[1]Territory Definitions'!$D$4:$M$4,0))&lt;&gt;1,"NOT IN TERRITORY",IF(COUNTIFS('[1]Blackout Brand Fam Areas (Enc)'!$B$6:$B$998,$A128,'[1]Blackout Brand Fam Areas (Enc)'!$C$6:$C$998,L$4,'[1]Blackout Brand Fam Areas (Enc)'!$D$6:$D$998,"Inactive")&gt;0,"BLOCKED","CAN SELL")))))</f>
        <v>CAN SELL</v>
      </c>
      <c r="M128" s="12">
        <f>IF($A128="","",COUNTIF($C128:$L128,"CAN SELL"))</f>
        <v>10</v>
      </c>
      <c r="N128" s="13" cm="1">
        <f t="array" ref="N128">IF($A128="","",SUMPRODUCT(($C128:$L128="CAN SELL")*$C$3:$L$3))</f>
        <v>2306</v>
      </c>
      <c r="O128" s="14" t="str">
        <f>IF($A128="","",IF(COUNTIF($A$5:$A$299,$A128)&gt;1,"DUPLICATE - two different territories assigned",IF($B128="** NO TERRITORY SET **","No territory on Brand Family Territory (Enc)","")))</f>
        <v/>
      </c>
      <c r="P128" s="18" t="str">
        <f>IF($A128="","",IFERROR(INDEX([1]Products!$H$4:$H$4801,MATCH($A128,[1]Products!$G$4:$G$4801,0)),"(no products)"))</f>
        <v>Global Beer</v>
      </c>
      <c r="Q128" s="19">
        <f>IF($A128="","",COUNTIFS([1]Products!$G$4:$G$4801,$A128,[1]Products!$L$4:$L$4801,"Yes"))</f>
        <v>6</v>
      </c>
      <c r="R128" s="19">
        <f>IF($A128="","",COUNTIFS([1]Products!$G$4:$G$4801,$A128,[1]Products!$L$4:$L$4801,"Yes",[1]Products!$K$4:$K$4801,"Draft"))</f>
        <v>1</v>
      </c>
      <c r="S128" s="19">
        <f>IF($A128="","",COUNTIFS([1]Products!$G$4:$G$4801,$A128,[1]Products!$L$4:$L$4801,"Yes",[1]Products!$K$4:$K$4801,"Package"))</f>
        <v>5</v>
      </c>
      <c r="T128" s="20" t="str" cm="1">
        <f t="array" ref="T128">IF($A128="","",_xlfn.IFS($Q128=0,"NO ACTIVE SKUs",AND($R128&gt;0,$S128&gt;0),"Draft &amp; Package",$R128&gt;0,"Draft only",TRUE,"Package only"))</f>
        <v>Draft &amp; Package</v>
      </c>
    </row>
    <row r="129" spans="1:20" x14ac:dyDescent="0.2">
      <c r="A129" s="9" t="str">
        <v>Hacker-Pschorr</v>
      </c>
      <c r="B129" s="10" t="str">
        <f>IF($A129="","",_xlfn.XLOOKUP($A129,'[1]Brand Family Territory (Enc)'!$A:$A,'[1]Brand Family Territory (Enc)'!$B:$B,"** NO TERRITORY SET **"))</f>
        <v>Bergen/Passaic/Hudson/Essex</v>
      </c>
      <c r="C129" s="11" t="str">
        <f>IF($A129="","",_xlfn.LET(_xlpm.t,MATCH($B129,'[1]Territory Definitions'!$B$5:$B$14,0),IF(ISNA(_xlpm.t),"NO TERRITORY",IF(INDEX('[1]Territory Definitions'!$D$5:$M$14,_xlpm.t,MATCH(C$4,'[1]Territory Definitions'!$D$4:$M$4,0))&lt;&gt;1,"NOT IN TERRITORY",IF(COUNTIFS('[1]Blackout Brand Fam Areas (Enc)'!$B$6:$B$998,$A129,'[1]Blackout Brand Fam Areas (Enc)'!$C$6:$C$998,C$4,'[1]Blackout Brand Fam Areas (Enc)'!$D$6:$D$998,"Inactive")&gt;0,"BLOCKED","CAN SELL")))))</f>
        <v>CAN SELL</v>
      </c>
      <c r="D129" s="11" t="str">
        <f>IF($A129="","",_xlfn.LET(_xlpm.t,MATCH($B129,'[1]Territory Definitions'!$B$5:$B$14,0),IF(ISNA(_xlpm.t),"NO TERRITORY",IF(INDEX('[1]Territory Definitions'!$D$5:$M$14,_xlpm.t,MATCH(D$4,'[1]Territory Definitions'!$D$4:$M$4,0))&lt;&gt;1,"NOT IN TERRITORY",IF(COUNTIFS('[1]Blackout Brand Fam Areas (Enc)'!$B$6:$B$998,$A129,'[1]Blackout Brand Fam Areas (Enc)'!$C$6:$C$998,D$4,'[1]Blackout Brand Fam Areas (Enc)'!$D$6:$D$998,"Inactive")&gt;0,"BLOCKED","CAN SELL")))))</f>
        <v>CAN SELL</v>
      </c>
      <c r="E129" s="11" t="str">
        <f>IF($A129="","",_xlfn.LET(_xlpm.t,MATCH($B129,'[1]Territory Definitions'!$B$5:$B$14,0),IF(ISNA(_xlpm.t),"NO TERRITORY",IF(INDEX('[1]Territory Definitions'!$D$5:$M$14,_xlpm.t,MATCH(E$4,'[1]Territory Definitions'!$D$4:$M$4,0))&lt;&gt;1,"NOT IN TERRITORY",IF(COUNTIFS('[1]Blackout Brand Fam Areas (Enc)'!$B$6:$B$998,$A129,'[1]Blackout Brand Fam Areas (Enc)'!$C$6:$C$998,E$4,'[1]Blackout Brand Fam Areas (Enc)'!$D$6:$D$998,"Inactive")&gt;0,"BLOCKED","CAN SELL")))))</f>
        <v>CAN SELL</v>
      </c>
      <c r="F129" s="11" t="str">
        <f>IF($A129="","",_xlfn.LET(_xlpm.t,MATCH($B129,'[1]Territory Definitions'!$B$5:$B$14,0),IF(ISNA(_xlpm.t),"NO TERRITORY",IF(INDEX('[1]Territory Definitions'!$D$5:$M$14,_xlpm.t,MATCH(F$4,'[1]Territory Definitions'!$D$4:$M$4,0))&lt;&gt;1,"NOT IN TERRITORY",IF(COUNTIFS('[1]Blackout Brand Fam Areas (Enc)'!$B$6:$B$998,$A129,'[1]Blackout Brand Fam Areas (Enc)'!$C$6:$C$998,F$4,'[1]Blackout Brand Fam Areas (Enc)'!$D$6:$D$998,"Inactive")&gt;0,"BLOCKED","CAN SELL")))))</f>
        <v>CAN SELL</v>
      </c>
      <c r="G129" s="11" t="str">
        <f>IF($A129="","",_xlfn.LET(_xlpm.t,MATCH($B129,'[1]Territory Definitions'!$B$5:$B$14,0),IF(ISNA(_xlpm.t),"NO TERRITORY",IF(INDEX('[1]Territory Definitions'!$D$5:$M$14,_xlpm.t,MATCH(G$4,'[1]Territory Definitions'!$D$4:$M$4,0))&lt;&gt;1,"NOT IN TERRITORY",IF(COUNTIFS('[1]Blackout Brand Fam Areas (Enc)'!$B$6:$B$998,$A129,'[1]Blackout Brand Fam Areas (Enc)'!$C$6:$C$998,G$4,'[1]Blackout Brand Fam Areas (Enc)'!$D$6:$D$998,"Inactive")&gt;0,"BLOCKED","CAN SELL")))))</f>
        <v>CAN SELL</v>
      </c>
      <c r="H129" s="11" t="str">
        <f>IF($A129="","",_xlfn.LET(_xlpm.t,MATCH($B129,'[1]Territory Definitions'!$B$5:$B$14,0),IF(ISNA(_xlpm.t),"NO TERRITORY",IF(INDEX('[1]Territory Definitions'!$D$5:$M$14,_xlpm.t,MATCH(H$4,'[1]Territory Definitions'!$D$4:$M$4,0))&lt;&gt;1,"NOT IN TERRITORY",IF(COUNTIFS('[1]Blackout Brand Fam Areas (Enc)'!$B$6:$B$998,$A129,'[1]Blackout Brand Fam Areas (Enc)'!$C$6:$C$998,H$4,'[1]Blackout Brand Fam Areas (Enc)'!$D$6:$D$998,"Inactive")&gt;0,"BLOCKED","CAN SELL")))))</f>
        <v>NOT IN TERRITORY</v>
      </c>
      <c r="I129" s="11" t="str">
        <f>IF($A129="","",_xlfn.LET(_xlpm.t,MATCH($B129,'[1]Territory Definitions'!$B$5:$B$14,0),IF(ISNA(_xlpm.t),"NO TERRITORY",IF(INDEX('[1]Territory Definitions'!$D$5:$M$14,_xlpm.t,MATCH(I$4,'[1]Territory Definitions'!$D$4:$M$4,0))&lt;&gt;1,"NOT IN TERRITORY",IF(COUNTIFS('[1]Blackout Brand Fam Areas (Enc)'!$B$6:$B$998,$A129,'[1]Blackout Brand Fam Areas (Enc)'!$C$6:$C$998,I$4,'[1]Blackout Brand Fam Areas (Enc)'!$D$6:$D$998,"Inactive")&gt;0,"BLOCKED","CAN SELL")))))</f>
        <v>NOT IN TERRITORY</v>
      </c>
      <c r="J129" s="11" t="str">
        <f>IF($A129="","",_xlfn.LET(_xlpm.t,MATCH($B129,'[1]Territory Definitions'!$B$5:$B$14,0),IF(ISNA(_xlpm.t),"NO TERRITORY",IF(INDEX('[1]Territory Definitions'!$D$5:$M$14,_xlpm.t,MATCH(J$4,'[1]Territory Definitions'!$D$4:$M$4,0))&lt;&gt;1,"NOT IN TERRITORY",IF(COUNTIFS('[1]Blackout Brand Fam Areas (Enc)'!$B$6:$B$998,$A129,'[1]Blackout Brand Fam Areas (Enc)'!$C$6:$C$998,J$4,'[1]Blackout Brand Fam Areas (Enc)'!$D$6:$D$998,"Inactive")&gt;0,"BLOCKED","CAN SELL")))))</f>
        <v>NOT IN TERRITORY</v>
      </c>
      <c r="K129" s="11" t="str">
        <f>IF($A129="","",_xlfn.LET(_xlpm.t,MATCH($B129,'[1]Territory Definitions'!$B$5:$B$14,0),IF(ISNA(_xlpm.t),"NO TERRITORY",IF(INDEX('[1]Territory Definitions'!$D$5:$M$14,_xlpm.t,MATCH(K$4,'[1]Territory Definitions'!$D$4:$M$4,0))&lt;&gt;1,"NOT IN TERRITORY",IF(COUNTIFS('[1]Blackout Brand Fam Areas (Enc)'!$B$6:$B$998,$A129,'[1]Blackout Brand Fam Areas (Enc)'!$C$6:$C$998,K$4,'[1]Blackout Brand Fam Areas (Enc)'!$D$6:$D$998,"Inactive")&gt;0,"BLOCKED","CAN SELL")))))</f>
        <v>NOT IN TERRITORY</v>
      </c>
      <c r="L129" s="11" t="str">
        <f>IF($A129="","",_xlfn.LET(_xlpm.t,MATCH($B129,'[1]Territory Definitions'!$B$5:$B$14,0),IF(ISNA(_xlpm.t),"NO TERRITORY",IF(INDEX('[1]Territory Definitions'!$D$5:$M$14,_xlpm.t,MATCH(L$4,'[1]Territory Definitions'!$D$4:$M$4,0))&lt;&gt;1,"NOT IN TERRITORY",IF(COUNTIFS('[1]Blackout Brand Fam Areas (Enc)'!$B$6:$B$998,$A129,'[1]Blackout Brand Fam Areas (Enc)'!$C$6:$C$998,L$4,'[1]Blackout Brand Fam Areas (Enc)'!$D$6:$D$998,"Inactive")&gt;0,"BLOCKED","CAN SELL")))))</f>
        <v>NOT IN TERRITORY</v>
      </c>
      <c r="M129" s="12">
        <f>IF($A129="","",COUNTIF($C129:$L129,"CAN SELL"))</f>
        <v>5</v>
      </c>
      <c r="N129" s="13" cm="1">
        <f t="array" ref="N129">IF($A129="","",SUMPRODUCT(($C129:$L129="CAN SELL")*$C$3:$L$3))</f>
        <v>1859</v>
      </c>
      <c r="O129" s="14" t="str">
        <f>IF($A129="","",IF(COUNTIF($A$5:$A$299,$A129)&gt;1,"DUPLICATE - two different territories assigned",IF($B129="** NO TERRITORY SET **","No territory on Brand Family Territory (Enc)","")))</f>
        <v/>
      </c>
      <c r="P129" s="18" t="str">
        <f>IF($A129="","",IFERROR(INDEX([1]Products!$H$4:$H$4801,MATCH($A129,[1]Products!$G$4:$G$4801,0)),"(no products)"))</f>
        <v>Paulaner</v>
      </c>
      <c r="Q129" s="19">
        <f>IF($A129="","",COUNTIFS([1]Products!$G$4:$G$4801,$A129,[1]Products!$L$4:$L$4801,"Yes"))</f>
        <v>8</v>
      </c>
      <c r="R129" s="19">
        <f>IF($A129="","",COUNTIFS([1]Products!$G$4:$G$4801,$A129,[1]Products!$L$4:$L$4801,"Yes",[1]Products!$K$4:$K$4801,"Draft"))</f>
        <v>2</v>
      </c>
      <c r="S129" s="19">
        <f>IF($A129="","",COUNTIFS([1]Products!$G$4:$G$4801,$A129,[1]Products!$L$4:$L$4801,"Yes",[1]Products!$K$4:$K$4801,"Package"))</f>
        <v>6</v>
      </c>
      <c r="T129" s="20" t="str" cm="1">
        <f t="array" ref="T129">IF($A129="","",_xlfn.IFS($Q129=0,"NO ACTIVE SKUs",AND($R129&gt;0,$S129&gt;0),"Draft &amp; Package",$R129&gt;0,"Draft only",TRUE,"Package only"))</f>
        <v>Draft &amp; Package</v>
      </c>
    </row>
    <row r="130" spans="1:20" x14ac:dyDescent="0.2">
      <c r="A130" s="9" t="str">
        <v>Hamm's</v>
      </c>
      <c r="B130" s="10" t="str">
        <f>IF($A130="","",_xlfn.XLOOKUP($A130,'[1]Brand Family Territory (Enc)'!$A:$A,'[1]Brand Family Territory (Enc)'!$B:$B,"** NO TERRITORY SET **"))</f>
        <v>Core Market</v>
      </c>
      <c r="C130" s="11" t="str">
        <f>IF($A130="","",_xlfn.LET(_xlpm.t,MATCH($B130,'[1]Territory Definitions'!$B$5:$B$14,0),IF(ISNA(_xlpm.t),"NO TERRITORY",IF(INDEX('[1]Territory Definitions'!$D$5:$M$14,_xlpm.t,MATCH(C$4,'[1]Territory Definitions'!$D$4:$M$4,0))&lt;&gt;1,"NOT IN TERRITORY",IF(COUNTIFS('[1]Blackout Brand Fam Areas (Enc)'!$B$6:$B$998,$A130,'[1]Blackout Brand Fam Areas (Enc)'!$C$6:$C$998,C$4,'[1]Blackout Brand Fam Areas (Enc)'!$D$6:$D$998,"Inactive")&gt;0,"BLOCKED","CAN SELL")))))</f>
        <v>CAN SELL</v>
      </c>
      <c r="D130" s="11" t="str">
        <f>IF($A130="","",_xlfn.LET(_xlpm.t,MATCH($B130,'[1]Territory Definitions'!$B$5:$B$14,0),IF(ISNA(_xlpm.t),"NO TERRITORY",IF(INDEX('[1]Territory Definitions'!$D$5:$M$14,_xlpm.t,MATCH(D$4,'[1]Territory Definitions'!$D$4:$M$4,0))&lt;&gt;1,"NOT IN TERRITORY",IF(COUNTIFS('[1]Blackout Brand Fam Areas (Enc)'!$B$6:$B$998,$A130,'[1]Blackout Brand Fam Areas (Enc)'!$C$6:$C$998,D$4,'[1]Blackout Brand Fam Areas (Enc)'!$D$6:$D$998,"Inactive")&gt;0,"BLOCKED","CAN SELL")))))</f>
        <v>CAN SELL</v>
      </c>
      <c r="E130" s="11" t="str">
        <f>IF($A130="","",_xlfn.LET(_xlpm.t,MATCH($B130,'[1]Territory Definitions'!$B$5:$B$14,0),IF(ISNA(_xlpm.t),"NO TERRITORY",IF(INDEX('[1]Territory Definitions'!$D$5:$M$14,_xlpm.t,MATCH(E$4,'[1]Territory Definitions'!$D$4:$M$4,0))&lt;&gt;1,"NOT IN TERRITORY",IF(COUNTIFS('[1]Blackout Brand Fam Areas (Enc)'!$B$6:$B$998,$A130,'[1]Blackout Brand Fam Areas (Enc)'!$C$6:$C$998,E$4,'[1]Blackout Brand Fam Areas (Enc)'!$D$6:$D$998,"Inactive")&gt;0,"BLOCKED","CAN SELL")))))</f>
        <v>CAN SELL</v>
      </c>
      <c r="F130" s="11" t="str">
        <f>IF($A130="","",_xlfn.LET(_xlpm.t,MATCH($B130,'[1]Territory Definitions'!$B$5:$B$14,0),IF(ISNA(_xlpm.t),"NO TERRITORY",IF(INDEX('[1]Territory Definitions'!$D$5:$M$14,_xlpm.t,MATCH(F$4,'[1]Territory Definitions'!$D$4:$M$4,0))&lt;&gt;1,"NOT IN TERRITORY",IF(COUNTIFS('[1]Blackout Brand Fam Areas (Enc)'!$B$6:$B$998,$A130,'[1]Blackout Brand Fam Areas (Enc)'!$C$6:$C$998,F$4,'[1]Blackout Brand Fam Areas (Enc)'!$D$6:$D$998,"Inactive")&gt;0,"BLOCKED","CAN SELL")))))</f>
        <v>NOT IN TERRITORY</v>
      </c>
      <c r="G130" s="11" t="str">
        <f>IF($A130="","",_xlfn.LET(_xlpm.t,MATCH($B130,'[1]Territory Definitions'!$B$5:$B$14,0),IF(ISNA(_xlpm.t),"NO TERRITORY",IF(INDEX('[1]Territory Definitions'!$D$5:$M$14,_xlpm.t,MATCH(G$4,'[1]Territory Definitions'!$D$4:$M$4,0))&lt;&gt;1,"NOT IN TERRITORY",IF(COUNTIFS('[1]Blackout Brand Fam Areas (Enc)'!$B$6:$B$998,$A130,'[1]Blackout Brand Fam Areas (Enc)'!$C$6:$C$998,G$4,'[1]Blackout Brand Fam Areas (Enc)'!$D$6:$D$998,"Inactive")&gt;0,"BLOCKED","CAN SELL")))))</f>
        <v>NOT IN TERRITORY</v>
      </c>
      <c r="H130" s="11" t="str">
        <f>IF($A130="","",_xlfn.LET(_xlpm.t,MATCH($B130,'[1]Territory Definitions'!$B$5:$B$14,0),IF(ISNA(_xlpm.t),"NO TERRITORY",IF(INDEX('[1]Territory Definitions'!$D$5:$M$14,_xlpm.t,MATCH(H$4,'[1]Territory Definitions'!$D$4:$M$4,0))&lt;&gt;1,"NOT IN TERRITORY",IF(COUNTIFS('[1]Blackout Brand Fam Areas (Enc)'!$B$6:$B$998,$A130,'[1]Blackout Brand Fam Areas (Enc)'!$C$6:$C$998,H$4,'[1]Blackout Brand Fam Areas (Enc)'!$D$6:$D$998,"Inactive")&gt;0,"BLOCKED","CAN SELL")))))</f>
        <v>NOT IN TERRITORY</v>
      </c>
      <c r="I130" s="11" t="str">
        <f>IF($A130="","",_xlfn.LET(_xlpm.t,MATCH($B130,'[1]Territory Definitions'!$B$5:$B$14,0),IF(ISNA(_xlpm.t),"NO TERRITORY",IF(INDEX('[1]Territory Definitions'!$D$5:$M$14,_xlpm.t,MATCH(I$4,'[1]Territory Definitions'!$D$4:$M$4,0))&lt;&gt;1,"NOT IN TERRITORY",IF(COUNTIFS('[1]Blackout Brand Fam Areas (Enc)'!$B$6:$B$998,$A130,'[1]Blackout Brand Fam Areas (Enc)'!$C$6:$C$998,I$4,'[1]Blackout Brand Fam Areas (Enc)'!$D$6:$D$998,"Inactive")&gt;0,"BLOCKED","CAN SELL")))))</f>
        <v>CAN SELL</v>
      </c>
      <c r="J130" s="11" t="str">
        <f>IF($A130="","",_xlfn.LET(_xlpm.t,MATCH($B130,'[1]Territory Definitions'!$B$5:$B$14,0),IF(ISNA(_xlpm.t),"NO TERRITORY",IF(INDEX('[1]Territory Definitions'!$D$5:$M$14,_xlpm.t,MATCH(J$4,'[1]Territory Definitions'!$D$4:$M$4,0))&lt;&gt;1,"NOT IN TERRITORY",IF(COUNTIFS('[1]Blackout Brand Fam Areas (Enc)'!$B$6:$B$998,$A130,'[1]Blackout Brand Fam Areas (Enc)'!$C$6:$C$998,J$4,'[1]Blackout Brand Fam Areas (Enc)'!$D$6:$D$998,"Inactive")&gt;0,"BLOCKED","CAN SELL")))))</f>
        <v>CAN SELL</v>
      </c>
      <c r="K130" s="11" t="str">
        <f>IF($A130="","",_xlfn.LET(_xlpm.t,MATCH($B130,'[1]Territory Definitions'!$B$5:$B$14,0),IF(ISNA(_xlpm.t),"NO TERRITORY",IF(INDEX('[1]Territory Definitions'!$D$5:$M$14,_xlpm.t,MATCH(K$4,'[1]Territory Definitions'!$D$4:$M$4,0))&lt;&gt;1,"NOT IN TERRITORY",IF(COUNTIFS('[1]Blackout Brand Fam Areas (Enc)'!$B$6:$B$998,$A130,'[1]Blackout Brand Fam Areas (Enc)'!$C$6:$C$998,K$4,'[1]Blackout Brand Fam Areas (Enc)'!$D$6:$D$998,"Inactive")&gt;0,"BLOCKED","CAN SELL")))))</f>
        <v>NOT IN TERRITORY</v>
      </c>
      <c r="L130" s="11" t="str">
        <f>IF($A130="","",_xlfn.LET(_xlpm.t,MATCH($B130,'[1]Territory Definitions'!$B$5:$B$14,0),IF(ISNA(_xlpm.t),"NO TERRITORY",IF(INDEX('[1]Territory Definitions'!$D$5:$M$14,_xlpm.t,MATCH(L$4,'[1]Territory Definitions'!$D$4:$M$4,0))&lt;&gt;1,"NOT IN TERRITORY",IF(COUNTIFS('[1]Blackout Brand Fam Areas (Enc)'!$B$6:$B$998,$A130,'[1]Blackout Brand Fam Areas (Enc)'!$C$6:$C$998,L$4,'[1]Blackout Brand Fam Areas (Enc)'!$D$6:$D$998,"Inactive")&gt;0,"BLOCKED","CAN SELL")))))</f>
        <v>CAN SELL</v>
      </c>
      <c r="M130" s="12">
        <f>IF($A130="","",COUNTIF($C130:$L130,"CAN SELL"))</f>
        <v>6</v>
      </c>
      <c r="N130" s="13" cm="1">
        <f t="array" ref="N130">IF($A130="","",SUMPRODUCT(($C130:$L130="CAN SELL")*$C$3:$L$3))</f>
        <v>1596</v>
      </c>
      <c r="O130" s="14" t="str">
        <f>IF($A130="","",IF(COUNTIF($A$5:$A$299,$A130)&gt;1,"DUPLICATE - two different territories assigned",IF($B130="** NO TERRITORY SET **","No territory on Brand Family Territory (Enc)","")))</f>
        <v/>
      </c>
      <c r="P130" s="18" t="str">
        <f>IF($A130="","",IFERROR(INDEX([1]Products!$H$4:$H$4801,MATCH($A130,[1]Products!$G$4:$G$4801,0)),"(no products)"))</f>
        <v>MolsonCoors Beverage Company</v>
      </c>
      <c r="Q130" s="19">
        <f>IF($A130="","",COUNTIFS([1]Products!$G$4:$G$4801,$A130,[1]Products!$L$4:$L$4801,"Yes"))</f>
        <v>1</v>
      </c>
      <c r="R130" s="19">
        <f>IF($A130="","",COUNTIFS([1]Products!$G$4:$G$4801,$A130,[1]Products!$L$4:$L$4801,"Yes",[1]Products!$K$4:$K$4801,"Draft"))</f>
        <v>0</v>
      </c>
      <c r="S130" s="19">
        <f>IF($A130="","",COUNTIFS([1]Products!$G$4:$G$4801,$A130,[1]Products!$L$4:$L$4801,"Yes",[1]Products!$K$4:$K$4801,"Package"))</f>
        <v>1</v>
      </c>
      <c r="T130" s="20" t="str" cm="1">
        <f t="array" ref="T130">IF($A130="","",_xlfn.IFS($Q130=0,"NO ACTIVE SKUs",AND($R130&gt;0,$S130&gt;0),"Draft &amp; Package",$R130&gt;0,"Draft only",TRUE,"Package only"))</f>
        <v>Package only</v>
      </c>
    </row>
    <row r="131" spans="1:20" x14ac:dyDescent="0.2">
      <c r="A131" s="9" t="str">
        <v>Happy Flower</v>
      </c>
      <c r="B131" s="10" t="str">
        <f>IF($A131="","",_xlfn.XLOOKUP($A131,'[1]Brand Family Territory (Enc)'!$A:$A,'[1]Brand Family Territory (Enc)'!$B:$B,"** NO TERRITORY SET **"))</f>
        <v>All Counties</v>
      </c>
      <c r="C131" s="11" t="str">
        <f>IF($A131="","",_xlfn.LET(_xlpm.t,MATCH($B131,'[1]Territory Definitions'!$B$5:$B$14,0),IF(ISNA(_xlpm.t),"NO TERRITORY",IF(INDEX('[1]Territory Definitions'!$D$5:$M$14,_xlpm.t,MATCH(C$4,'[1]Territory Definitions'!$D$4:$M$4,0))&lt;&gt;1,"NOT IN TERRITORY",IF(COUNTIFS('[1]Blackout Brand Fam Areas (Enc)'!$B$6:$B$998,$A131,'[1]Blackout Brand Fam Areas (Enc)'!$C$6:$C$998,C$4,'[1]Blackout Brand Fam Areas (Enc)'!$D$6:$D$998,"Inactive")&gt;0,"BLOCKED","CAN SELL")))))</f>
        <v>CAN SELL</v>
      </c>
      <c r="D131" s="11" t="str">
        <f>IF($A131="","",_xlfn.LET(_xlpm.t,MATCH($B131,'[1]Territory Definitions'!$B$5:$B$14,0),IF(ISNA(_xlpm.t),"NO TERRITORY",IF(INDEX('[1]Territory Definitions'!$D$5:$M$14,_xlpm.t,MATCH(D$4,'[1]Territory Definitions'!$D$4:$M$4,0))&lt;&gt;1,"NOT IN TERRITORY",IF(COUNTIFS('[1]Blackout Brand Fam Areas (Enc)'!$B$6:$B$998,$A131,'[1]Blackout Brand Fam Areas (Enc)'!$C$6:$C$998,D$4,'[1]Blackout Brand Fam Areas (Enc)'!$D$6:$D$998,"Inactive")&gt;0,"BLOCKED","CAN SELL")))))</f>
        <v>CAN SELL</v>
      </c>
      <c r="E131" s="11" t="str">
        <f>IF($A131="","",_xlfn.LET(_xlpm.t,MATCH($B131,'[1]Territory Definitions'!$B$5:$B$14,0),IF(ISNA(_xlpm.t),"NO TERRITORY",IF(INDEX('[1]Territory Definitions'!$D$5:$M$14,_xlpm.t,MATCH(E$4,'[1]Territory Definitions'!$D$4:$M$4,0))&lt;&gt;1,"NOT IN TERRITORY",IF(COUNTIFS('[1]Blackout Brand Fam Areas (Enc)'!$B$6:$B$998,$A131,'[1]Blackout Brand Fam Areas (Enc)'!$C$6:$C$998,E$4,'[1]Blackout Brand Fam Areas (Enc)'!$D$6:$D$998,"Inactive")&gt;0,"BLOCKED","CAN SELL")))))</f>
        <v>CAN SELL</v>
      </c>
      <c r="F131" s="11" t="str">
        <f>IF($A131="","",_xlfn.LET(_xlpm.t,MATCH($B131,'[1]Territory Definitions'!$B$5:$B$14,0),IF(ISNA(_xlpm.t),"NO TERRITORY",IF(INDEX('[1]Territory Definitions'!$D$5:$M$14,_xlpm.t,MATCH(F$4,'[1]Territory Definitions'!$D$4:$M$4,0))&lt;&gt;1,"NOT IN TERRITORY",IF(COUNTIFS('[1]Blackout Brand Fam Areas (Enc)'!$B$6:$B$998,$A131,'[1]Blackout Brand Fam Areas (Enc)'!$C$6:$C$998,F$4,'[1]Blackout Brand Fam Areas (Enc)'!$D$6:$D$998,"Inactive")&gt;0,"BLOCKED","CAN SELL")))))</f>
        <v>CAN SELL</v>
      </c>
      <c r="G131" s="11" t="str">
        <f>IF($A131="","",_xlfn.LET(_xlpm.t,MATCH($B131,'[1]Territory Definitions'!$B$5:$B$14,0),IF(ISNA(_xlpm.t),"NO TERRITORY",IF(INDEX('[1]Territory Definitions'!$D$5:$M$14,_xlpm.t,MATCH(G$4,'[1]Territory Definitions'!$D$4:$M$4,0))&lt;&gt;1,"NOT IN TERRITORY",IF(COUNTIFS('[1]Blackout Brand Fam Areas (Enc)'!$B$6:$B$998,$A131,'[1]Blackout Brand Fam Areas (Enc)'!$C$6:$C$998,G$4,'[1]Blackout Brand Fam Areas (Enc)'!$D$6:$D$998,"Inactive")&gt;0,"BLOCKED","CAN SELL")))))</f>
        <v>CAN SELL</v>
      </c>
      <c r="H131" s="11" t="str">
        <f>IF($A131="","",_xlfn.LET(_xlpm.t,MATCH($B131,'[1]Territory Definitions'!$B$5:$B$14,0),IF(ISNA(_xlpm.t),"NO TERRITORY",IF(INDEX('[1]Territory Definitions'!$D$5:$M$14,_xlpm.t,MATCH(H$4,'[1]Territory Definitions'!$D$4:$M$4,0))&lt;&gt;1,"NOT IN TERRITORY",IF(COUNTIFS('[1]Blackout Brand Fam Areas (Enc)'!$B$6:$B$998,$A131,'[1]Blackout Brand Fam Areas (Enc)'!$C$6:$C$998,H$4,'[1]Blackout Brand Fam Areas (Enc)'!$D$6:$D$998,"Inactive")&gt;0,"BLOCKED","CAN SELL")))))</f>
        <v>CAN SELL</v>
      </c>
      <c r="I131" s="11" t="str">
        <f>IF($A131="","",_xlfn.LET(_xlpm.t,MATCH($B131,'[1]Territory Definitions'!$B$5:$B$14,0),IF(ISNA(_xlpm.t),"NO TERRITORY",IF(INDEX('[1]Territory Definitions'!$D$5:$M$14,_xlpm.t,MATCH(I$4,'[1]Territory Definitions'!$D$4:$M$4,0))&lt;&gt;1,"NOT IN TERRITORY",IF(COUNTIFS('[1]Blackout Brand Fam Areas (Enc)'!$B$6:$B$998,$A131,'[1]Blackout Brand Fam Areas (Enc)'!$C$6:$C$998,I$4,'[1]Blackout Brand Fam Areas (Enc)'!$D$6:$D$998,"Inactive")&gt;0,"BLOCKED","CAN SELL")))))</f>
        <v>CAN SELL</v>
      </c>
      <c r="J131" s="11" t="str">
        <f>IF($A131="","",_xlfn.LET(_xlpm.t,MATCH($B131,'[1]Territory Definitions'!$B$5:$B$14,0),IF(ISNA(_xlpm.t),"NO TERRITORY",IF(INDEX('[1]Territory Definitions'!$D$5:$M$14,_xlpm.t,MATCH(J$4,'[1]Territory Definitions'!$D$4:$M$4,0))&lt;&gt;1,"NOT IN TERRITORY",IF(COUNTIFS('[1]Blackout Brand Fam Areas (Enc)'!$B$6:$B$998,$A131,'[1]Blackout Brand Fam Areas (Enc)'!$C$6:$C$998,J$4,'[1]Blackout Brand Fam Areas (Enc)'!$D$6:$D$998,"Inactive")&gt;0,"BLOCKED","CAN SELL")))))</f>
        <v>CAN SELL</v>
      </c>
      <c r="K131" s="11" t="str">
        <f>IF($A131="","",_xlfn.LET(_xlpm.t,MATCH($B131,'[1]Territory Definitions'!$B$5:$B$14,0),IF(ISNA(_xlpm.t),"NO TERRITORY",IF(INDEX('[1]Territory Definitions'!$D$5:$M$14,_xlpm.t,MATCH(K$4,'[1]Territory Definitions'!$D$4:$M$4,0))&lt;&gt;1,"NOT IN TERRITORY",IF(COUNTIFS('[1]Blackout Brand Fam Areas (Enc)'!$B$6:$B$998,$A131,'[1]Blackout Brand Fam Areas (Enc)'!$C$6:$C$998,K$4,'[1]Blackout Brand Fam Areas (Enc)'!$D$6:$D$998,"Inactive")&gt;0,"BLOCKED","CAN SELL")))))</f>
        <v>CAN SELL</v>
      </c>
      <c r="L131" s="11" t="str">
        <f>IF($A131="","",_xlfn.LET(_xlpm.t,MATCH($B131,'[1]Territory Definitions'!$B$5:$B$14,0),IF(ISNA(_xlpm.t),"NO TERRITORY",IF(INDEX('[1]Territory Definitions'!$D$5:$M$14,_xlpm.t,MATCH(L$4,'[1]Territory Definitions'!$D$4:$M$4,0))&lt;&gt;1,"NOT IN TERRITORY",IF(COUNTIFS('[1]Blackout Brand Fam Areas (Enc)'!$B$6:$B$998,$A131,'[1]Blackout Brand Fam Areas (Enc)'!$C$6:$C$998,L$4,'[1]Blackout Brand Fam Areas (Enc)'!$D$6:$D$998,"Inactive")&gt;0,"BLOCKED","CAN SELL")))))</f>
        <v>CAN SELL</v>
      </c>
      <c r="M131" s="12">
        <f>IF($A131="","",COUNTIF($C131:$L131,"CAN SELL"))</f>
        <v>10</v>
      </c>
      <c r="N131" s="13" cm="1">
        <f t="array" ref="N131">IF($A131="","",SUMPRODUCT(($C131:$L131="CAN SELL")*$C$3:$L$3))</f>
        <v>2306</v>
      </c>
      <c r="O131" s="14" t="str">
        <f>IF($A131="","",IF(COUNTIF($A$5:$A$299,$A131)&gt;1,"DUPLICATE - two different territories assigned",IF($B131="** NO TERRITORY SET **","No territory on Brand Family Territory (Enc)","")))</f>
        <v/>
      </c>
      <c r="P131" s="18" t="str">
        <f>IF($A131="","",IFERROR(INDEX([1]Products!$H$4:$H$4801,MATCH($A131,[1]Products!$G$4:$G$4801,0)),"(no products)"))</f>
        <v>Tilray Alternative Beverage</v>
      </c>
      <c r="Q131" s="19">
        <f>IF($A131="","",COUNTIFS([1]Products!$G$4:$G$4801,$A131,[1]Products!$L$4:$L$4801,"Yes"))</f>
        <v>4</v>
      </c>
      <c r="R131" s="19">
        <f>IF($A131="","",COUNTIFS([1]Products!$G$4:$G$4801,$A131,[1]Products!$L$4:$L$4801,"Yes",[1]Products!$K$4:$K$4801,"Draft"))</f>
        <v>0</v>
      </c>
      <c r="S131" s="19">
        <f>IF($A131="","",COUNTIFS([1]Products!$G$4:$G$4801,$A131,[1]Products!$L$4:$L$4801,"Yes",[1]Products!$K$4:$K$4801,"Package"))</f>
        <v>4</v>
      </c>
      <c r="T131" s="20" t="str" cm="1">
        <f t="array" ref="T131">IF($A131="","",_xlfn.IFS($Q131=0,"NO ACTIVE SKUs",AND($R131&gt;0,$S131&gt;0),"Draft &amp; Package",$R131&gt;0,"Draft only",TRUE,"Package only"))</f>
        <v>Package only</v>
      </c>
    </row>
    <row r="132" spans="1:20" x14ac:dyDescent="0.2">
      <c r="A132" s="9" t="str">
        <v>Happy Thursday Spiked Refresher</v>
      </c>
      <c r="B132" s="10" t="str">
        <f>IF($A132="","",_xlfn.XLOOKUP($A132,'[1]Brand Family Territory (Enc)'!$A:$A,'[1]Brand Family Territory (Enc)'!$B:$B,"** NO TERRITORY SET **"))</f>
        <v>Core Market</v>
      </c>
      <c r="C132" s="11" t="str">
        <f>IF($A132="","",_xlfn.LET(_xlpm.t,MATCH($B132,'[1]Territory Definitions'!$B$5:$B$14,0),IF(ISNA(_xlpm.t),"NO TERRITORY",IF(INDEX('[1]Territory Definitions'!$D$5:$M$14,_xlpm.t,MATCH(C$4,'[1]Territory Definitions'!$D$4:$M$4,0))&lt;&gt;1,"NOT IN TERRITORY",IF(COUNTIFS('[1]Blackout Brand Fam Areas (Enc)'!$B$6:$B$998,$A132,'[1]Blackout Brand Fam Areas (Enc)'!$C$6:$C$998,C$4,'[1]Blackout Brand Fam Areas (Enc)'!$D$6:$D$998,"Inactive")&gt;0,"BLOCKED","CAN SELL")))))</f>
        <v>CAN SELL</v>
      </c>
      <c r="D132" s="11" t="str">
        <f>IF($A132="","",_xlfn.LET(_xlpm.t,MATCH($B132,'[1]Territory Definitions'!$B$5:$B$14,0),IF(ISNA(_xlpm.t),"NO TERRITORY",IF(INDEX('[1]Territory Definitions'!$D$5:$M$14,_xlpm.t,MATCH(D$4,'[1]Territory Definitions'!$D$4:$M$4,0))&lt;&gt;1,"NOT IN TERRITORY",IF(COUNTIFS('[1]Blackout Brand Fam Areas (Enc)'!$B$6:$B$998,$A132,'[1]Blackout Brand Fam Areas (Enc)'!$C$6:$C$998,D$4,'[1]Blackout Brand Fam Areas (Enc)'!$D$6:$D$998,"Inactive")&gt;0,"BLOCKED","CAN SELL")))))</f>
        <v>CAN SELL</v>
      </c>
      <c r="E132" s="11" t="str">
        <f>IF($A132="","",_xlfn.LET(_xlpm.t,MATCH($B132,'[1]Territory Definitions'!$B$5:$B$14,0),IF(ISNA(_xlpm.t),"NO TERRITORY",IF(INDEX('[1]Territory Definitions'!$D$5:$M$14,_xlpm.t,MATCH(E$4,'[1]Territory Definitions'!$D$4:$M$4,0))&lt;&gt;1,"NOT IN TERRITORY",IF(COUNTIFS('[1]Blackout Brand Fam Areas (Enc)'!$B$6:$B$998,$A132,'[1]Blackout Brand Fam Areas (Enc)'!$C$6:$C$998,E$4,'[1]Blackout Brand Fam Areas (Enc)'!$D$6:$D$998,"Inactive")&gt;0,"BLOCKED","CAN SELL")))))</f>
        <v>CAN SELL</v>
      </c>
      <c r="F132" s="11" t="str">
        <f>IF($A132="","",_xlfn.LET(_xlpm.t,MATCH($B132,'[1]Territory Definitions'!$B$5:$B$14,0),IF(ISNA(_xlpm.t),"NO TERRITORY",IF(INDEX('[1]Territory Definitions'!$D$5:$M$14,_xlpm.t,MATCH(F$4,'[1]Territory Definitions'!$D$4:$M$4,0))&lt;&gt;1,"NOT IN TERRITORY",IF(COUNTIFS('[1]Blackout Brand Fam Areas (Enc)'!$B$6:$B$998,$A132,'[1]Blackout Brand Fam Areas (Enc)'!$C$6:$C$998,F$4,'[1]Blackout Brand Fam Areas (Enc)'!$D$6:$D$998,"Inactive")&gt;0,"BLOCKED","CAN SELL")))))</f>
        <v>NOT IN TERRITORY</v>
      </c>
      <c r="G132" s="11" t="str">
        <f>IF($A132="","",_xlfn.LET(_xlpm.t,MATCH($B132,'[1]Territory Definitions'!$B$5:$B$14,0),IF(ISNA(_xlpm.t),"NO TERRITORY",IF(INDEX('[1]Territory Definitions'!$D$5:$M$14,_xlpm.t,MATCH(G$4,'[1]Territory Definitions'!$D$4:$M$4,0))&lt;&gt;1,"NOT IN TERRITORY",IF(COUNTIFS('[1]Blackout Brand Fam Areas (Enc)'!$B$6:$B$998,$A132,'[1]Blackout Brand Fam Areas (Enc)'!$C$6:$C$998,G$4,'[1]Blackout Brand Fam Areas (Enc)'!$D$6:$D$998,"Inactive")&gt;0,"BLOCKED","CAN SELL")))))</f>
        <v>NOT IN TERRITORY</v>
      </c>
      <c r="H132" s="11" t="str">
        <f>IF($A132="","",_xlfn.LET(_xlpm.t,MATCH($B132,'[1]Territory Definitions'!$B$5:$B$14,0),IF(ISNA(_xlpm.t),"NO TERRITORY",IF(INDEX('[1]Territory Definitions'!$D$5:$M$14,_xlpm.t,MATCH(H$4,'[1]Territory Definitions'!$D$4:$M$4,0))&lt;&gt;1,"NOT IN TERRITORY",IF(COUNTIFS('[1]Blackout Brand Fam Areas (Enc)'!$B$6:$B$998,$A132,'[1]Blackout Brand Fam Areas (Enc)'!$C$6:$C$998,H$4,'[1]Blackout Brand Fam Areas (Enc)'!$D$6:$D$998,"Inactive")&gt;0,"BLOCKED","CAN SELL")))))</f>
        <v>NOT IN TERRITORY</v>
      </c>
      <c r="I132" s="11" t="str">
        <f>IF($A132="","",_xlfn.LET(_xlpm.t,MATCH($B132,'[1]Territory Definitions'!$B$5:$B$14,0),IF(ISNA(_xlpm.t),"NO TERRITORY",IF(INDEX('[1]Territory Definitions'!$D$5:$M$14,_xlpm.t,MATCH(I$4,'[1]Territory Definitions'!$D$4:$M$4,0))&lt;&gt;1,"NOT IN TERRITORY",IF(COUNTIFS('[1]Blackout Brand Fam Areas (Enc)'!$B$6:$B$998,$A132,'[1]Blackout Brand Fam Areas (Enc)'!$C$6:$C$998,I$4,'[1]Blackout Brand Fam Areas (Enc)'!$D$6:$D$998,"Inactive")&gt;0,"BLOCKED","CAN SELL")))))</f>
        <v>CAN SELL</v>
      </c>
      <c r="J132" s="11" t="str">
        <f>IF($A132="","",_xlfn.LET(_xlpm.t,MATCH($B132,'[1]Territory Definitions'!$B$5:$B$14,0),IF(ISNA(_xlpm.t),"NO TERRITORY",IF(INDEX('[1]Territory Definitions'!$D$5:$M$14,_xlpm.t,MATCH(J$4,'[1]Territory Definitions'!$D$4:$M$4,0))&lt;&gt;1,"NOT IN TERRITORY",IF(COUNTIFS('[1]Blackout Brand Fam Areas (Enc)'!$B$6:$B$998,$A132,'[1]Blackout Brand Fam Areas (Enc)'!$C$6:$C$998,J$4,'[1]Blackout Brand Fam Areas (Enc)'!$D$6:$D$998,"Inactive")&gt;0,"BLOCKED","CAN SELL")))))</f>
        <v>CAN SELL</v>
      </c>
      <c r="K132" s="11" t="str">
        <f>IF($A132="","",_xlfn.LET(_xlpm.t,MATCH($B132,'[1]Territory Definitions'!$B$5:$B$14,0),IF(ISNA(_xlpm.t),"NO TERRITORY",IF(INDEX('[1]Territory Definitions'!$D$5:$M$14,_xlpm.t,MATCH(K$4,'[1]Territory Definitions'!$D$4:$M$4,0))&lt;&gt;1,"NOT IN TERRITORY",IF(COUNTIFS('[1]Blackout Brand Fam Areas (Enc)'!$B$6:$B$998,$A132,'[1]Blackout Brand Fam Areas (Enc)'!$C$6:$C$998,K$4,'[1]Blackout Brand Fam Areas (Enc)'!$D$6:$D$998,"Inactive")&gt;0,"BLOCKED","CAN SELL")))))</f>
        <v>NOT IN TERRITORY</v>
      </c>
      <c r="L132" s="11" t="str">
        <f>IF($A132="","",_xlfn.LET(_xlpm.t,MATCH($B132,'[1]Territory Definitions'!$B$5:$B$14,0),IF(ISNA(_xlpm.t),"NO TERRITORY",IF(INDEX('[1]Territory Definitions'!$D$5:$M$14,_xlpm.t,MATCH(L$4,'[1]Territory Definitions'!$D$4:$M$4,0))&lt;&gt;1,"NOT IN TERRITORY",IF(COUNTIFS('[1]Blackout Brand Fam Areas (Enc)'!$B$6:$B$998,$A132,'[1]Blackout Brand Fam Areas (Enc)'!$C$6:$C$998,L$4,'[1]Blackout Brand Fam Areas (Enc)'!$D$6:$D$998,"Inactive")&gt;0,"BLOCKED","CAN SELL")))))</f>
        <v>CAN SELL</v>
      </c>
      <c r="M132" s="12">
        <f>IF($A132="","",COUNTIF($C132:$L132,"CAN SELL"))</f>
        <v>6</v>
      </c>
      <c r="N132" s="13" cm="1">
        <f t="array" ref="N132">IF($A132="","",SUMPRODUCT(($C132:$L132="CAN SELL")*$C$3:$L$3))</f>
        <v>1596</v>
      </c>
      <c r="O132" s="14" t="str">
        <f>IF($A132="","",IF(COUNTIF($A$5:$A$299,$A132)&gt;1,"DUPLICATE - two different territories assigned",IF($B132="** NO TERRITORY SET **","No territory on Brand Family Territory (Enc)","")))</f>
        <v/>
      </c>
      <c r="P132" s="18" t="str">
        <f>IF($A132="","",IFERROR(INDEX([1]Products!$H$4:$H$4801,MATCH($A132,[1]Products!$G$4:$G$4801,0)),"(no products)"))</f>
        <v>MolsonCoors Beverage Company</v>
      </c>
      <c r="Q132" s="19">
        <f>IF($A132="","",COUNTIFS([1]Products!$G$4:$G$4801,$A132,[1]Products!$L$4:$L$4801,"Yes"))</f>
        <v>3</v>
      </c>
      <c r="R132" s="19">
        <f>IF($A132="","",COUNTIFS([1]Products!$G$4:$G$4801,$A132,[1]Products!$L$4:$L$4801,"Yes",[1]Products!$K$4:$K$4801,"Draft"))</f>
        <v>0</v>
      </c>
      <c r="S132" s="19">
        <f>IF($A132="","",COUNTIFS([1]Products!$G$4:$G$4801,$A132,[1]Products!$L$4:$L$4801,"Yes",[1]Products!$K$4:$K$4801,"Package"))</f>
        <v>3</v>
      </c>
      <c r="T132" s="20" t="str" cm="1">
        <f t="array" ref="T132">IF($A132="","",_xlfn.IFS($Q132=0,"NO ACTIVE SKUs",AND($R132&gt;0,$S132&gt;0),"Draft &amp; Package",$R132&gt;0,"Draft only",TRUE,"Package only"))</f>
        <v>Package only</v>
      </c>
    </row>
    <row r="133" spans="1:20" x14ac:dyDescent="0.2">
      <c r="A133" s="9" t="str">
        <v>Hard Mountain Dew</v>
      </c>
      <c r="B133" s="10" t="str">
        <f>IF($A133="","",_xlfn.XLOOKUP($A133,'[1]Brand Family Territory (Enc)'!$A:$A,'[1]Brand Family Territory (Enc)'!$B:$B,"** NO TERRITORY SET **"))</f>
        <v>Core Market</v>
      </c>
      <c r="C133" s="11" t="str">
        <f>IF($A133="","",_xlfn.LET(_xlpm.t,MATCH($B133,'[1]Territory Definitions'!$B$5:$B$14,0),IF(ISNA(_xlpm.t),"NO TERRITORY",IF(INDEX('[1]Territory Definitions'!$D$5:$M$14,_xlpm.t,MATCH(C$4,'[1]Territory Definitions'!$D$4:$M$4,0))&lt;&gt;1,"NOT IN TERRITORY",IF(COUNTIFS('[1]Blackout Brand Fam Areas (Enc)'!$B$6:$B$998,$A133,'[1]Blackout Brand Fam Areas (Enc)'!$C$6:$C$998,C$4,'[1]Blackout Brand Fam Areas (Enc)'!$D$6:$D$998,"Inactive")&gt;0,"BLOCKED","CAN SELL")))))</f>
        <v>CAN SELL</v>
      </c>
      <c r="D133" s="11" t="str">
        <f>IF($A133="","",_xlfn.LET(_xlpm.t,MATCH($B133,'[1]Territory Definitions'!$B$5:$B$14,0),IF(ISNA(_xlpm.t),"NO TERRITORY",IF(INDEX('[1]Territory Definitions'!$D$5:$M$14,_xlpm.t,MATCH(D$4,'[1]Territory Definitions'!$D$4:$M$4,0))&lt;&gt;1,"NOT IN TERRITORY",IF(COUNTIFS('[1]Blackout Brand Fam Areas (Enc)'!$B$6:$B$998,$A133,'[1]Blackout Brand Fam Areas (Enc)'!$C$6:$C$998,D$4,'[1]Blackout Brand Fam Areas (Enc)'!$D$6:$D$998,"Inactive")&gt;0,"BLOCKED","CAN SELL")))))</f>
        <v>CAN SELL</v>
      </c>
      <c r="E133" s="11" t="str">
        <f>IF($A133="","",_xlfn.LET(_xlpm.t,MATCH($B133,'[1]Territory Definitions'!$B$5:$B$14,0),IF(ISNA(_xlpm.t),"NO TERRITORY",IF(INDEX('[1]Territory Definitions'!$D$5:$M$14,_xlpm.t,MATCH(E$4,'[1]Territory Definitions'!$D$4:$M$4,0))&lt;&gt;1,"NOT IN TERRITORY",IF(COUNTIFS('[1]Blackout Brand Fam Areas (Enc)'!$B$6:$B$998,$A133,'[1]Blackout Brand Fam Areas (Enc)'!$C$6:$C$998,E$4,'[1]Blackout Brand Fam Areas (Enc)'!$D$6:$D$998,"Inactive")&gt;0,"BLOCKED","CAN SELL")))))</f>
        <v>CAN SELL</v>
      </c>
      <c r="F133" s="11" t="str">
        <f>IF($A133="","",_xlfn.LET(_xlpm.t,MATCH($B133,'[1]Territory Definitions'!$B$5:$B$14,0),IF(ISNA(_xlpm.t),"NO TERRITORY",IF(INDEX('[1]Territory Definitions'!$D$5:$M$14,_xlpm.t,MATCH(F$4,'[1]Territory Definitions'!$D$4:$M$4,0))&lt;&gt;1,"NOT IN TERRITORY",IF(COUNTIFS('[1]Blackout Brand Fam Areas (Enc)'!$B$6:$B$998,$A133,'[1]Blackout Brand Fam Areas (Enc)'!$C$6:$C$998,F$4,'[1]Blackout Brand Fam Areas (Enc)'!$D$6:$D$998,"Inactive")&gt;0,"BLOCKED","CAN SELL")))))</f>
        <v>NOT IN TERRITORY</v>
      </c>
      <c r="G133" s="11" t="str">
        <f>IF($A133="","",_xlfn.LET(_xlpm.t,MATCH($B133,'[1]Territory Definitions'!$B$5:$B$14,0),IF(ISNA(_xlpm.t),"NO TERRITORY",IF(INDEX('[1]Territory Definitions'!$D$5:$M$14,_xlpm.t,MATCH(G$4,'[1]Territory Definitions'!$D$4:$M$4,0))&lt;&gt;1,"NOT IN TERRITORY",IF(COUNTIFS('[1]Blackout Brand Fam Areas (Enc)'!$B$6:$B$998,$A133,'[1]Blackout Brand Fam Areas (Enc)'!$C$6:$C$998,G$4,'[1]Blackout Brand Fam Areas (Enc)'!$D$6:$D$998,"Inactive")&gt;0,"BLOCKED","CAN SELL")))))</f>
        <v>NOT IN TERRITORY</v>
      </c>
      <c r="H133" s="11" t="str">
        <f>IF($A133="","",_xlfn.LET(_xlpm.t,MATCH($B133,'[1]Territory Definitions'!$B$5:$B$14,0),IF(ISNA(_xlpm.t),"NO TERRITORY",IF(INDEX('[1]Territory Definitions'!$D$5:$M$14,_xlpm.t,MATCH(H$4,'[1]Territory Definitions'!$D$4:$M$4,0))&lt;&gt;1,"NOT IN TERRITORY",IF(COUNTIFS('[1]Blackout Brand Fam Areas (Enc)'!$B$6:$B$998,$A133,'[1]Blackout Brand Fam Areas (Enc)'!$C$6:$C$998,H$4,'[1]Blackout Brand Fam Areas (Enc)'!$D$6:$D$998,"Inactive")&gt;0,"BLOCKED","CAN SELL")))))</f>
        <v>NOT IN TERRITORY</v>
      </c>
      <c r="I133" s="11" t="str">
        <f>IF($A133="","",_xlfn.LET(_xlpm.t,MATCH($B133,'[1]Territory Definitions'!$B$5:$B$14,0),IF(ISNA(_xlpm.t),"NO TERRITORY",IF(INDEX('[1]Territory Definitions'!$D$5:$M$14,_xlpm.t,MATCH(I$4,'[1]Territory Definitions'!$D$4:$M$4,0))&lt;&gt;1,"NOT IN TERRITORY",IF(COUNTIFS('[1]Blackout Brand Fam Areas (Enc)'!$B$6:$B$998,$A133,'[1]Blackout Brand Fam Areas (Enc)'!$C$6:$C$998,I$4,'[1]Blackout Brand Fam Areas (Enc)'!$D$6:$D$998,"Inactive")&gt;0,"BLOCKED","CAN SELL")))))</f>
        <v>CAN SELL</v>
      </c>
      <c r="J133" s="11" t="str">
        <f>IF($A133="","",_xlfn.LET(_xlpm.t,MATCH($B133,'[1]Territory Definitions'!$B$5:$B$14,0),IF(ISNA(_xlpm.t),"NO TERRITORY",IF(INDEX('[1]Territory Definitions'!$D$5:$M$14,_xlpm.t,MATCH(J$4,'[1]Territory Definitions'!$D$4:$M$4,0))&lt;&gt;1,"NOT IN TERRITORY",IF(COUNTIFS('[1]Blackout Brand Fam Areas (Enc)'!$B$6:$B$998,$A133,'[1]Blackout Brand Fam Areas (Enc)'!$C$6:$C$998,J$4,'[1]Blackout Brand Fam Areas (Enc)'!$D$6:$D$998,"Inactive")&gt;0,"BLOCKED","CAN SELL")))))</f>
        <v>CAN SELL</v>
      </c>
      <c r="K133" s="11" t="str">
        <f>IF($A133="","",_xlfn.LET(_xlpm.t,MATCH($B133,'[1]Territory Definitions'!$B$5:$B$14,0),IF(ISNA(_xlpm.t),"NO TERRITORY",IF(INDEX('[1]Territory Definitions'!$D$5:$M$14,_xlpm.t,MATCH(K$4,'[1]Territory Definitions'!$D$4:$M$4,0))&lt;&gt;1,"NOT IN TERRITORY",IF(COUNTIFS('[1]Blackout Brand Fam Areas (Enc)'!$B$6:$B$998,$A133,'[1]Blackout Brand Fam Areas (Enc)'!$C$6:$C$998,K$4,'[1]Blackout Brand Fam Areas (Enc)'!$D$6:$D$998,"Inactive")&gt;0,"BLOCKED","CAN SELL")))))</f>
        <v>NOT IN TERRITORY</v>
      </c>
      <c r="L133" s="11" t="str">
        <f>IF($A133="","",_xlfn.LET(_xlpm.t,MATCH($B133,'[1]Territory Definitions'!$B$5:$B$14,0),IF(ISNA(_xlpm.t),"NO TERRITORY",IF(INDEX('[1]Territory Definitions'!$D$5:$M$14,_xlpm.t,MATCH(L$4,'[1]Territory Definitions'!$D$4:$M$4,0))&lt;&gt;1,"NOT IN TERRITORY",IF(COUNTIFS('[1]Blackout Brand Fam Areas (Enc)'!$B$6:$B$998,$A133,'[1]Blackout Brand Fam Areas (Enc)'!$C$6:$C$998,L$4,'[1]Blackout Brand Fam Areas (Enc)'!$D$6:$D$998,"Inactive")&gt;0,"BLOCKED","CAN SELL")))))</f>
        <v>CAN SELL</v>
      </c>
      <c r="M133" s="12">
        <f>IF($A133="","",COUNTIF($C133:$L133,"CAN SELL"))</f>
        <v>6</v>
      </c>
      <c r="N133" s="13" cm="1">
        <f t="array" ref="N133">IF($A133="","",SUMPRODUCT(($C133:$L133="CAN SELL")*$C$3:$L$3))</f>
        <v>1596</v>
      </c>
      <c r="O133" s="14" t="str">
        <f>IF($A133="","",IF(COUNTIF($A$5:$A$299,$A133)&gt;1,"DUPLICATE - two different territories assigned",IF($B133="** NO TERRITORY SET **","No territory on Brand Family Territory (Enc)","")))</f>
        <v/>
      </c>
      <c r="P133" s="18" t="str">
        <f>IF($A133="","",IFERROR(INDEX([1]Products!$H$4:$H$4801,MATCH($A133,[1]Products!$G$4:$G$4801,0)),"(no products)"))</f>
        <v>Boston Beer Company</v>
      </c>
      <c r="Q133" s="19">
        <f>IF($A133="","",COUNTIFS([1]Products!$G$4:$G$4801,$A133,[1]Products!$L$4:$L$4801,"Yes"))</f>
        <v>4</v>
      </c>
      <c r="R133" s="19">
        <f>IF($A133="","",COUNTIFS([1]Products!$G$4:$G$4801,$A133,[1]Products!$L$4:$L$4801,"Yes",[1]Products!$K$4:$K$4801,"Draft"))</f>
        <v>0</v>
      </c>
      <c r="S133" s="19">
        <f>IF($A133="","",COUNTIFS([1]Products!$G$4:$G$4801,$A133,[1]Products!$L$4:$L$4801,"Yes",[1]Products!$K$4:$K$4801,"Package"))</f>
        <v>4</v>
      </c>
      <c r="T133" s="20" t="str" cm="1">
        <f t="array" ref="T133">IF($A133="","",_xlfn.IFS($Q133=0,"NO ACTIVE SKUs",AND($R133&gt;0,$S133&gt;0),"Draft &amp; Package",$R133&gt;0,"Draft only",TRUE,"Package only"))</f>
        <v>Package only</v>
      </c>
    </row>
    <row r="134" spans="1:20" x14ac:dyDescent="0.2">
      <c r="A134" s="9" t="str">
        <v>Hectare's</v>
      </c>
      <c r="B134" s="10" t="str">
        <f>IF($A134="","",_xlfn.XLOOKUP($A134,'[1]Brand Family Territory (Enc)'!$A:$A,'[1]Brand Family Territory (Enc)'!$B:$B,"** NO TERRITORY SET **"))</f>
        <v>All Counties</v>
      </c>
      <c r="C134" s="11" t="str">
        <f>IF($A134="","",_xlfn.LET(_xlpm.t,MATCH($B134,'[1]Territory Definitions'!$B$5:$B$14,0),IF(ISNA(_xlpm.t),"NO TERRITORY",IF(INDEX('[1]Territory Definitions'!$D$5:$M$14,_xlpm.t,MATCH(C$4,'[1]Territory Definitions'!$D$4:$M$4,0))&lt;&gt;1,"NOT IN TERRITORY",IF(COUNTIFS('[1]Blackout Brand Fam Areas (Enc)'!$B$6:$B$998,$A134,'[1]Blackout Brand Fam Areas (Enc)'!$C$6:$C$998,C$4,'[1]Blackout Brand Fam Areas (Enc)'!$D$6:$D$998,"Inactive")&gt;0,"BLOCKED","CAN SELL")))))</f>
        <v>CAN SELL</v>
      </c>
      <c r="D134" s="11" t="str">
        <f>IF($A134="","",_xlfn.LET(_xlpm.t,MATCH($B134,'[1]Territory Definitions'!$B$5:$B$14,0),IF(ISNA(_xlpm.t),"NO TERRITORY",IF(INDEX('[1]Territory Definitions'!$D$5:$M$14,_xlpm.t,MATCH(D$4,'[1]Territory Definitions'!$D$4:$M$4,0))&lt;&gt;1,"NOT IN TERRITORY",IF(COUNTIFS('[1]Blackout Brand Fam Areas (Enc)'!$B$6:$B$998,$A134,'[1]Blackout Brand Fam Areas (Enc)'!$C$6:$C$998,D$4,'[1]Blackout Brand Fam Areas (Enc)'!$D$6:$D$998,"Inactive")&gt;0,"BLOCKED","CAN SELL")))))</f>
        <v>CAN SELL</v>
      </c>
      <c r="E134" s="11" t="str">
        <f>IF($A134="","",_xlfn.LET(_xlpm.t,MATCH($B134,'[1]Territory Definitions'!$B$5:$B$14,0),IF(ISNA(_xlpm.t),"NO TERRITORY",IF(INDEX('[1]Territory Definitions'!$D$5:$M$14,_xlpm.t,MATCH(E$4,'[1]Territory Definitions'!$D$4:$M$4,0))&lt;&gt;1,"NOT IN TERRITORY",IF(COUNTIFS('[1]Blackout Brand Fam Areas (Enc)'!$B$6:$B$998,$A134,'[1]Blackout Brand Fam Areas (Enc)'!$C$6:$C$998,E$4,'[1]Blackout Brand Fam Areas (Enc)'!$D$6:$D$998,"Inactive")&gt;0,"BLOCKED","CAN SELL")))))</f>
        <v>CAN SELL</v>
      </c>
      <c r="F134" s="11" t="str">
        <f>IF($A134="","",_xlfn.LET(_xlpm.t,MATCH($B134,'[1]Territory Definitions'!$B$5:$B$14,0),IF(ISNA(_xlpm.t),"NO TERRITORY",IF(INDEX('[1]Territory Definitions'!$D$5:$M$14,_xlpm.t,MATCH(F$4,'[1]Territory Definitions'!$D$4:$M$4,0))&lt;&gt;1,"NOT IN TERRITORY",IF(COUNTIFS('[1]Blackout Brand Fam Areas (Enc)'!$B$6:$B$998,$A134,'[1]Blackout Brand Fam Areas (Enc)'!$C$6:$C$998,F$4,'[1]Blackout Brand Fam Areas (Enc)'!$D$6:$D$998,"Inactive")&gt;0,"BLOCKED","CAN SELL")))))</f>
        <v>CAN SELL</v>
      </c>
      <c r="G134" s="11" t="str">
        <f>IF($A134="","",_xlfn.LET(_xlpm.t,MATCH($B134,'[1]Territory Definitions'!$B$5:$B$14,0),IF(ISNA(_xlpm.t),"NO TERRITORY",IF(INDEX('[1]Territory Definitions'!$D$5:$M$14,_xlpm.t,MATCH(G$4,'[1]Territory Definitions'!$D$4:$M$4,0))&lt;&gt;1,"NOT IN TERRITORY",IF(COUNTIFS('[1]Blackout Brand Fam Areas (Enc)'!$B$6:$B$998,$A134,'[1]Blackout Brand Fam Areas (Enc)'!$C$6:$C$998,G$4,'[1]Blackout Brand Fam Areas (Enc)'!$D$6:$D$998,"Inactive")&gt;0,"BLOCKED","CAN SELL")))))</f>
        <v>CAN SELL</v>
      </c>
      <c r="H134" s="11" t="str">
        <f>IF($A134="","",_xlfn.LET(_xlpm.t,MATCH($B134,'[1]Territory Definitions'!$B$5:$B$14,0),IF(ISNA(_xlpm.t),"NO TERRITORY",IF(INDEX('[1]Territory Definitions'!$D$5:$M$14,_xlpm.t,MATCH(H$4,'[1]Territory Definitions'!$D$4:$M$4,0))&lt;&gt;1,"NOT IN TERRITORY",IF(COUNTIFS('[1]Blackout Brand Fam Areas (Enc)'!$B$6:$B$998,$A134,'[1]Blackout Brand Fam Areas (Enc)'!$C$6:$C$998,H$4,'[1]Blackout Brand Fam Areas (Enc)'!$D$6:$D$998,"Inactive")&gt;0,"BLOCKED","CAN SELL")))))</f>
        <v>CAN SELL</v>
      </c>
      <c r="I134" s="11" t="str">
        <f>IF($A134="","",_xlfn.LET(_xlpm.t,MATCH($B134,'[1]Territory Definitions'!$B$5:$B$14,0),IF(ISNA(_xlpm.t),"NO TERRITORY",IF(INDEX('[1]Territory Definitions'!$D$5:$M$14,_xlpm.t,MATCH(I$4,'[1]Territory Definitions'!$D$4:$M$4,0))&lt;&gt;1,"NOT IN TERRITORY",IF(COUNTIFS('[1]Blackout Brand Fam Areas (Enc)'!$B$6:$B$998,$A134,'[1]Blackout Brand Fam Areas (Enc)'!$C$6:$C$998,I$4,'[1]Blackout Brand Fam Areas (Enc)'!$D$6:$D$998,"Inactive")&gt;0,"BLOCKED","CAN SELL")))))</f>
        <v>CAN SELL</v>
      </c>
      <c r="J134" s="11" t="str">
        <f>IF($A134="","",_xlfn.LET(_xlpm.t,MATCH($B134,'[1]Territory Definitions'!$B$5:$B$14,0),IF(ISNA(_xlpm.t),"NO TERRITORY",IF(INDEX('[1]Territory Definitions'!$D$5:$M$14,_xlpm.t,MATCH(J$4,'[1]Territory Definitions'!$D$4:$M$4,0))&lt;&gt;1,"NOT IN TERRITORY",IF(COUNTIFS('[1]Blackout Brand Fam Areas (Enc)'!$B$6:$B$998,$A134,'[1]Blackout Brand Fam Areas (Enc)'!$C$6:$C$998,J$4,'[1]Blackout Brand Fam Areas (Enc)'!$D$6:$D$998,"Inactive")&gt;0,"BLOCKED","CAN SELL")))))</f>
        <v>CAN SELL</v>
      </c>
      <c r="K134" s="11" t="str">
        <f>IF($A134="","",_xlfn.LET(_xlpm.t,MATCH($B134,'[1]Territory Definitions'!$B$5:$B$14,0),IF(ISNA(_xlpm.t),"NO TERRITORY",IF(INDEX('[1]Territory Definitions'!$D$5:$M$14,_xlpm.t,MATCH(K$4,'[1]Territory Definitions'!$D$4:$M$4,0))&lt;&gt;1,"NOT IN TERRITORY",IF(COUNTIFS('[1]Blackout Brand Fam Areas (Enc)'!$B$6:$B$998,$A134,'[1]Blackout Brand Fam Areas (Enc)'!$C$6:$C$998,K$4,'[1]Blackout Brand Fam Areas (Enc)'!$D$6:$D$998,"Inactive")&gt;0,"BLOCKED","CAN SELL")))))</f>
        <v>CAN SELL</v>
      </c>
      <c r="L134" s="11" t="str">
        <f>IF($A134="","",_xlfn.LET(_xlpm.t,MATCH($B134,'[1]Territory Definitions'!$B$5:$B$14,0),IF(ISNA(_xlpm.t),"NO TERRITORY",IF(INDEX('[1]Territory Definitions'!$D$5:$M$14,_xlpm.t,MATCH(L$4,'[1]Territory Definitions'!$D$4:$M$4,0))&lt;&gt;1,"NOT IN TERRITORY",IF(COUNTIFS('[1]Blackout Brand Fam Areas (Enc)'!$B$6:$B$998,$A134,'[1]Blackout Brand Fam Areas (Enc)'!$C$6:$C$998,L$4,'[1]Blackout Brand Fam Areas (Enc)'!$D$6:$D$998,"Inactive")&gt;0,"BLOCKED","CAN SELL")))))</f>
        <v>CAN SELL</v>
      </c>
      <c r="M134" s="12">
        <f>IF($A134="","",COUNTIF($C134:$L134,"CAN SELL"))</f>
        <v>10</v>
      </c>
      <c r="N134" s="13" cm="1">
        <f t="array" ref="N134">IF($A134="","",SUMPRODUCT(($C134:$L134="CAN SELL")*$C$3:$L$3))</f>
        <v>2306</v>
      </c>
      <c r="O134" s="14" t="str">
        <f>IF($A134="","",IF(COUNTIF($A$5:$A$299,$A134)&gt;1,"DUPLICATE - two different territories assigned",IF($B134="** NO TERRITORY SET **","No territory on Brand Family Territory (Enc)","")))</f>
        <v/>
      </c>
      <c r="P134" s="18" t="str">
        <f>IF($A134="","",IFERROR(INDEX([1]Products!$H$4:$H$4801,MATCH($A134,[1]Products!$G$4:$G$4801,0)),"(no products)"))</f>
        <v>Emergent Beverage Partners</v>
      </c>
      <c r="Q134" s="19">
        <f>IF($A134="","",COUNTIFS([1]Products!$G$4:$G$4801,$A134,[1]Products!$L$4:$L$4801,"Yes"))</f>
        <v>4</v>
      </c>
      <c r="R134" s="19">
        <f>IF($A134="","",COUNTIFS([1]Products!$G$4:$G$4801,$A134,[1]Products!$L$4:$L$4801,"Yes",[1]Products!$K$4:$K$4801,"Draft"))</f>
        <v>0</v>
      </c>
      <c r="S134" s="19">
        <f>IF($A134="","",COUNTIFS([1]Products!$G$4:$G$4801,$A134,[1]Products!$L$4:$L$4801,"Yes",[1]Products!$K$4:$K$4801,"Package"))</f>
        <v>4</v>
      </c>
      <c r="T134" s="20" t="str" cm="1">
        <f t="array" ref="T134">IF($A134="","",_xlfn.IFS($Q134=0,"NO ACTIVE SKUs",AND($R134&gt;0,$S134&gt;0),"Draft &amp; Package",$R134&gt;0,"Draft only",TRUE,"Package only"))</f>
        <v>Package only</v>
      </c>
    </row>
    <row r="135" spans="1:20" x14ac:dyDescent="0.2">
      <c r="A135" s="9" t="str">
        <v>Heineken 0.0</v>
      </c>
      <c r="B135" s="10" t="str">
        <f>IF($A135="","",_xlfn.XLOOKUP($A135,'[1]Brand Family Territory (Enc)'!$A:$A,'[1]Brand Family Territory (Enc)'!$B:$B,"** NO TERRITORY SET **"))</f>
        <v>Core + Morris Communities</v>
      </c>
      <c r="C135" s="11" t="str">
        <f>IF($A135="","",_xlfn.LET(_xlpm.t,MATCH($B135,'[1]Territory Definitions'!$B$5:$B$14,0),IF(ISNA(_xlpm.t),"NO TERRITORY",IF(INDEX('[1]Territory Definitions'!$D$5:$M$14,_xlpm.t,MATCH(C$4,'[1]Territory Definitions'!$D$4:$M$4,0))&lt;&gt;1,"NOT IN TERRITORY",IF(COUNTIFS('[1]Blackout Brand Fam Areas (Enc)'!$B$6:$B$998,$A135,'[1]Blackout Brand Fam Areas (Enc)'!$C$6:$C$998,C$4,'[1]Blackout Brand Fam Areas (Enc)'!$D$6:$D$998,"Inactive")&gt;0,"BLOCKED","CAN SELL")))))</f>
        <v>CAN SELL</v>
      </c>
      <c r="D135" s="11" t="str">
        <f>IF($A135="","",_xlfn.LET(_xlpm.t,MATCH($B135,'[1]Territory Definitions'!$B$5:$B$14,0),IF(ISNA(_xlpm.t),"NO TERRITORY",IF(INDEX('[1]Territory Definitions'!$D$5:$M$14,_xlpm.t,MATCH(D$4,'[1]Territory Definitions'!$D$4:$M$4,0))&lt;&gt;1,"NOT IN TERRITORY",IF(COUNTIFS('[1]Blackout Brand Fam Areas (Enc)'!$B$6:$B$998,$A135,'[1]Blackout Brand Fam Areas (Enc)'!$C$6:$C$998,D$4,'[1]Blackout Brand Fam Areas (Enc)'!$D$6:$D$998,"Inactive")&gt;0,"BLOCKED","CAN SELL")))))</f>
        <v>CAN SELL</v>
      </c>
      <c r="E135" s="11" t="str">
        <f>IF($A135="","",_xlfn.LET(_xlpm.t,MATCH($B135,'[1]Territory Definitions'!$B$5:$B$14,0),IF(ISNA(_xlpm.t),"NO TERRITORY",IF(INDEX('[1]Territory Definitions'!$D$5:$M$14,_xlpm.t,MATCH(E$4,'[1]Territory Definitions'!$D$4:$M$4,0))&lt;&gt;1,"NOT IN TERRITORY",IF(COUNTIFS('[1]Blackout Brand Fam Areas (Enc)'!$B$6:$B$998,$A135,'[1]Blackout Brand Fam Areas (Enc)'!$C$6:$C$998,E$4,'[1]Blackout Brand Fam Areas (Enc)'!$D$6:$D$998,"Inactive")&gt;0,"BLOCKED","CAN SELL")))))</f>
        <v>CAN SELL</v>
      </c>
      <c r="F135" s="11" t="str">
        <f>IF($A135="","",_xlfn.LET(_xlpm.t,MATCH($B135,'[1]Territory Definitions'!$B$5:$B$14,0),IF(ISNA(_xlpm.t),"NO TERRITORY",IF(INDEX('[1]Territory Definitions'!$D$5:$M$14,_xlpm.t,MATCH(F$4,'[1]Territory Definitions'!$D$4:$M$4,0))&lt;&gt;1,"NOT IN TERRITORY",IF(COUNTIFS('[1]Blackout Brand Fam Areas (Enc)'!$B$6:$B$998,$A135,'[1]Blackout Brand Fam Areas (Enc)'!$C$6:$C$998,F$4,'[1]Blackout Brand Fam Areas (Enc)'!$D$6:$D$998,"Inactive")&gt;0,"BLOCKED","CAN SELL")))))</f>
        <v>NOT IN TERRITORY</v>
      </c>
      <c r="G135" s="11" t="str">
        <f>IF($A135="","",_xlfn.LET(_xlpm.t,MATCH($B135,'[1]Territory Definitions'!$B$5:$B$14,0),IF(ISNA(_xlpm.t),"NO TERRITORY",IF(INDEX('[1]Territory Definitions'!$D$5:$M$14,_xlpm.t,MATCH(G$4,'[1]Territory Definitions'!$D$4:$M$4,0))&lt;&gt;1,"NOT IN TERRITORY",IF(COUNTIFS('[1]Blackout Brand Fam Areas (Enc)'!$B$6:$B$998,$A135,'[1]Blackout Brand Fam Areas (Enc)'!$C$6:$C$998,G$4,'[1]Blackout Brand Fam Areas (Enc)'!$D$6:$D$998,"Inactive")&gt;0,"BLOCKED","CAN SELL")))))</f>
        <v>NOT IN TERRITORY</v>
      </c>
      <c r="H135" s="11" t="str">
        <f>IF($A135="","",_xlfn.LET(_xlpm.t,MATCH($B135,'[1]Territory Definitions'!$B$5:$B$14,0),IF(ISNA(_xlpm.t),"NO TERRITORY",IF(INDEX('[1]Territory Definitions'!$D$5:$M$14,_xlpm.t,MATCH(H$4,'[1]Territory Definitions'!$D$4:$M$4,0))&lt;&gt;1,"NOT IN TERRITORY",IF(COUNTIFS('[1]Blackout Brand Fam Areas (Enc)'!$B$6:$B$998,$A135,'[1]Blackout Brand Fam Areas (Enc)'!$C$6:$C$998,H$4,'[1]Blackout Brand Fam Areas (Enc)'!$D$6:$D$998,"Inactive")&gt;0,"BLOCKED","CAN SELL")))))</f>
        <v>NOT IN TERRITORY</v>
      </c>
      <c r="I135" s="11" t="str">
        <f>IF($A135="","",_xlfn.LET(_xlpm.t,MATCH($B135,'[1]Territory Definitions'!$B$5:$B$14,0),IF(ISNA(_xlpm.t),"NO TERRITORY",IF(INDEX('[1]Territory Definitions'!$D$5:$M$14,_xlpm.t,MATCH(I$4,'[1]Territory Definitions'!$D$4:$M$4,0))&lt;&gt;1,"NOT IN TERRITORY",IF(COUNTIFS('[1]Blackout Brand Fam Areas (Enc)'!$B$6:$B$998,$A135,'[1]Blackout Brand Fam Areas (Enc)'!$C$6:$C$998,I$4,'[1]Blackout Brand Fam Areas (Enc)'!$D$6:$D$998,"Inactive")&gt;0,"BLOCKED","CAN SELL")))))</f>
        <v>NOT IN TERRITORY</v>
      </c>
      <c r="J135" s="11" t="str">
        <f>IF($A135="","",_xlfn.LET(_xlpm.t,MATCH($B135,'[1]Territory Definitions'!$B$5:$B$14,0),IF(ISNA(_xlpm.t),"NO TERRITORY",IF(INDEX('[1]Territory Definitions'!$D$5:$M$14,_xlpm.t,MATCH(J$4,'[1]Territory Definitions'!$D$4:$M$4,0))&lt;&gt;1,"NOT IN TERRITORY",IF(COUNTIFS('[1]Blackout Brand Fam Areas (Enc)'!$B$6:$B$998,$A135,'[1]Blackout Brand Fam Areas (Enc)'!$C$6:$C$998,J$4,'[1]Blackout Brand Fam Areas (Enc)'!$D$6:$D$998,"Inactive")&gt;0,"BLOCKED","CAN SELL")))))</f>
        <v>BLOCKED</v>
      </c>
      <c r="K135" s="11" t="str">
        <f>IF($A135="","",_xlfn.LET(_xlpm.t,MATCH($B135,'[1]Territory Definitions'!$B$5:$B$14,0),IF(ISNA(_xlpm.t),"NO TERRITORY",IF(INDEX('[1]Territory Definitions'!$D$5:$M$14,_xlpm.t,MATCH(K$4,'[1]Territory Definitions'!$D$4:$M$4,0))&lt;&gt;1,"NOT IN TERRITORY",IF(COUNTIFS('[1]Blackout Brand Fam Areas (Enc)'!$B$6:$B$998,$A135,'[1]Blackout Brand Fam Areas (Enc)'!$C$6:$C$998,K$4,'[1]Blackout Brand Fam Areas (Enc)'!$D$6:$D$998,"Inactive")&gt;0,"BLOCKED","CAN SELL")))))</f>
        <v>NOT IN TERRITORY</v>
      </c>
      <c r="L135" s="11" t="str">
        <f>IF($A135="","",_xlfn.LET(_xlpm.t,MATCH($B135,'[1]Territory Definitions'!$B$5:$B$14,0),IF(ISNA(_xlpm.t),"NO TERRITORY",IF(INDEX('[1]Territory Definitions'!$D$5:$M$14,_xlpm.t,MATCH(L$4,'[1]Territory Definitions'!$D$4:$M$4,0))&lt;&gt;1,"NOT IN TERRITORY",IF(COUNTIFS('[1]Blackout Brand Fam Areas (Enc)'!$B$6:$B$998,$A135,'[1]Blackout Brand Fam Areas (Enc)'!$C$6:$C$998,L$4,'[1]Blackout Brand Fam Areas (Enc)'!$D$6:$D$998,"Inactive")&gt;0,"BLOCKED","CAN SELL")))))</f>
        <v>CAN SELL</v>
      </c>
      <c r="M135" s="12">
        <f>IF($A135="","",COUNTIF($C135:$L135,"CAN SELL"))</f>
        <v>4</v>
      </c>
      <c r="N135" s="13" cm="1">
        <f t="array" ref="N135">IF($A135="","",SUMPRODUCT(($C135:$L135="CAN SELL")*$C$3:$L$3))</f>
        <v>1318</v>
      </c>
      <c r="O135" s="14" t="str">
        <f>IF($A135="","",IF(COUNTIF($A$5:$A$299,$A135)&gt;1,"DUPLICATE - two different territories assigned",IF($B135="** NO TERRITORY SET **","No territory on Brand Family Territory (Enc)","")))</f>
        <v/>
      </c>
      <c r="P135" s="18" t="str">
        <f>IF($A135="","",IFERROR(INDEX([1]Products!$H$4:$H$4801,MATCH($A135,[1]Products!$G$4:$G$4801,0)),"(no products)"))</f>
        <v>Heineken USA</v>
      </c>
      <c r="Q135" s="19">
        <f>IF($A135="","",COUNTIFS([1]Products!$G$4:$G$4801,$A135,[1]Products!$L$4:$L$4801,"Yes"))</f>
        <v>5</v>
      </c>
      <c r="R135" s="19">
        <f>IF($A135="","",COUNTIFS([1]Products!$G$4:$G$4801,$A135,[1]Products!$L$4:$L$4801,"Yes",[1]Products!$K$4:$K$4801,"Draft"))</f>
        <v>0</v>
      </c>
      <c r="S135" s="19">
        <f>IF($A135="","",COUNTIFS([1]Products!$G$4:$G$4801,$A135,[1]Products!$L$4:$L$4801,"Yes",[1]Products!$K$4:$K$4801,"Package"))</f>
        <v>5</v>
      </c>
      <c r="T135" s="20" t="str" cm="1">
        <f t="array" ref="T135">IF($A135="","",_xlfn.IFS($Q135=0,"NO ACTIVE SKUs",AND($R135&gt;0,$S135&gt;0),"Draft &amp; Package",$R135&gt;0,"Draft only",TRUE,"Package only"))</f>
        <v>Package only</v>
      </c>
    </row>
    <row r="136" spans="1:20" x14ac:dyDescent="0.2">
      <c r="A136" s="9" t="str">
        <v>Heineken 0.0 Ultimate</v>
      </c>
      <c r="B136" s="10" t="str">
        <f>IF($A136="","",_xlfn.XLOOKUP($A136,'[1]Brand Family Territory (Enc)'!$A:$A,'[1]Brand Family Territory (Enc)'!$B:$B,"** NO TERRITORY SET **"))</f>
        <v>Core + Morris Communities</v>
      </c>
      <c r="C136" s="11" t="str">
        <f>IF($A136="","",_xlfn.LET(_xlpm.t,MATCH($B136,'[1]Territory Definitions'!$B$5:$B$14,0),IF(ISNA(_xlpm.t),"NO TERRITORY",IF(INDEX('[1]Territory Definitions'!$D$5:$M$14,_xlpm.t,MATCH(C$4,'[1]Territory Definitions'!$D$4:$M$4,0))&lt;&gt;1,"NOT IN TERRITORY",IF(COUNTIFS('[1]Blackout Brand Fam Areas (Enc)'!$B$6:$B$998,$A136,'[1]Blackout Brand Fam Areas (Enc)'!$C$6:$C$998,C$4,'[1]Blackout Brand Fam Areas (Enc)'!$D$6:$D$998,"Inactive")&gt;0,"BLOCKED","CAN SELL")))))</f>
        <v>CAN SELL</v>
      </c>
      <c r="D136" s="11" t="str">
        <f>IF($A136="","",_xlfn.LET(_xlpm.t,MATCH($B136,'[1]Territory Definitions'!$B$5:$B$14,0),IF(ISNA(_xlpm.t),"NO TERRITORY",IF(INDEX('[1]Territory Definitions'!$D$5:$M$14,_xlpm.t,MATCH(D$4,'[1]Territory Definitions'!$D$4:$M$4,0))&lt;&gt;1,"NOT IN TERRITORY",IF(COUNTIFS('[1]Blackout Brand Fam Areas (Enc)'!$B$6:$B$998,$A136,'[1]Blackout Brand Fam Areas (Enc)'!$C$6:$C$998,D$4,'[1]Blackout Brand Fam Areas (Enc)'!$D$6:$D$998,"Inactive")&gt;0,"BLOCKED","CAN SELL")))))</f>
        <v>CAN SELL</v>
      </c>
      <c r="E136" s="11" t="str">
        <f>IF($A136="","",_xlfn.LET(_xlpm.t,MATCH($B136,'[1]Territory Definitions'!$B$5:$B$14,0),IF(ISNA(_xlpm.t),"NO TERRITORY",IF(INDEX('[1]Territory Definitions'!$D$5:$M$14,_xlpm.t,MATCH(E$4,'[1]Territory Definitions'!$D$4:$M$4,0))&lt;&gt;1,"NOT IN TERRITORY",IF(COUNTIFS('[1]Blackout Brand Fam Areas (Enc)'!$B$6:$B$998,$A136,'[1]Blackout Brand Fam Areas (Enc)'!$C$6:$C$998,E$4,'[1]Blackout Brand Fam Areas (Enc)'!$D$6:$D$998,"Inactive")&gt;0,"BLOCKED","CAN SELL")))))</f>
        <v>CAN SELL</v>
      </c>
      <c r="F136" s="11" t="str">
        <f>IF($A136="","",_xlfn.LET(_xlpm.t,MATCH($B136,'[1]Territory Definitions'!$B$5:$B$14,0),IF(ISNA(_xlpm.t),"NO TERRITORY",IF(INDEX('[1]Territory Definitions'!$D$5:$M$14,_xlpm.t,MATCH(F$4,'[1]Territory Definitions'!$D$4:$M$4,0))&lt;&gt;1,"NOT IN TERRITORY",IF(COUNTIFS('[1]Blackout Brand Fam Areas (Enc)'!$B$6:$B$998,$A136,'[1]Blackout Brand Fam Areas (Enc)'!$C$6:$C$998,F$4,'[1]Blackout Brand Fam Areas (Enc)'!$D$6:$D$998,"Inactive")&gt;0,"BLOCKED","CAN SELL")))))</f>
        <v>NOT IN TERRITORY</v>
      </c>
      <c r="G136" s="11" t="str">
        <f>IF($A136="","",_xlfn.LET(_xlpm.t,MATCH($B136,'[1]Territory Definitions'!$B$5:$B$14,0),IF(ISNA(_xlpm.t),"NO TERRITORY",IF(INDEX('[1]Territory Definitions'!$D$5:$M$14,_xlpm.t,MATCH(G$4,'[1]Territory Definitions'!$D$4:$M$4,0))&lt;&gt;1,"NOT IN TERRITORY",IF(COUNTIFS('[1]Blackout Brand Fam Areas (Enc)'!$B$6:$B$998,$A136,'[1]Blackout Brand Fam Areas (Enc)'!$C$6:$C$998,G$4,'[1]Blackout Brand Fam Areas (Enc)'!$D$6:$D$998,"Inactive")&gt;0,"BLOCKED","CAN SELL")))))</f>
        <v>NOT IN TERRITORY</v>
      </c>
      <c r="H136" s="11" t="str">
        <f>IF($A136="","",_xlfn.LET(_xlpm.t,MATCH($B136,'[1]Territory Definitions'!$B$5:$B$14,0),IF(ISNA(_xlpm.t),"NO TERRITORY",IF(INDEX('[1]Territory Definitions'!$D$5:$M$14,_xlpm.t,MATCH(H$4,'[1]Territory Definitions'!$D$4:$M$4,0))&lt;&gt;1,"NOT IN TERRITORY",IF(COUNTIFS('[1]Blackout Brand Fam Areas (Enc)'!$B$6:$B$998,$A136,'[1]Blackout Brand Fam Areas (Enc)'!$C$6:$C$998,H$4,'[1]Blackout Brand Fam Areas (Enc)'!$D$6:$D$998,"Inactive")&gt;0,"BLOCKED","CAN SELL")))))</f>
        <v>NOT IN TERRITORY</v>
      </c>
      <c r="I136" s="11" t="str">
        <f>IF($A136="","",_xlfn.LET(_xlpm.t,MATCH($B136,'[1]Territory Definitions'!$B$5:$B$14,0),IF(ISNA(_xlpm.t),"NO TERRITORY",IF(INDEX('[1]Territory Definitions'!$D$5:$M$14,_xlpm.t,MATCH(I$4,'[1]Territory Definitions'!$D$4:$M$4,0))&lt;&gt;1,"NOT IN TERRITORY",IF(COUNTIFS('[1]Blackout Brand Fam Areas (Enc)'!$B$6:$B$998,$A136,'[1]Blackout Brand Fam Areas (Enc)'!$C$6:$C$998,I$4,'[1]Blackout Brand Fam Areas (Enc)'!$D$6:$D$998,"Inactive")&gt;0,"BLOCKED","CAN SELL")))))</f>
        <v>NOT IN TERRITORY</v>
      </c>
      <c r="J136" s="11" t="str">
        <f>IF($A136="","",_xlfn.LET(_xlpm.t,MATCH($B136,'[1]Territory Definitions'!$B$5:$B$14,0),IF(ISNA(_xlpm.t),"NO TERRITORY",IF(INDEX('[1]Territory Definitions'!$D$5:$M$14,_xlpm.t,MATCH(J$4,'[1]Territory Definitions'!$D$4:$M$4,0))&lt;&gt;1,"NOT IN TERRITORY",IF(COUNTIFS('[1]Blackout Brand Fam Areas (Enc)'!$B$6:$B$998,$A136,'[1]Blackout Brand Fam Areas (Enc)'!$C$6:$C$998,J$4,'[1]Blackout Brand Fam Areas (Enc)'!$D$6:$D$998,"Inactive")&gt;0,"BLOCKED","CAN SELL")))))</f>
        <v>BLOCKED</v>
      </c>
      <c r="K136" s="11" t="str">
        <f>IF($A136="","",_xlfn.LET(_xlpm.t,MATCH($B136,'[1]Territory Definitions'!$B$5:$B$14,0),IF(ISNA(_xlpm.t),"NO TERRITORY",IF(INDEX('[1]Territory Definitions'!$D$5:$M$14,_xlpm.t,MATCH(K$4,'[1]Territory Definitions'!$D$4:$M$4,0))&lt;&gt;1,"NOT IN TERRITORY",IF(COUNTIFS('[1]Blackout Brand Fam Areas (Enc)'!$B$6:$B$998,$A136,'[1]Blackout Brand Fam Areas (Enc)'!$C$6:$C$998,K$4,'[1]Blackout Brand Fam Areas (Enc)'!$D$6:$D$998,"Inactive")&gt;0,"BLOCKED","CAN SELL")))))</f>
        <v>NOT IN TERRITORY</v>
      </c>
      <c r="L136" s="11" t="str">
        <f>IF($A136="","",_xlfn.LET(_xlpm.t,MATCH($B136,'[1]Territory Definitions'!$B$5:$B$14,0),IF(ISNA(_xlpm.t),"NO TERRITORY",IF(INDEX('[1]Territory Definitions'!$D$5:$M$14,_xlpm.t,MATCH(L$4,'[1]Territory Definitions'!$D$4:$M$4,0))&lt;&gt;1,"NOT IN TERRITORY",IF(COUNTIFS('[1]Blackout Brand Fam Areas (Enc)'!$B$6:$B$998,$A136,'[1]Blackout Brand Fam Areas (Enc)'!$C$6:$C$998,L$4,'[1]Blackout Brand Fam Areas (Enc)'!$D$6:$D$998,"Inactive")&gt;0,"BLOCKED","CAN SELL")))))</f>
        <v>CAN SELL</v>
      </c>
      <c r="M136" s="12">
        <f>IF($A136="","",COUNTIF($C136:$L136,"CAN SELL"))</f>
        <v>4</v>
      </c>
      <c r="N136" s="13" cm="1">
        <f t="array" ref="N136">IF($A136="","",SUMPRODUCT(($C136:$L136="CAN SELL")*$C$3:$L$3))</f>
        <v>1318</v>
      </c>
      <c r="O136" s="14" t="str">
        <f>IF($A136="","",IF(COUNTIF($A$5:$A$299,$A136)&gt;1,"DUPLICATE - two different territories assigned",IF($B136="** NO TERRITORY SET **","No territory on Brand Family Territory (Enc)","")))</f>
        <v/>
      </c>
      <c r="P136" s="18" t="str">
        <f>IF($A136="","",IFERROR(INDEX([1]Products!$H$4:$H$4801,MATCH($A136,[1]Products!$G$4:$G$4801,0)),"(no products)"))</f>
        <v>Heineken USA</v>
      </c>
      <c r="Q136" s="19">
        <f>IF($A136="","",COUNTIFS([1]Products!$G$4:$G$4801,$A136,[1]Products!$L$4:$L$4801,"Yes"))</f>
        <v>2</v>
      </c>
      <c r="R136" s="19">
        <f>IF($A136="","",COUNTIFS([1]Products!$G$4:$G$4801,$A136,[1]Products!$L$4:$L$4801,"Yes",[1]Products!$K$4:$K$4801,"Draft"))</f>
        <v>0</v>
      </c>
      <c r="S136" s="19">
        <f>IF($A136="","",COUNTIFS([1]Products!$G$4:$G$4801,$A136,[1]Products!$L$4:$L$4801,"Yes",[1]Products!$K$4:$K$4801,"Package"))</f>
        <v>2</v>
      </c>
      <c r="T136" s="20" t="str" cm="1">
        <f t="array" ref="T136">IF($A136="","",_xlfn.IFS($Q136=0,"NO ACTIVE SKUs",AND($R136&gt;0,$S136&gt;0),"Draft &amp; Package",$R136&gt;0,"Draft only",TRUE,"Package only"))</f>
        <v>Package only</v>
      </c>
    </row>
    <row r="137" spans="1:20" x14ac:dyDescent="0.2">
      <c r="A137" s="9" t="str">
        <v>Heineken Light</v>
      </c>
      <c r="B137" s="10" t="str">
        <f>IF($A137="","",_xlfn.XLOOKUP($A137,'[1]Brand Family Territory (Enc)'!$A:$A,'[1]Brand Family Territory (Enc)'!$B:$B,"** NO TERRITORY SET **"))</f>
        <v>Core + Morris Communities</v>
      </c>
      <c r="C137" s="11" t="str">
        <f>IF($A137="","",_xlfn.LET(_xlpm.t,MATCH($B137,'[1]Territory Definitions'!$B$5:$B$14,0),IF(ISNA(_xlpm.t),"NO TERRITORY",IF(INDEX('[1]Territory Definitions'!$D$5:$M$14,_xlpm.t,MATCH(C$4,'[1]Territory Definitions'!$D$4:$M$4,0))&lt;&gt;1,"NOT IN TERRITORY",IF(COUNTIFS('[1]Blackout Brand Fam Areas (Enc)'!$B$6:$B$998,$A137,'[1]Blackout Brand Fam Areas (Enc)'!$C$6:$C$998,C$4,'[1]Blackout Brand Fam Areas (Enc)'!$D$6:$D$998,"Inactive")&gt;0,"BLOCKED","CAN SELL")))))</f>
        <v>CAN SELL</v>
      </c>
      <c r="D137" s="11" t="str">
        <f>IF($A137="","",_xlfn.LET(_xlpm.t,MATCH($B137,'[1]Territory Definitions'!$B$5:$B$14,0),IF(ISNA(_xlpm.t),"NO TERRITORY",IF(INDEX('[1]Territory Definitions'!$D$5:$M$14,_xlpm.t,MATCH(D$4,'[1]Territory Definitions'!$D$4:$M$4,0))&lt;&gt;1,"NOT IN TERRITORY",IF(COUNTIFS('[1]Blackout Brand Fam Areas (Enc)'!$B$6:$B$998,$A137,'[1]Blackout Brand Fam Areas (Enc)'!$C$6:$C$998,D$4,'[1]Blackout Brand Fam Areas (Enc)'!$D$6:$D$998,"Inactive")&gt;0,"BLOCKED","CAN SELL")))))</f>
        <v>CAN SELL</v>
      </c>
      <c r="E137" s="11" t="str">
        <f>IF($A137="","",_xlfn.LET(_xlpm.t,MATCH($B137,'[1]Territory Definitions'!$B$5:$B$14,0),IF(ISNA(_xlpm.t),"NO TERRITORY",IF(INDEX('[1]Territory Definitions'!$D$5:$M$14,_xlpm.t,MATCH(E$4,'[1]Territory Definitions'!$D$4:$M$4,0))&lt;&gt;1,"NOT IN TERRITORY",IF(COUNTIFS('[1]Blackout Brand Fam Areas (Enc)'!$B$6:$B$998,$A137,'[1]Blackout Brand Fam Areas (Enc)'!$C$6:$C$998,E$4,'[1]Blackout Brand Fam Areas (Enc)'!$D$6:$D$998,"Inactive")&gt;0,"BLOCKED","CAN SELL")))))</f>
        <v>CAN SELL</v>
      </c>
      <c r="F137" s="11" t="str">
        <f>IF($A137="","",_xlfn.LET(_xlpm.t,MATCH($B137,'[1]Territory Definitions'!$B$5:$B$14,0),IF(ISNA(_xlpm.t),"NO TERRITORY",IF(INDEX('[1]Territory Definitions'!$D$5:$M$14,_xlpm.t,MATCH(F$4,'[1]Territory Definitions'!$D$4:$M$4,0))&lt;&gt;1,"NOT IN TERRITORY",IF(COUNTIFS('[1]Blackout Brand Fam Areas (Enc)'!$B$6:$B$998,$A137,'[1]Blackout Brand Fam Areas (Enc)'!$C$6:$C$998,F$4,'[1]Blackout Brand Fam Areas (Enc)'!$D$6:$D$998,"Inactive")&gt;0,"BLOCKED","CAN SELL")))))</f>
        <v>NOT IN TERRITORY</v>
      </c>
      <c r="G137" s="11" t="str">
        <f>IF($A137="","",_xlfn.LET(_xlpm.t,MATCH($B137,'[1]Territory Definitions'!$B$5:$B$14,0),IF(ISNA(_xlpm.t),"NO TERRITORY",IF(INDEX('[1]Territory Definitions'!$D$5:$M$14,_xlpm.t,MATCH(G$4,'[1]Territory Definitions'!$D$4:$M$4,0))&lt;&gt;1,"NOT IN TERRITORY",IF(COUNTIFS('[1]Blackout Brand Fam Areas (Enc)'!$B$6:$B$998,$A137,'[1]Blackout Brand Fam Areas (Enc)'!$C$6:$C$998,G$4,'[1]Blackout Brand Fam Areas (Enc)'!$D$6:$D$998,"Inactive")&gt;0,"BLOCKED","CAN SELL")))))</f>
        <v>NOT IN TERRITORY</v>
      </c>
      <c r="H137" s="11" t="str">
        <f>IF($A137="","",_xlfn.LET(_xlpm.t,MATCH($B137,'[1]Territory Definitions'!$B$5:$B$14,0),IF(ISNA(_xlpm.t),"NO TERRITORY",IF(INDEX('[1]Territory Definitions'!$D$5:$M$14,_xlpm.t,MATCH(H$4,'[1]Territory Definitions'!$D$4:$M$4,0))&lt;&gt;1,"NOT IN TERRITORY",IF(COUNTIFS('[1]Blackout Brand Fam Areas (Enc)'!$B$6:$B$998,$A137,'[1]Blackout Brand Fam Areas (Enc)'!$C$6:$C$998,H$4,'[1]Blackout Brand Fam Areas (Enc)'!$D$6:$D$998,"Inactive")&gt;0,"BLOCKED","CAN SELL")))))</f>
        <v>NOT IN TERRITORY</v>
      </c>
      <c r="I137" s="11" t="str">
        <f>IF($A137="","",_xlfn.LET(_xlpm.t,MATCH($B137,'[1]Territory Definitions'!$B$5:$B$14,0),IF(ISNA(_xlpm.t),"NO TERRITORY",IF(INDEX('[1]Territory Definitions'!$D$5:$M$14,_xlpm.t,MATCH(I$4,'[1]Territory Definitions'!$D$4:$M$4,0))&lt;&gt;1,"NOT IN TERRITORY",IF(COUNTIFS('[1]Blackout Brand Fam Areas (Enc)'!$B$6:$B$998,$A137,'[1]Blackout Brand Fam Areas (Enc)'!$C$6:$C$998,I$4,'[1]Blackout Brand Fam Areas (Enc)'!$D$6:$D$998,"Inactive")&gt;0,"BLOCKED","CAN SELL")))))</f>
        <v>NOT IN TERRITORY</v>
      </c>
      <c r="J137" s="11" t="str">
        <f>IF($A137="","",_xlfn.LET(_xlpm.t,MATCH($B137,'[1]Territory Definitions'!$B$5:$B$14,0),IF(ISNA(_xlpm.t),"NO TERRITORY",IF(INDEX('[1]Territory Definitions'!$D$5:$M$14,_xlpm.t,MATCH(J$4,'[1]Territory Definitions'!$D$4:$M$4,0))&lt;&gt;1,"NOT IN TERRITORY",IF(COUNTIFS('[1]Blackout Brand Fam Areas (Enc)'!$B$6:$B$998,$A137,'[1]Blackout Brand Fam Areas (Enc)'!$C$6:$C$998,J$4,'[1]Blackout Brand Fam Areas (Enc)'!$D$6:$D$998,"Inactive")&gt;0,"BLOCKED","CAN SELL")))))</f>
        <v>BLOCKED</v>
      </c>
      <c r="K137" s="11" t="str">
        <f>IF($A137="","",_xlfn.LET(_xlpm.t,MATCH($B137,'[1]Territory Definitions'!$B$5:$B$14,0),IF(ISNA(_xlpm.t),"NO TERRITORY",IF(INDEX('[1]Territory Definitions'!$D$5:$M$14,_xlpm.t,MATCH(K$4,'[1]Territory Definitions'!$D$4:$M$4,0))&lt;&gt;1,"NOT IN TERRITORY",IF(COUNTIFS('[1]Blackout Brand Fam Areas (Enc)'!$B$6:$B$998,$A137,'[1]Blackout Brand Fam Areas (Enc)'!$C$6:$C$998,K$4,'[1]Blackout Brand Fam Areas (Enc)'!$D$6:$D$998,"Inactive")&gt;0,"BLOCKED","CAN SELL")))))</f>
        <v>NOT IN TERRITORY</v>
      </c>
      <c r="L137" s="11" t="str">
        <f>IF($A137="","",_xlfn.LET(_xlpm.t,MATCH($B137,'[1]Territory Definitions'!$B$5:$B$14,0),IF(ISNA(_xlpm.t),"NO TERRITORY",IF(INDEX('[1]Territory Definitions'!$D$5:$M$14,_xlpm.t,MATCH(L$4,'[1]Territory Definitions'!$D$4:$M$4,0))&lt;&gt;1,"NOT IN TERRITORY",IF(COUNTIFS('[1]Blackout Brand Fam Areas (Enc)'!$B$6:$B$998,$A137,'[1]Blackout Brand Fam Areas (Enc)'!$C$6:$C$998,L$4,'[1]Blackout Brand Fam Areas (Enc)'!$D$6:$D$998,"Inactive")&gt;0,"BLOCKED","CAN SELL")))))</f>
        <v>CAN SELL</v>
      </c>
      <c r="M137" s="12">
        <f>IF($A137="","",COUNTIF($C137:$L137,"CAN SELL"))</f>
        <v>4</v>
      </c>
      <c r="N137" s="13" cm="1">
        <f t="array" ref="N137">IF($A137="","",SUMPRODUCT(($C137:$L137="CAN SELL")*$C$3:$L$3))</f>
        <v>1318</v>
      </c>
      <c r="O137" s="14" t="str">
        <f>IF($A137="","",IF(COUNTIF($A$5:$A$299,$A137)&gt;1,"DUPLICATE - two different territories assigned",IF($B137="** NO TERRITORY SET **","No territory on Brand Family Territory (Enc)","")))</f>
        <v/>
      </c>
      <c r="P137" s="18" t="str">
        <f>IF($A137="","",IFERROR(INDEX([1]Products!$H$4:$H$4801,MATCH($A137,[1]Products!$G$4:$G$4801,0)),"(no products)"))</f>
        <v>Heineken USA</v>
      </c>
      <c r="Q137" s="19">
        <f>IF($A137="","",COUNTIFS([1]Products!$G$4:$G$4801,$A137,[1]Products!$L$4:$L$4801,"Yes"))</f>
        <v>7</v>
      </c>
      <c r="R137" s="19">
        <f>IF($A137="","",COUNTIFS([1]Products!$G$4:$G$4801,$A137,[1]Products!$L$4:$L$4801,"Yes",[1]Products!$K$4:$K$4801,"Draft"))</f>
        <v>0</v>
      </c>
      <c r="S137" s="19">
        <f>IF($A137="","",COUNTIFS([1]Products!$G$4:$G$4801,$A137,[1]Products!$L$4:$L$4801,"Yes",[1]Products!$K$4:$K$4801,"Package"))</f>
        <v>7</v>
      </c>
      <c r="T137" s="20" t="str" cm="1">
        <f t="array" ref="T137">IF($A137="","",_xlfn.IFS($Q137=0,"NO ACTIVE SKUs",AND($R137&gt;0,$S137&gt;0),"Draft &amp; Package",$R137&gt;0,"Draft only",TRUE,"Package only"))</f>
        <v>Package only</v>
      </c>
    </row>
    <row r="138" spans="1:20" x14ac:dyDescent="0.2">
      <c r="A138" s="9" t="str">
        <v>Heineken Silver</v>
      </c>
      <c r="B138" s="10" t="str">
        <f>IF($A138="","",_xlfn.XLOOKUP($A138,'[1]Brand Family Territory (Enc)'!$A:$A,'[1]Brand Family Territory (Enc)'!$B:$B,"** NO TERRITORY SET **"))</f>
        <v>Core + Morris Communities</v>
      </c>
      <c r="C138" s="11" t="str">
        <f>IF($A138="","",_xlfn.LET(_xlpm.t,MATCH($B138,'[1]Territory Definitions'!$B$5:$B$14,0),IF(ISNA(_xlpm.t),"NO TERRITORY",IF(INDEX('[1]Territory Definitions'!$D$5:$M$14,_xlpm.t,MATCH(C$4,'[1]Territory Definitions'!$D$4:$M$4,0))&lt;&gt;1,"NOT IN TERRITORY",IF(COUNTIFS('[1]Blackout Brand Fam Areas (Enc)'!$B$6:$B$998,$A138,'[1]Blackout Brand Fam Areas (Enc)'!$C$6:$C$998,C$4,'[1]Blackout Brand Fam Areas (Enc)'!$D$6:$D$998,"Inactive")&gt;0,"BLOCKED","CAN SELL")))))</f>
        <v>CAN SELL</v>
      </c>
      <c r="D138" s="11" t="str">
        <f>IF($A138="","",_xlfn.LET(_xlpm.t,MATCH($B138,'[1]Territory Definitions'!$B$5:$B$14,0),IF(ISNA(_xlpm.t),"NO TERRITORY",IF(INDEX('[1]Territory Definitions'!$D$5:$M$14,_xlpm.t,MATCH(D$4,'[1]Territory Definitions'!$D$4:$M$4,0))&lt;&gt;1,"NOT IN TERRITORY",IF(COUNTIFS('[1]Blackout Brand Fam Areas (Enc)'!$B$6:$B$998,$A138,'[1]Blackout Brand Fam Areas (Enc)'!$C$6:$C$998,D$4,'[1]Blackout Brand Fam Areas (Enc)'!$D$6:$D$998,"Inactive")&gt;0,"BLOCKED","CAN SELL")))))</f>
        <v>CAN SELL</v>
      </c>
      <c r="E138" s="11" t="str">
        <f>IF($A138="","",_xlfn.LET(_xlpm.t,MATCH($B138,'[1]Territory Definitions'!$B$5:$B$14,0),IF(ISNA(_xlpm.t),"NO TERRITORY",IF(INDEX('[1]Territory Definitions'!$D$5:$M$14,_xlpm.t,MATCH(E$4,'[1]Territory Definitions'!$D$4:$M$4,0))&lt;&gt;1,"NOT IN TERRITORY",IF(COUNTIFS('[1]Blackout Brand Fam Areas (Enc)'!$B$6:$B$998,$A138,'[1]Blackout Brand Fam Areas (Enc)'!$C$6:$C$998,E$4,'[1]Blackout Brand Fam Areas (Enc)'!$D$6:$D$998,"Inactive")&gt;0,"BLOCKED","CAN SELL")))))</f>
        <v>CAN SELL</v>
      </c>
      <c r="F138" s="11" t="str">
        <f>IF($A138="","",_xlfn.LET(_xlpm.t,MATCH($B138,'[1]Territory Definitions'!$B$5:$B$14,0),IF(ISNA(_xlpm.t),"NO TERRITORY",IF(INDEX('[1]Territory Definitions'!$D$5:$M$14,_xlpm.t,MATCH(F$4,'[1]Territory Definitions'!$D$4:$M$4,0))&lt;&gt;1,"NOT IN TERRITORY",IF(COUNTIFS('[1]Blackout Brand Fam Areas (Enc)'!$B$6:$B$998,$A138,'[1]Blackout Brand Fam Areas (Enc)'!$C$6:$C$998,F$4,'[1]Blackout Brand Fam Areas (Enc)'!$D$6:$D$998,"Inactive")&gt;0,"BLOCKED","CAN SELL")))))</f>
        <v>NOT IN TERRITORY</v>
      </c>
      <c r="G138" s="11" t="str">
        <f>IF($A138="","",_xlfn.LET(_xlpm.t,MATCH($B138,'[1]Territory Definitions'!$B$5:$B$14,0),IF(ISNA(_xlpm.t),"NO TERRITORY",IF(INDEX('[1]Territory Definitions'!$D$5:$M$14,_xlpm.t,MATCH(G$4,'[1]Territory Definitions'!$D$4:$M$4,0))&lt;&gt;1,"NOT IN TERRITORY",IF(COUNTIFS('[1]Blackout Brand Fam Areas (Enc)'!$B$6:$B$998,$A138,'[1]Blackout Brand Fam Areas (Enc)'!$C$6:$C$998,G$4,'[1]Blackout Brand Fam Areas (Enc)'!$D$6:$D$998,"Inactive")&gt;0,"BLOCKED","CAN SELL")))))</f>
        <v>NOT IN TERRITORY</v>
      </c>
      <c r="H138" s="11" t="str">
        <f>IF($A138="","",_xlfn.LET(_xlpm.t,MATCH($B138,'[1]Territory Definitions'!$B$5:$B$14,0),IF(ISNA(_xlpm.t),"NO TERRITORY",IF(INDEX('[1]Territory Definitions'!$D$5:$M$14,_xlpm.t,MATCH(H$4,'[1]Territory Definitions'!$D$4:$M$4,0))&lt;&gt;1,"NOT IN TERRITORY",IF(COUNTIFS('[1]Blackout Brand Fam Areas (Enc)'!$B$6:$B$998,$A138,'[1]Blackout Brand Fam Areas (Enc)'!$C$6:$C$998,H$4,'[1]Blackout Brand Fam Areas (Enc)'!$D$6:$D$998,"Inactive")&gt;0,"BLOCKED","CAN SELL")))))</f>
        <v>NOT IN TERRITORY</v>
      </c>
      <c r="I138" s="11" t="str">
        <f>IF($A138="","",_xlfn.LET(_xlpm.t,MATCH($B138,'[1]Territory Definitions'!$B$5:$B$14,0),IF(ISNA(_xlpm.t),"NO TERRITORY",IF(INDEX('[1]Territory Definitions'!$D$5:$M$14,_xlpm.t,MATCH(I$4,'[1]Territory Definitions'!$D$4:$M$4,0))&lt;&gt;1,"NOT IN TERRITORY",IF(COUNTIFS('[1]Blackout Brand Fam Areas (Enc)'!$B$6:$B$998,$A138,'[1]Blackout Brand Fam Areas (Enc)'!$C$6:$C$998,I$4,'[1]Blackout Brand Fam Areas (Enc)'!$D$6:$D$998,"Inactive")&gt;0,"BLOCKED","CAN SELL")))))</f>
        <v>NOT IN TERRITORY</v>
      </c>
      <c r="J138" s="11" t="str">
        <f>IF($A138="","",_xlfn.LET(_xlpm.t,MATCH($B138,'[1]Territory Definitions'!$B$5:$B$14,0),IF(ISNA(_xlpm.t),"NO TERRITORY",IF(INDEX('[1]Territory Definitions'!$D$5:$M$14,_xlpm.t,MATCH(J$4,'[1]Territory Definitions'!$D$4:$M$4,0))&lt;&gt;1,"NOT IN TERRITORY",IF(COUNTIFS('[1]Blackout Brand Fam Areas (Enc)'!$B$6:$B$998,$A138,'[1]Blackout Brand Fam Areas (Enc)'!$C$6:$C$998,J$4,'[1]Blackout Brand Fam Areas (Enc)'!$D$6:$D$998,"Inactive")&gt;0,"BLOCKED","CAN SELL")))))</f>
        <v>BLOCKED</v>
      </c>
      <c r="K138" s="11" t="str">
        <f>IF($A138="","",_xlfn.LET(_xlpm.t,MATCH($B138,'[1]Territory Definitions'!$B$5:$B$14,0),IF(ISNA(_xlpm.t),"NO TERRITORY",IF(INDEX('[1]Territory Definitions'!$D$5:$M$14,_xlpm.t,MATCH(K$4,'[1]Territory Definitions'!$D$4:$M$4,0))&lt;&gt;1,"NOT IN TERRITORY",IF(COUNTIFS('[1]Blackout Brand Fam Areas (Enc)'!$B$6:$B$998,$A138,'[1]Blackout Brand Fam Areas (Enc)'!$C$6:$C$998,K$4,'[1]Blackout Brand Fam Areas (Enc)'!$D$6:$D$998,"Inactive")&gt;0,"BLOCKED","CAN SELL")))))</f>
        <v>NOT IN TERRITORY</v>
      </c>
      <c r="L138" s="11" t="str">
        <f>IF($A138="","",_xlfn.LET(_xlpm.t,MATCH($B138,'[1]Territory Definitions'!$B$5:$B$14,0),IF(ISNA(_xlpm.t),"NO TERRITORY",IF(INDEX('[1]Territory Definitions'!$D$5:$M$14,_xlpm.t,MATCH(L$4,'[1]Territory Definitions'!$D$4:$M$4,0))&lt;&gt;1,"NOT IN TERRITORY",IF(COUNTIFS('[1]Blackout Brand Fam Areas (Enc)'!$B$6:$B$998,$A138,'[1]Blackout Brand Fam Areas (Enc)'!$C$6:$C$998,L$4,'[1]Blackout Brand Fam Areas (Enc)'!$D$6:$D$998,"Inactive")&gt;0,"BLOCKED","CAN SELL")))))</f>
        <v>CAN SELL</v>
      </c>
      <c r="M138" s="12">
        <f>IF($A138="","",COUNTIF($C138:$L138,"CAN SELL"))</f>
        <v>4</v>
      </c>
      <c r="N138" s="13" cm="1">
        <f t="array" ref="N138">IF($A138="","",SUMPRODUCT(($C138:$L138="CAN SELL")*$C$3:$L$3))</f>
        <v>1318</v>
      </c>
      <c r="O138" s="14" t="str">
        <f>IF($A138="","",IF(COUNTIF($A$5:$A$299,$A138)&gt;1,"DUPLICATE - two different territories assigned",IF($B138="** NO TERRITORY SET **","No territory on Brand Family Territory (Enc)","")))</f>
        <v/>
      </c>
      <c r="P138" s="18" t="str">
        <f>IF($A138="","",IFERROR(INDEX([1]Products!$H$4:$H$4801,MATCH($A138,[1]Products!$G$4:$G$4801,0)),"(no products)"))</f>
        <v>Heineken USA</v>
      </c>
      <c r="Q138" s="19">
        <f>IF($A138="","",COUNTIFS([1]Products!$G$4:$G$4801,$A138,[1]Products!$L$4:$L$4801,"Yes"))</f>
        <v>5</v>
      </c>
      <c r="R138" s="19">
        <f>IF($A138="","",COUNTIFS([1]Products!$G$4:$G$4801,$A138,[1]Products!$L$4:$L$4801,"Yes",[1]Products!$K$4:$K$4801,"Draft"))</f>
        <v>0</v>
      </c>
      <c r="S138" s="19">
        <f>IF($A138="","",COUNTIFS([1]Products!$G$4:$G$4801,$A138,[1]Products!$L$4:$L$4801,"Yes",[1]Products!$K$4:$K$4801,"Package"))</f>
        <v>5</v>
      </c>
      <c r="T138" s="20" t="str" cm="1">
        <f t="array" ref="T138">IF($A138="","",_xlfn.IFS($Q138=0,"NO ACTIVE SKUs",AND($R138&gt;0,$S138&gt;0),"Draft &amp; Package",$R138&gt;0,"Draft only",TRUE,"Package only"))</f>
        <v>Package only</v>
      </c>
    </row>
    <row r="139" spans="1:20" x14ac:dyDescent="0.2">
      <c r="A139" s="9" t="str">
        <v>Heineken USA</v>
      </c>
      <c r="B139" s="10" t="str">
        <f>IF($A139="","",_xlfn.XLOOKUP($A139,'[1]Brand Family Territory (Enc)'!$A:$A,'[1]Brand Family Territory (Enc)'!$B:$B,"** NO TERRITORY SET **"))</f>
        <v>Core + Morris Communities</v>
      </c>
      <c r="C139" s="11" t="str">
        <f>IF($A139="","",_xlfn.LET(_xlpm.t,MATCH($B139,'[1]Territory Definitions'!$B$5:$B$14,0),IF(ISNA(_xlpm.t),"NO TERRITORY",IF(INDEX('[1]Territory Definitions'!$D$5:$M$14,_xlpm.t,MATCH(C$4,'[1]Territory Definitions'!$D$4:$M$4,0))&lt;&gt;1,"NOT IN TERRITORY",IF(COUNTIFS('[1]Blackout Brand Fam Areas (Enc)'!$B$6:$B$998,$A139,'[1]Blackout Brand Fam Areas (Enc)'!$C$6:$C$998,C$4,'[1]Blackout Brand Fam Areas (Enc)'!$D$6:$D$998,"Inactive")&gt;0,"BLOCKED","CAN SELL")))))</f>
        <v>CAN SELL</v>
      </c>
      <c r="D139" s="11" t="str">
        <f>IF($A139="","",_xlfn.LET(_xlpm.t,MATCH($B139,'[1]Territory Definitions'!$B$5:$B$14,0),IF(ISNA(_xlpm.t),"NO TERRITORY",IF(INDEX('[1]Territory Definitions'!$D$5:$M$14,_xlpm.t,MATCH(D$4,'[1]Territory Definitions'!$D$4:$M$4,0))&lt;&gt;1,"NOT IN TERRITORY",IF(COUNTIFS('[1]Blackout Brand Fam Areas (Enc)'!$B$6:$B$998,$A139,'[1]Blackout Brand Fam Areas (Enc)'!$C$6:$C$998,D$4,'[1]Blackout Brand Fam Areas (Enc)'!$D$6:$D$998,"Inactive")&gt;0,"BLOCKED","CAN SELL")))))</f>
        <v>CAN SELL</v>
      </c>
      <c r="E139" s="11" t="str">
        <f>IF($A139="","",_xlfn.LET(_xlpm.t,MATCH($B139,'[1]Territory Definitions'!$B$5:$B$14,0),IF(ISNA(_xlpm.t),"NO TERRITORY",IF(INDEX('[1]Territory Definitions'!$D$5:$M$14,_xlpm.t,MATCH(E$4,'[1]Territory Definitions'!$D$4:$M$4,0))&lt;&gt;1,"NOT IN TERRITORY",IF(COUNTIFS('[1]Blackout Brand Fam Areas (Enc)'!$B$6:$B$998,$A139,'[1]Blackout Brand Fam Areas (Enc)'!$C$6:$C$998,E$4,'[1]Blackout Brand Fam Areas (Enc)'!$D$6:$D$998,"Inactive")&gt;0,"BLOCKED","CAN SELL")))))</f>
        <v>CAN SELL</v>
      </c>
      <c r="F139" s="11" t="str">
        <f>IF($A139="","",_xlfn.LET(_xlpm.t,MATCH($B139,'[1]Territory Definitions'!$B$5:$B$14,0),IF(ISNA(_xlpm.t),"NO TERRITORY",IF(INDEX('[1]Territory Definitions'!$D$5:$M$14,_xlpm.t,MATCH(F$4,'[1]Territory Definitions'!$D$4:$M$4,0))&lt;&gt;1,"NOT IN TERRITORY",IF(COUNTIFS('[1]Blackout Brand Fam Areas (Enc)'!$B$6:$B$998,$A139,'[1]Blackout Brand Fam Areas (Enc)'!$C$6:$C$998,F$4,'[1]Blackout Brand Fam Areas (Enc)'!$D$6:$D$998,"Inactive")&gt;0,"BLOCKED","CAN SELL")))))</f>
        <v>NOT IN TERRITORY</v>
      </c>
      <c r="G139" s="11" t="str">
        <f>IF($A139="","",_xlfn.LET(_xlpm.t,MATCH($B139,'[1]Territory Definitions'!$B$5:$B$14,0),IF(ISNA(_xlpm.t),"NO TERRITORY",IF(INDEX('[1]Territory Definitions'!$D$5:$M$14,_xlpm.t,MATCH(G$4,'[1]Territory Definitions'!$D$4:$M$4,0))&lt;&gt;1,"NOT IN TERRITORY",IF(COUNTIFS('[1]Blackout Brand Fam Areas (Enc)'!$B$6:$B$998,$A139,'[1]Blackout Brand Fam Areas (Enc)'!$C$6:$C$998,G$4,'[1]Blackout Brand Fam Areas (Enc)'!$D$6:$D$998,"Inactive")&gt;0,"BLOCKED","CAN SELL")))))</f>
        <v>NOT IN TERRITORY</v>
      </c>
      <c r="H139" s="11" t="str">
        <f>IF($A139="","",_xlfn.LET(_xlpm.t,MATCH($B139,'[1]Territory Definitions'!$B$5:$B$14,0),IF(ISNA(_xlpm.t),"NO TERRITORY",IF(INDEX('[1]Territory Definitions'!$D$5:$M$14,_xlpm.t,MATCH(H$4,'[1]Territory Definitions'!$D$4:$M$4,0))&lt;&gt;1,"NOT IN TERRITORY",IF(COUNTIFS('[1]Blackout Brand Fam Areas (Enc)'!$B$6:$B$998,$A139,'[1]Blackout Brand Fam Areas (Enc)'!$C$6:$C$998,H$4,'[1]Blackout Brand Fam Areas (Enc)'!$D$6:$D$998,"Inactive")&gt;0,"BLOCKED","CAN SELL")))))</f>
        <v>NOT IN TERRITORY</v>
      </c>
      <c r="I139" s="11" t="str">
        <f>IF($A139="","",_xlfn.LET(_xlpm.t,MATCH($B139,'[1]Territory Definitions'!$B$5:$B$14,0),IF(ISNA(_xlpm.t),"NO TERRITORY",IF(INDEX('[1]Territory Definitions'!$D$5:$M$14,_xlpm.t,MATCH(I$4,'[1]Territory Definitions'!$D$4:$M$4,0))&lt;&gt;1,"NOT IN TERRITORY",IF(COUNTIFS('[1]Blackout Brand Fam Areas (Enc)'!$B$6:$B$998,$A139,'[1]Blackout Brand Fam Areas (Enc)'!$C$6:$C$998,I$4,'[1]Blackout Brand Fam Areas (Enc)'!$D$6:$D$998,"Inactive")&gt;0,"BLOCKED","CAN SELL")))))</f>
        <v>NOT IN TERRITORY</v>
      </c>
      <c r="J139" s="11" t="str">
        <f>IF($A139="","",_xlfn.LET(_xlpm.t,MATCH($B139,'[1]Territory Definitions'!$B$5:$B$14,0),IF(ISNA(_xlpm.t),"NO TERRITORY",IF(INDEX('[1]Territory Definitions'!$D$5:$M$14,_xlpm.t,MATCH(J$4,'[1]Territory Definitions'!$D$4:$M$4,0))&lt;&gt;1,"NOT IN TERRITORY",IF(COUNTIFS('[1]Blackout Brand Fam Areas (Enc)'!$B$6:$B$998,$A139,'[1]Blackout Brand Fam Areas (Enc)'!$C$6:$C$998,J$4,'[1]Blackout Brand Fam Areas (Enc)'!$D$6:$D$998,"Inactive")&gt;0,"BLOCKED","CAN SELL")))))</f>
        <v>BLOCKED</v>
      </c>
      <c r="K139" s="11" t="str">
        <f>IF($A139="","",_xlfn.LET(_xlpm.t,MATCH($B139,'[1]Territory Definitions'!$B$5:$B$14,0),IF(ISNA(_xlpm.t),"NO TERRITORY",IF(INDEX('[1]Territory Definitions'!$D$5:$M$14,_xlpm.t,MATCH(K$4,'[1]Territory Definitions'!$D$4:$M$4,0))&lt;&gt;1,"NOT IN TERRITORY",IF(COUNTIFS('[1]Blackout Brand Fam Areas (Enc)'!$B$6:$B$998,$A139,'[1]Blackout Brand Fam Areas (Enc)'!$C$6:$C$998,K$4,'[1]Blackout Brand Fam Areas (Enc)'!$D$6:$D$998,"Inactive")&gt;0,"BLOCKED","CAN SELL")))))</f>
        <v>NOT IN TERRITORY</v>
      </c>
      <c r="L139" s="11" t="str">
        <f>IF($A139="","",_xlfn.LET(_xlpm.t,MATCH($B139,'[1]Territory Definitions'!$B$5:$B$14,0),IF(ISNA(_xlpm.t),"NO TERRITORY",IF(INDEX('[1]Territory Definitions'!$D$5:$M$14,_xlpm.t,MATCH(L$4,'[1]Territory Definitions'!$D$4:$M$4,0))&lt;&gt;1,"NOT IN TERRITORY",IF(COUNTIFS('[1]Blackout Brand Fam Areas (Enc)'!$B$6:$B$998,$A139,'[1]Blackout Brand Fam Areas (Enc)'!$C$6:$C$998,L$4,'[1]Blackout Brand Fam Areas (Enc)'!$D$6:$D$998,"Inactive")&gt;0,"BLOCKED","CAN SELL")))))</f>
        <v>CAN SELL</v>
      </c>
      <c r="M139" s="12">
        <f>IF($A139="","",COUNTIF($C139:$L139,"CAN SELL"))</f>
        <v>4</v>
      </c>
      <c r="N139" s="13" cm="1">
        <f t="array" ref="N139">IF($A139="","",SUMPRODUCT(($C139:$L139="CAN SELL")*$C$3:$L$3))</f>
        <v>1318</v>
      </c>
      <c r="O139" s="14" t="str">
        <f>IF($A139="","",IF(COUNTIF($A$5:$A$299,$A139)&gt;1,"DUPLICATE - two different territories assigned",IF($B139="** NO TERRITORY SET **","No territory on Brand Family Territory (Enc)","")))</f>
        <v/>
      </c>
      <c r="P139" s="18" t="str">
        <f>IF($A139="","",IFERROR(INDEX([1]Products!$H$4:$H$4801,MATCH($A139,[1]Products!$G$4:$G$4801,0)),"(no products)"))</f>
        <v>Heineken USA</v>
      </c>
      <c r="Q139" s="19">
        <f>IF($A139="","",COUNTIFS([1]Products!$G$4:$G$4801,$A139,[1]Products!$L$4:$L$4801,"Yes"))</f>
        <v>17</v>
      </c>
      <c r="R139" s="19">
        <f>IF($A139="","",COUNTIFS([1]Products!$G$4:$G$4801,$A139,[1]Products!$L$4:$L$4801,"Yes",[1]Products!$K$4:$K$4801,"Draft"))</f>
        <v>2</v>
      </c>
      <c r="S139" s="19">
        <f>IF($A139="","",COUNTIFS([1]Products!$G$4:$G$4801,$A139,[1]Products!$L$4:$L$4801,"Yes",[1]Products!$K$4:$K$4801,"Package"))</f>
        <v>15</v>
      </c>
      <c r="T139" s="20" t="str" cm="1">
        <f t="array" ref="T139">IF($A139="","",_xlfn.IFS($Q139=0,"NO ACTIVE SKUs",AND($R139&gt;0,$S139&gt;0),"Draft &amp; Package",$R139&gt;0,"Draft only",TRUE,"Package only"))</f>
        <v>Draft &amp; Package</v>
      </c>
    </row>
    <row r="140" spans="1:20" x14ac:dyDescent="0.2">
      <c r="A140" s="9" t="str">
        <v>Herb &amp; Bloom</v>
      </c>
      <c r="B140" s="10" t="str">
        <f>IF($A140="","",_xlfn.XLOOKUP($A140,'[1]Brand Family Territory (Enc)'!$A:$A,'[1]Brand Family Territory (Enc)'!$B:$B,"** NO TERRITORY SET **"))</f>
        <v>All Counties</v>
      </c>
      <c r="C140" s="11" t="str">
        <f>IF($A140="","",_xlfn.LET(_xlpm.t,MATCH($B140,'[1]Territory Definitions'!$B$5:$B$14,0),IF(ISNA(_xlpm.t),"NO TERRITORY",IF(INDEX('[1]Territory Definitions'!$D$5:$M$14,_xlpm.t,MATCH(C$4,'[1]Territory Definitions'!$D$4:$M$4,0))&lt;&gt;1,"NOT IN TERRITORY",IF(COUNTIFS('[1]Blackout Brand Fam Areas (Enc)'!$B$6:$B$998,$A140,'[1]Blackout Brand Fam Areas (Enc)'!$C$6:$C$998,C$4,'[1]Blackout Brand Fam Areas (Enc)'!$D$6:$D$998,"Inactive")&gt;0,"BLOCKED","CAN SELL")))))</f>
        <v>CAN SELL</v>
      </c>
      <c r="D140" s="11" t="str">
        <f>IF($A140="","",_xlfn.LET(_xlpm.t,MATCH($B140,'[1]Territory Definitions'!$B$5:$B$14,0),IF(ISNA(_xlpm.t),"NO TERRITORY",IF(INDEX('[1]Territory Definitions'!$D$5:$M$14,_xlpm.t,MATCH(D$4,'[1]Territory Definitions'!$D$4:$M$4,0))&lt;&gt;1,"NOT IN TERRITORY",IF(COUNTIFS('[1]Blackout Brand Fam Areas (Enc)'!$B$6:$B$998,$A140,'[1]Blackout Brand Fam Areas (Enc)'!$C$6:$C$998,D$4,'[1]Blackout Brand Fam Areas (Enc)'!$D$6:$D$998,"Inactive")&gt;0,"BLOCKED","CAN SELL")))))</f>
        <v>CAN SELL</v>
      </c>
      <c r="E140" s="11" t="str">
        <f>IF($A140="","",_xlfn.LET(_xlpm.t,MATCH($B140,'[1]Territory Definitions'!$B$5:$B$14,0),IF(ISNA(_xlpm.t),"NO TERRITORY",IF(INDEX('[1]Territory Definitions'!$D$5:$M$14,_xlpm.t,MATCH(E$4,'[1]Territory Definitions'!$D$4:$M$4,0))&lt;&gt;1,"NOT IN TERRITORY",IF(COUNTIFS('[1]Blackout Brand Fam Areas (Enc)'!$B$6:$B$998,$A140,'[1]Blackout Brand Fam Areas (Enc)'!$C$6:$C$998,E$4,'[1]Blackout Brand Fam Areas (Enc)'!$D$6:$D$998,"Inactive")&gt;0,"BLOCKED","CAN SELL")))))</f>
        <v>CAN SELL</v>
      </c>
      <c r="F140" s="11" t="str">
        <f>IF($A140="","",_xlfn.LET(_xlpm.t,MATCH($B140,'[1]Territory Definitions'!$B$5:$B$14,0),IF(ISNA(_xlpm.t),"NO TERRITORY",IF(INDEX('[1]Territory Definitions'!$D$5:$M$14,_xlpm.t,MATCH(F$4,'[1]Territory Definitions'!$D$4:$M$4,0))&lt;&gt;1,"NOT IN TERRITORY",IF(COUNTIFS('[1]Blackout Brand Fam Areas (Enc)'!$B$6:$B$998,$A140,'[1]Blackout Brand Fam Areas (Enc)'!$C$6:$C$998,F$4,'[1]Blackout Brand Fam Areas (Enc)'!$D$6:$D$998,"Inactive")&gt;0,"BLOCKED","CAN SELL")))))</f>
        <v>CAN SELL</v>
      </c>
      <c r="G140" s="11" t="str">
        <f>IF($A140="","",_xlfn.LET(_xlpm.t,MATCH($B140,'[1]Territory Definitions'!$B$5:$B$14,0),IF(ISNA(_xlpm.t),"NO TERRITORY",IF(INDEX('[1]Territory Definitions'!$D$5:$M$14,_xlpm.t,MATCH(G$4,'[1]Territory Definitions'!$D$4:$M$4,0))&lt;&gt;1,"NOT IN TERRITORY",IF(COUNTIFS('[1]Blackout Brand Fam Areas (Enc)'!$B$6:$B$998,$A140,'[1]Blackout Brand Fam Areas (Enc)'!$C$6:$C$998,G$4,'[1]Blackout Brand Fam Areas (Enc)'!$D$6:$D$998,"Inactive")&gt;0,"BLOCKED","CAN SELL")))))</f>
        <v>CAN SELL</v>
      </c>
      <c r="H140" s="11" t="str">
        <f>IF($A140="","",_xlfn.LET(_xlpm.t,MATCH($B140,'[1]Territory Definitions'!$B$5:$B$14,0),IF(ISNA(_xlpm.t),"NO TERRITORY",IF(INDEX('[1]Territory Definitions'!$D$5:$M$14,_xlpm.t,MATCH(H$4,'[1]Territory Definitions'!$D$4:$M$4,0))&lt;&gt;1,"NOT IN TERRITORY",IF(COUNTIFS('[1]Blackout Brand Fam Areas (Enc)'!$B$6:$B$998,$A140,'[1]Blackout Brand Fam Areas (Enc)'!$C$6:$C$998,H$4,'[1]Blackout Brand Fam Areas (Enc)'!$D$6:$D$998,"Inactive")&gt;0,"BLOCKED","CAN SELL")))))</f>
        <v>CAN SELL</v>
      </c>
      <c r="I140" s="11" t="str">
        <f>IF($A140="","",_xlfn.LET(_xlpm.t,MATCH($B140,'[1]Territory Definitions'!$B$5:$B$14,0),IF(ISNA(_xlpm.t),"NO TERRITORY",IF(INDEX('[1]Territory Definitions'!$D$5:$M$14,_xlpm.t,MATCH(I$4,'[1]Territory Definitions'!$D$4:$M$4,0))&lt;&gt;1,"NOT IN TERRITORY",IF(COUNTIFS('[1]Blackout Brand Fam Areas (Enc)'!$B$6:$B$998,$A140,'[1]Blackout Brand Fam Areas (Enc)'!$C$6:$C$998,I$4,'[1]Blackout Brand Fam Areas (Enc)'!$D$6:$D$998,"Inactive")&gt;0,"BLOCKED","CAN SELL")))))</f>
        <v>CAN SELL</v>
      </c>
      <c r="J140" s="11" t="str">
        <f>IF($A140="","",_xlfn.LET(_xlpm.t,MATCH($B140,'[1]Territory Definitions'!$B$5:$B$14,0),IF(ISNA(_xlpm.t),"NO TERRITORY",IF(INDEX('[1]Territory Definitions'!$D$5:$M$14,_xlpm.t,MATCH(J$4,'[1]Territory Definitions'!$D$4:$M$4,0))&lt;&gt;1,"NOT IN TERRITORY",IF(COUNTIFS('[1]Blackout Brand Fam Areas (Enc)'!$B$6:$B$998,$A140,'[1]Blackout Brand Fam Areas (Enc)'!$C$6:$C$998,J$4,'[1]Blackout Brand Fam Areas (Enc)'!$D$6:$D$998,"Inactive")&gt;0,"BLOCKED","CAN SELL")))))</f>
        <v>CAN SELL</v>
      </c>
      <c r="K140" s="11" t="str">
        <f>IF($A140="","",_xlfn.LET(_xlpm.t,MATCH($B140,'[1]Territory Definitions'!$B$5:$B$14,0),IF(ISNA(_xlpm.t),"NO TERRITORY",IF(INDEX('[1]Territory Definitions'!$D$5:$M$14,_xlpm.t,MATCH(K$4,'[1]Territory Definitions'!$D$4:$M$4,0))&lt;&gt;1,"NOT IN TERRITORY",IF(COUNTIFS('[1]Blackout Brand Fam Areas (Enc)'!$B$6:$B$998,$A140,'[1]Blackout Brand Fam Areas (Enc)'!$C$6:$C$998,K$4,'[1]Blackout Brand Fam Areas (Enc)'!$D$6:$D$998,"Inactive")&gt;0,"BLOCKED","CAN SELL")))))</f>
        <v>CAN SELL</v>
      </c>
      <c r="L140" s="11" t="str">
        <f>IF($A140="","",_xlfn.LET(_xlpm.t,MATCH($B140,'[1]Territory Definitions'!$B$5:$B$14,0),IF(ISNA(_xlpm.t),"NO TERRITORY",IF(INDEX('[1]Territory Definitions'!$D$5:$M$14,_xlpm.t,MATCH(L$4,'[1]Territory Definitions'!$D$4:$M$4,0))&lt;&gt;1,"NOT IN TERRITORY",IF(COUNTIFS('[1]Blackout Brand Fam Areas (Enc)'!$B$6:$B$998,$A140,'[1]Blackout Brand Fam Areas (Enc)'!$C$6:$C$998,L$4,'[1]Blackout Brand Fam Areas (Enc)'!$D$6:$D$998,"Inactive")&gt;0,"BLOCKED","CAN SELL")))))</f>
        <v>CAN SELL</v>
      </c>
      <c r="M140" s="12">
        <f>IF($A140="","",COUNTIF($C140:$L140,"CAN SELL"))</f>
        <v>10</v>
      </c>
      <c r="N140" s="13" cm="1">
        <f t="array" ref="N140">IF($A140="","",SUMPRODUCT(($C140:$L140="CAN SELL")*$C$3:$L$3))</f>
        <v>2306</v>
      </c>
      <c r="O140" s="14" t="str">
        <f>IF($A140="","",IF(COUNTIF($A$5:$A$299,$A140)&gt;1,"DUPLICATE - two different territories assigned",IF($B140="** NO TERRITORY SET **","No territory on Brand Family Territory (Enc)","")))</f>
        <v/>
      </c>
      <c r="P140" s="18" t="str">
        <f>IF($A140="","",IFERROR(INDEX([1]Products!$H$4:$H$4801,MATCH($A140,[1]Products!$G$4:$G$4801,0)),"(no products)"))</f>
        <v>Tilray Alternative Beverage</v>
      </c>
      <c r="Q140" s="19">
        <f>IF($A140="","",COUNTIFS([1]Products!$G$4:$G$4801,$A140,[1]Products!$L$4:$L$4801,"Yes"))</f>
        <v>0</v>
      </c>
      <c r="R140" s="19">
        <f>IF($A140="","",COUNTIFS([1]Products!$G$4:$G$4801,$A140,[1]Products!$L$4:$L$4801,"Yes",[1]Products!$K$4:$K$4801,"Draft"))</f>
        <v>0</v>
      </c>
      <c r="S140" s="19">
        <f>IF($A140="","",COUNTIFS([1]Products!$G$4:$G$4801,$A140,[1]Products!$L$4:$L$4801,"Yes",[1]Products!$K$4:$K$4801,"Package"))</f>
        <v>0</v>
      </c>
      <c r="T140" s="20" t="str" cm="1">
        <f t="array" ref="T140">IF($A140="","",_xlfn.IFS($Q140=0,"NO ACTIVE SKUs",AND($R140&gt;0,$S140&gt;0),"Draft &amp; Package",$R140&gt;0,"Draft only",TRUE,"Package only"))</f>
        <v>NO ACTIVE SKUs</v>
      </c>
    </row>
    <row r="141" spans="1:20" x14ac:dyDescent="0.2">
      <c r="A141" s="9" t="str">
        <v>Hetman Vodka</v>
      </c>
      <c r="B141" s="10" t="str">
        <f>IF($A141="","",_xlfn.XLOOKUP($A141,'[1]Brand Family Territory (Enc)'!$A:$A,'[1]Brand Family Territory (Enc)'!$B:$B,"** NO TERRITORY SET **"))</f>
        <v>Core Market</v>
      </c>
      <c r="C141" s="11" t="str">
        <f>IF($A141="","",_xlfn.LET(_xlpm.t,MATCH($B141,'[1]Territory Definitions'!$B$5:$B$14,0),IF(ISNA(_xlpm.t),"NO TERRITORY",IF(INDEX('[1]Territory Definitions'!$D$5:$M$14,_xlpm.t,MATCH(C$4,'[1]Territory Definitions'!$D$4:$M$4,0))&lt;&gt;1,"NOT IN TERRITORY",IF(COUNTIFS('[1]Blackout Brand Fam Areas (Enc)'!$B$6:$B$998,$A141,'[1]Blackout Brand Fam Areas (Enc)'!$C$6:$C$998,C$4,'[1]Blackout Brand Fam Areas (Enc)'!$D$6:$D$998,"Inactive")&gt;0,"BLOCKED","CAN SELL")))))</f>
        <v>CAN SELL</v>
      </c>
      <c r="D141" s="11" t="str">
        <f>IF($A141="","",_xlfn.LET(_xlpm.t,MATCH($B141,'[1]Territory Definitions'!$B$5:$B$14,0),IF(ISNA(_xlpm.t),"NO TERRITORY",IF(INDEX('[1]Territory Definitions'!$D$5:$M$14,_xlpm.t,MATCH(D$4,'[1]Territory Definitions'!$D$4:$M$4,0))&lt;&gt;1,"NOT IN TERRITORY",IF(COUNTIFS('[1]Blackout Brand Fam Areas (Enc)'!$B$6:$B$998,$A141,'[1]Blackout Brand Fam Areas (Enc)'!$C$6:$C$998,D$4,'[1]Blackout Brand Fam Areas (Enc)'!$D$6:$D$998,"Inactive")&gt;0,"BLOCKED","CAN SELL")))))</f>
        <v>CAN SELL</v>
      </c>
      <c r="E141" s="11" t="str">
        <f>IF($A141="","",_xlfn.LET(_xlpm.t,MATCH($B141,'[1]Territory Definitions'!$B$5:$B$14,0),IF(ISNA(_xlpm.t),"NO TERRITORY",IF(INDEX('[1]Territory Definitions'!$D$5:$M$14,_xlpm.t,MATCH(E$4,'[1]Territory Definitions'!$D$4:$M$4,0))&lt;&gt;1,"NOT IN TERRITORY",IF(COUNTIFS('[1]Blackout Brand Fam Areas (Enc)'!$B$6:$B$998,$A141,'[1]Blackout Brand Fam Areas (Enc)'!$C$6:$C$998,E$4,'[1]Blackout Brand Fam Areas (Enc)'!$D$6:$D$998,"Inactive")&gt;0,"BLOCKED","CAN SELL")))))</f>
        <v>CAN SELL</v>
      </c>
      <c r="F141" s="11" t="str">
        <f>IF($A141="","",_xlfn.LET(_xlpm.t,MATCH($B141,'[1]Territory Definitions'!$B$5:$B$14,0),IF(ISNA(_xlpm.t),"NO TERRITORY",IF(INDEX('[1]Territory Definitions'!$D$5:$M$14,_xlpm.t,MATCH(F$4,'[1]Territory Definitions'!$D$4:$M$4,0))&lt;&gt;1,"NOT IN TERRITORY",IF(COUNTIFS('[1]Blackout Brand Fam Areas (Enc)'!$B$6:$B$998,$A141,'[1]Blackout Brand Fam Areas (Enc)'!$C$6:$C$998,F$4,'[1]Blackout Brand Fam Areas (Enc)'!$D$6:$D$998,"Inactive")&gt;0,"BLOCKED","CAN SELL")))))</f>
        <v>NOT IN TERRITORY</v>
      </c>
      <c r="G141" s="11" t="str">
        <f>IF($A141="","",_xlfn.LET(_xlpm.t,MATCH($B141,'[1]Territory Definitions'!$B$5:$B$14,0),IF(ISNA(_xlpm.t),"NO TERRITORY",IF(INDEX('[1]Territory Definitions'!$D$5:$M$14,_xlpm.t,MATCH(G$4,'[1]Territory Definitions'!$D$4:$M$4,0))&lt;&gt;1,"NOT IN TERRITORY",IF(COUNTIFS('[1]Blackout Brand Fam Areas (Enc)'!$B$6:$B$998,$A141,'[1]Blackout Brand Fam Areas (Enc)'!$C$6:$C$998,G$4,'[1]Blackout Brand Fam Areas (Enc)'!$D$6:$D$998,"Inactive")&gt;0,"BLOCKED","CAN SELL")))))</f>
        <v>NOT IN TERRITORY</v>
      </c>
      <c r="H141" s="11" t="str">
        <f>IF($A141="","",_xlfn.LET(_xlpm.t,MATCH($B141,'[1]Territory Definitions'!$B$5:$B$14,0),IF(ISNA(_xlpm.t),"NO TERRITORY",IF(INDEX('[1]Territory Definitions'!$D$5:$M$14,_xlpm.t,MATCH(H$4,'[1]Territory Definitions'!$D$4:$M$4,0))&lt;&gt;1,"NOT IN TERRITORY",IF(COUNTIFS('[1]Blackout Brand Fam Areas (Enc)'!$B$6:$B$998,$A141,'[1]Blackout Brand Fam Areas (Enc)'!$C$6:$C$998,H$4,'[1]Blackout Brand Fam Areas (Enc)'!$D$6:$D$998,"Inactive")&gt;0,"BLOCKED","CAN SELL")))))</f>
        <v>NOT IN TERRITORY</v>
      </c>
      <c r="I141" s="11" t="str">
        <f>IF($A141="","",_xlfn.LET(_xlpm.t,MATCH($B141,'[1]Territory Definitions'!$B$5:$B$14,0),IF(ISNA(_xlpm.t),"NO TERRITORY",IF(INDEX('[1]Territory Definitions'!$D$5:$M$14,_xlpm.t,MATCH(I$4,'[1]Territory Definitions'!$D$4:$M$4,0))&lt;&gt;1,"NOT IN TERRITORY",IF(COUNTIFS('[1]Blackout Brand Fam Areas (Enc)'!$B$6:$B$998,$A141,'[1]Blackout Brand Fam Areas (Enc)'!$C$6:$C$998,I$4,'[1]Blackout Brand Fam Areas (Enc)'!$D$6:$D$998,"Inactive")&gt;0,"BLOCKED","CAN SELL")))))</f>
        <v>CAN SELL</v>
      </c>
      <c r="J141" s="11" t="str">
        <f>IF($A141="","",_xlfn.LET(_xlpm.t,MATCH($B141,'[1]Territory Definitions'!$B$5:$B$14,0),IF(ISNA(_xlpm.t),"NO TERRITORY",IF(INDEX('[1]Territory Definitions'!$D$5:$M$14,_xlpm.t,MATCH(J$4,'[1]Territory Definitions'!$D$4:$M$4,0))&lt;&gt;1,"NOT IN TERRITORY",IF(COUNTIFS('[1]Blackout Brand Fam Areas (Enc)'!$B$6:$B$998,$A141,'[1]Blackout Brand Fam Areas (Enc)'!$C$6:$C$998,J$4,'[1]Blackout Brand Fam Areas (Enc)'!$D$6:$D$998,"Inactive")&gt;0,"BLOCKED","CAN SELL")))))</f>
        <v>CAN SELL</v>
      </c>
      <c r="K141" s="11" t="str">
        <f>IF($A141="","",_xlfn.LET(_xlpm.t,MATCH($B141,'[1]Territory Definitions'!$B$5:$B$14,0),IF(ISNA(_xlpm.t),"NO TERRITORY",IF(INDEX('[1]Territory Definitions'!$D$5:$M$14,_xlpm.t,MATCH(K$4,'[1]Territory Definitions'!$D$4:$M$4,0))&lt;&gt;1,"NOT IN TERRITORY",IF(COUNTIFS('[1]Blackout Brand Fam Areas (Enc)'!$B$6:$B$998,$A141,'[1]Blackout Brand Fam Areas (Enc)'!$C$6:$C$998,K$4,'[1]Blackout Brand Fam Areas (Enc)'!$D$6:$D$998,"Inactive")&gt;0,"BLOCKED","CAN SELL")))))</f>
        <v>NOT IN TERRITORY</v>
      </c>
      <c r="L141" s="11" t="str">
        <f>IF($A141="","",_xlfn.LET(_xlpm.t,MATCH($B141,'[1]Territory Definitions'!$B$5:$B$14,0),IF(ISNA(_xlpm.t),"NO TERRITORY",IF(INDEX('[1]Territory Definitions'!$D$5:$M$14,_xlpm.t,MATCH(L$4,'[1]Territory Definitions'!$D$4:$M$4,0))&lt;&gt;1,"NOT IN TERRITORY",IF(COUNTIFS('[1]Blackout Brand Fam Areas (Enc)'!$B$6:$B$998,$A141,'[1]Blackout Brand Fam Areas (Enc)'!$C$6:$C$998,L$4,'[1]Blackout Brand Fam Areas (Enc)'!$D$6:$D$998,"Inactive")&gt;0,"BLOCKED","CAN SELL")))))</f>
        <v>CAN SELL</v>
      </c>
      <c r="M141" s="12">
        <f>IF($A141="","",COUNTIF($C141:$L141,"CAN SELL"))</f>
        <v>6</v>
      </c>
      <c r="N141" s="13" cm="1">
        <f t="array" ref="N141">IF($A141="","",SUMPRODUCT(($C141:$L141="CAN SELL")*$C$3:$L$3))</f>
        <v>1596</v>
      </c>
      <c r="O141" s="14" t="str">
        <f>IF($A141="","",IF(COUNTIF($A$5:$A$299,$A141)&gt;1,"DUPLICATE - two different territories assigned",IF($B141="** NO TERRITORY SET **","No territory on Brand Family Territory (Enc)","")))</f>
        <v/>
      </c>
      <c r="P141" s="18" t="str">
        <f>IF($A141="","",IFERROR(INDEX([1]Products!$H$4:$H$4801,MATCH($A141,[1]Products!$G$4:$G$4801,0)),"(no products)"))</f>
        <v>SPYRT Worldwide</v>
      </c>
      <c r="Q141" s="19">
        <f>IF($A141="","",COUNTIFS([1]Products!$G$4:$G$4801,$A141,[1]Products!$L$4:$L$4801,"Yes"))</f>
        <v>1</v>
      </c>
      <c r="R141" s="19">
        <f>IF($A141="","",COUNTIFS([1]Products!$G$4:$G$4801,$A141,[1]Products!$L$4:$L$4801,"Yes",[1]Products!$K$4:$K$4801,"Draft"))</f>
        <v>0</v>
      </c>
      <c r="S141" s="19">
        <f>IF($A141="","",COUNTIFS([1]Products!$G$4:$G$4801,$A141,[1]Products!$L$4:$L$4801,"Yes",[1]Products!$K$4:$K$4801,"Package"))</f>
        <v>0</v>
      </c>
      <c r="T141" s="20" t="str" cm="1">
        <f t="array" ref="T141">IF($A141="","",_xlfn.IFS($Q141=0,"NO ACTIVE SKUs",AND($R141&gt;0,$S141&gt;0),"Draft &amp; Package",$R141&gt;0,"Draft only",TRUE,"Package only"))</f>
        <v>Package only</v>
      </c>
    </row>
    <row r="142" spans="1:20" x14ac:dyDescent="0.2">
      <c r="A142" s="9" t="str">
        <v>Hi5</v>
      </c>
      <c r="B142" s="10" t="str">
        <f>IF($A142="","",_xlfn.XLOOKUP($A142,'[1]Brand Family Territory (Enc)'!$A:$A,'[1]Brand Family Territory (Enc)'!$B:$B,"** NO TERRITORY SET **"))</f>
        <v>Core Market</v>
      </c>
      <c r="C142" s="11" t="str">
        <f>IF($A142="","",_xlfn.LET(_xlpm.t,MATCH($B142,'[1]Territory Definitions'!$B$5:$B$14,0),IF(ISNA(_xlpm.t),"NO TERRITORY",IF(INDEX('[1]Territory Definitions'!$D$5:$M$14,_xlpm.t,MATCH(C$4,'[1]Territory Definitions'!$D$4:$M$4,0))&lt;&gt;1,"NOT IN TERRITORY",IF(COUNTIFS('[1]Blackout Brand Fam Areas (Enc)'!$B$6:$B$998,$A142,'[1]Blackout Brand Fam Areas (Enc)'!$C$6:$C$998,C$4,'[1]Blackout Brand Fam Areas (Enc)'!$D$6:$D$998,"Inactive")&gt;0,"BLOCKED","CAN SELL")))))</f>
        <v>CAN SELL</v>
      </c>
      <c r="D142" s="11" t="str">
        <f>IF($A142="","",_xlfn.LET(_xlpm.t,MATCH($B142,'[1]Territory Definitions'!$B$5:$B$14,0),IF(ISNA(_xlpm.t),"NO TERRITORY",IF(INDEX('[1]Territory Definitions'!$D$5:$M$14,_xlpm.t,MATCH(D$4,'[1]Territory Definitions'!$D$4:$M$4,0))&lt;&gt;1,"NOT IN TERRITORY",IF(COUNTIFS('[1]Blackout Brand Fam Areas (Enc)'!$B$6:$B$998,$A142,'[1]Blackout Brand Fam Areas (Enc)'!$C$6:$C$998,D$4,'[1]Blackout Brand Fam Areas (Enc)'!$D$6:$D$998,"Inactive")&gt;0,"BLOCKED","CAN SELL")))))</f>
        <v>CAN SELL</v>
      </c>
      <c r="E142" s="11" t="str">
        <f>IF($A142="","",_xlfn.LET(_xlpm.t,MATCH($B142,'[1]Territory Definitions'!$B$5:$B$14,0),IF(ISNA(_xlpm.t),"NO TERRITORY",IF(INDEX('[1]Territory Definitions'!$D$5:$M$14,_xlpm.t,MATCH(E$4,'[1]Territory Definitions'!$D$4:$M$4,0))&lt;&gt;1,"NOT IN TERRITORY",IF(COUNTIFS('[1]Blackout Brand Fam Areas (Enc)'!$B$6:$B$998,$A142,'[1]Blackout Brand Fam Areas (Enc)'!$C$6:$C$998,E$4,'[1]Blackout Brand Fam Areas (Enc)'!$D$6:$D$998,"Inactive")&gt;0,"BLOCKED","CAN SELL")))))</f>
        <v>CAN SELL</v>
      </c>
      <c r="F142" s="11" t="str">
        <f>IF($A142="","",_xlfn.LET(_xlpm.t,MATCH($B142,'[1]Territory Definitions'!$B$5:$B$14,0),IF(ISNA(_xlpm.t),"NO TERRITORY",IF(INDEX('[1]Territory Definitions'!$D$5:$M$14,_xlpm.t,MATCH(F$4,'[1]Territory Definitions'!$D$4:$M$4,0))&lt;&gt;1,"NOT IN TERRITORY",IF(COUNTIFS('[1]Blackout Brand Fam Areas (Enc)'!$B$6:$B$998,$A142,'[1]Blackout Brand Fam Areas (Enc)'!$C$6:$C$998,F$4,'[1]Blackout Brand Fam Areas (Enc)'!$D$6:$D$998,"Inactive")&gt;0,"BLOCKED","CAN SELL")))))</f>
        <v>NOT IN TERRITORY</v>
      </c>
      <c r="G142" s="11" t="str">
        <f>IF($A142="","",_xlfn.LET(_xlpm.t,MATCH($B142,'[1]Territory Definitions'!$B$5:$B$14,0),IF(ISNA(_xlpm.t),"NO TERRITORY",IF(INDEX('[1]Territory Definitions'!$D$5:$M$14,_xlpm.t,MATCH(G$4,'[1]Territory Definitions'!$D$4:$M$4,0))&lt;&gt;1,"NOT IN TERRITORY",IF(COUNTIFS('[1]Blackout Brand Fam Areas (Enc)'!$B$6:$B$998,$A142,'[1]Blackout Brand Fam Areas (Enc)'!$C$6:$C$998,G$4,'[1]Blackout Brand Fam Areas (Enc)'!$D$6:$D$998,"Inactive")&gt;0,"BLOCKED","CAN SELL")))))</f>
        <v>NOT IN TERRITORY</v>
      </c>
      <c r="H142" s="11" t="str">
        <f>IF($A142="","",_xlfn.LET(_xlpm.t,MATCH($B142,'[1]Territory Definitions'!$B$5:$B$14,0),IF(ISNA(_xlpm.t),"NO TERRITORY",IF(INDEX('[1]Territory Definitions'!$D$5:$M$14,_xlpm.t,MATCH(H$4,'[1]Territory Definitions'!$D$4:$M$4,0))&lt;&gt;1,"NOT IN TERRITORY",IF(COUNTIFS('[1]Blackout Brand Fam Areas (Enc)'!$B$6:$B$998,$A142,'[1]Blackout Brand Fam Areas (Enc)'!$C$6:$C$998,H$4,'[1]Blackout Brand Fam Areas (Enc)'!$D$6:$D$998,"Inactive")&gt;0,"BLOCKED","CAN SELL")))))</f>
        <v>NOT IN TERRITORY</v>
      </c>
      <c r="I142" s="11" t="str">
        <f>IF($A142="","",_xlfn.LET(_xlpm.t,MATCH($B142,'[1]Territory Definitions'!$B$5:$B$14,0),IF(ISNA(_xlpm.t),"NO TERRITORY",IF(INDEX('[1]Territory Definitions'!$D$5:$M$14,_xlpm.t,MATCH(I$4,'[1]Territory Definitions'!$D$4:$M$4,0))&lt;&gt;1,"NOT IN TERRITORY",IF(COUNTIFS('[1]Blackout Brand Fam Areas (Enc)'!$B$6:$B$998,$A142,'[1]Blackout Brand Fam Areas (Enc)'!$C$6:$C$998,I$4,'[1]Blackout Brand Fam Areas (Enc)'!$D$6:$D$998,"Inactive")&gt;0,"BLOCKED","CAN SELL")))))</f>
        <v>CAN SELL</v>
      </c>
      <c r="J142" s="11" t="str">
        <f>IF($A142="","",_xlfn.LET(_xlpm.t,MATCH($B142,'[1]Territory Definitions'!$B$5:$B$14,0),IF(ISNA(_xlpm.t),"NO TERRITORY",IF(INDEX('[1]Territory Definitions'!$D$5:$M$14,_xlpm.t,MATCH(J$4,'[1]Territory Definitions'!$D$4:$M$4,0))&lt;&gt;1,"NOT IN TERRITORY",IF(COUNTIFS('[1]Blackout Brand Fam Areas (Enc)'!$B$6:$B$998,$A142,'[1]Blackout Brand Fam Areas (Enc)'!$C$6:$C$998,J$4,'[1]Blackout Brand Fam Areas (Enc)'!$D$6:$D$998,"Inactive")&gt;0,"BLOCKED","CAN SELL")))))</f>
        <v>CAN SELL</v>
      </c>
      <c r="K142" s="11" t="str">
        <f>IF($A142="","",_xlfn.LET(_xlpm.t,MATCH($B142,'[1]Territory Definitions'!$B$5:$B$14,0),IF(ISNA(_xlpm.t),"NO TERRITORY",IF(INDEX('[1]Territory Definitions'!$D$5:$M$14,_xlpm.t,MATCH(K$4,'[1]Territory Definitions'!$D$4:$M$4,0))&lt;&gt;1,"NOT IN TERRITORY",IF(COUNTIFS('[1]Blackout Brand Fam Areas (Enc)'!$B$6:$B$998,$A142,'[1]Blackout Brand Fam Areas (Enc)'!$C$6:$C$998,K$4,'[1]Blackout Brand Fam Areas (Enc)'!$D$6:$D$998,"Inactive")&gt;0,"BLOCKED","CAN SELL")))))</f>
        <v>NOT IN TERRITORY</v>
      </c>
      <c r="L142" s="11" t="str">
        <f>IF($A142="","",_xlfn.LET(_xlpm.t,MATCH($B142,'[1]Territory Definitions'!$B$5:$B$14,0),IF(ISNA(_xlpm.t),"NO TERRITORY",IF(INDEX('[1]Territory Definitions'!$D$5:$M$14,_xlpm.t,MATCH(L$4,'[1]Territory Definitions'!$D$4:$M$4,0))&lt;&gt;1,"NOT IN TERRITORY",IF(COUNTIFS('[1]Blackout Brand Fam Areas (Enc)'!$B$6:$B$998,$A142,'[1]Blackout Brand Fam Areas (Enc)'!$C$6:$C$998,L$4,'[1]Blackout Brand Fam Areas (Enc)'!$D$6:$D$998,"Inactive")&gt;0,"BLOCKED","CAN SELL")))))</f>
        <v>CAN SELL</v>
      </c>
      <c r="M142" s="12">
        <f>IF($A142="","",COUNTIF($C142:$L142,"CAN SELL"))</f>
        <v>6</v>
      </c>
      <c r="N142" s="13" cm="1">
        <f t="array" ref="N142">IF($A142="","",SUMPRODUCT(($C142:$L142="CAN SELL")*$C$3:$L$3))</f>
        <v>1596</v>
      </c>
      <c r="O142" s="14" t="str">
        <f>IF($A142="","",IF(COUNTIF($A$5:$A$299,$A142)&gt;1,"DUPLICATE - two different territories assigned",IF($B142="** NO TERRITORY SET **","No territory on Brand Family Territory (Enc)","")))</f>
        <v/>
      </c>
      <c r="P142" s="18" t="str">
        <f>IF($A142="","",IFERROR(INDEX([1]Products!$H$4:$H$4801,MATCH($A142,[1]Products!$G$4:$G$4801,0)),"(no products)"))</f>
        <v>Modern Infusions</v>
      </c>
      <c r="Q142" s="19">
        <f>IF($A142="","",COUNTIFS([1]Products!$G$4:$G$4801,$A142,[1]Products!$L$4:$L$4801,"Yes"))</f>
        <v>5</v>
      </c>
      <c r="R142" s="19">
        <f>IF($A142="","",COUNTIFS([1]Products!$G$4:$G$4801,$A142,[1]Products!$L$4:$L$4801,"Yes",[1]Products!$K$4:$K$4801,"Draft"))</f>
        <v>0</v>
      </c>
      <c r="S142" s="19">
        <f>IF($A142="","",COUNTIFS([1]Products!$G$4:$G$4801,$A142,[1]Products!$L$4:$L$4801,"Yes",[1]Products!$K$4:$K$4801,"Package"))</f>
        <v>5</v>
      </c>
      <c r="T142" s="20" t="str" cm="1">
        <f t="array" ref="T142">IF($A142="","",_xlfn.IFS($Q142=0,"NO ACTIVE SKUs",AND($R142&gt;0,$S142&gt;0),"Draft &amp; Package",$R142&gt;0,"Draft only",TRUE,"Package only"))</f>
        <v>Package only</v>
      </c>
    </row>
    <row r="143" spans="1:20" x14ac:dyDescent="0.2">
      <c r="A143" s="9" t="str">
        <v>Hofbrau Usa</v>
      </c>
      <c r="B143" s="10" t="str">
        <f>IF($A143="","",_xlfn.XLOOKUP($A143,'[1]Brand Family Territory (Enc)'!$A:$A,'[1]Brand Family Territory (Enc)'!$B:$B,"** NO TERRITORY SET **"))</f>
        <v>All Counties</v>
      </c>
      <c r="C143" s="11" t="str">
        <f>IF($A143="","",_xlfn.LET(_xlpm.t,MATCH($B143,'[1]Territory Definitions'!$B$5:$B$14,0),IF(ISNA(_xlpm.t),"NO TERRITORY",IF(INDEX('[1]Territory Definitions'!$D$5:$M$14,_xlpm.t,MATCH(C$4,'[1]Territory Definitions'!$D$4:$M$4,0))&lt;&gt;1,"NOT IN TERRITORY",IF(COUNTIFS('[1]Blackout Brand Fam Areas (Enc)'!$B$6:$B$998,$A143,'[1]Blackout Brand Fam Areas (Enc)'!$C$6:$C$998,C$4,'[1]Blackout Brand Fam Areas (Enc)'!$D$6:$D$998,"Inactive")&gt;0,"BLOCKED","CAN SELL")))))</f>
        <v>CAN SELL</v>
      </c>
      <c r="D143" s="11" t="str">
        <f>IF($A143="","",_xlfn.LET(_xlpm.t,MATCH($B143,'[1]Territory Definitions'!$B$5:$B$14,0),IF(ISNA(_xlpm.t),"NO TERRITORY",IF(INDEX('[1]Territory Definitions'!$D$5:$M$14,_xlpm.t,MATCH(D$4,'[1]Territory Definitions'!$D$4:$M$4,0))&lt;&gt;1,"NOT IN TERRITORY",IF(COUNTIFS('[1]Blackout Brand Fam Areas (Enc)'!$B$6:$B$998,$A143,'[1]Blackout Brand Fam Areas (Enc)'!$C$6:$C$998,D$4,'[1]Blackout Brand Fam Areas (Enc)'!$D$6:$D$998,"Inactive")&gt;0,"BLOCKED","CAN SELL")))))</f>
        <v>CAN SELL</v>
      </c>
      <c r="E143" s="11" t="str">
        <f>IF($A143="","",_xlfn.LET(_xlpm.t,MATCH($B143,'[1]Territory Definitions'!$B$5:$B$14,0),IF(ISNA(_xlpm.t),"NO TERRITORY",IF(INDEX('[1]Territory Definitions'!$D$5:$M$14,_xlpm.t,MATCH(E$4,'[1]Territory Definitions'!$D$4:$M$4,0))&lt;&gt;1,"NOT IN TERRITORY",IF(COUNTIFS('[1]Blackout Brand Fam Areas (Enc)'!$B$6:$B$998,$A143,'[1]Blackout Brand Fam Areas (Enc)'!$C$6:$C$998,E$4,'[1]Blackout Brand Fam Areas (Enc)'!$D$6:$D$998,"Inactive")&gt;0,"BLOCKED","CAN SELL")))))</f>
        <v>CAN SELL</v>
      </c>
      <c r="F143" s="11" t="str">
        <f>IF($A143="","",_xlfn.LET(_xlpm.t,MATCH($B143,'[1]Territory Definitions'!$B$5:$B$14,0),IF(ISNA(_xlpm.t),"NO TERRITORY",IF(INDEX('[1]Territory Definitions'!$D$5:$M$14,_xlpm.t,MATCH(F$4,'[1]Territory Definitions'!$D$4:$M$4,0))&lt;&gt;1,"NOT IN TERRITORY",IF(COUNTIFS('[1]Blackout Brand Fam Areas (Enc)'!$B$6:$B$998,$A143,'[1]Blackout Brand Fam Areas (Enc)'!$C$6:$C$998,F$4,'[1]Blackout Brand Fam Areas (Enc)'!$D$6:$D$998,"Inactive")&gt;0,"BLOCKED","CAN SELL")))))</f>
        <v>CAN SELL</v>
      </c>
      <c r="G143" s="11" t="str">
        <f>IF($A143="","",_xlfn.LET(_xlpm.t,MATCH($B143,'[1]Territory Definitions'!$B$5:$B$14,0),IF(ISNA(_xlpm.t),"NO TERRITORY",IF(INDEX('[1]Territory Definitions'!$D$5:$M$14,_xlpm.t,MATCH(G$4,'[1]Territory Definitions'!$D$4:$M$4,0))&lt;&gt;1,"NOT IN TERRITORY",IF(COUNTIFS('[1]Blackout Brand Fam Areas (Enc)'!$B$6:$B$998,$A143,'[1]Blackout Brand Fam Areas (Enc)'!$C$6:$C$998,G$4,'[1]Blackout Brand Fam Areas (Enc)'!$D$6:$D$998,"Inactive")&gt;0,"BLOCKED","CAN SELL")))))</f>
        <v>CAN SELL</v>
      </c>
      <c r="H143" s="11" t="str">
        <f>IF($A143="","",_xlfn.LET(_xlpm.t,MATCH($B143,'[1]Territory Definitions'!$B$5:$B$14,0),IF(ISNA(_xlpm.t),"NO TERRITORY",IF(INDEX('[1]Territory Definitions'!$D$5:$M$14,_xlpm.t,MATCH(H$4,'[1]Territory Definitions'!$D$4:$M$4,0))&lt;&gt;1,"NOT IN TERRITORY",IF(COUNTIFS('[1]Blackout Brand Fam Areas (Enc)'!$B$6:$B$998,$A143,'[1]Blackout Brand Fam Areas (Enc)'!$C$6:$C$998,H$4,'[1]Blackout Brand Fam Areas (Enc)'!$D$6:$D$998,"Inactive")&gt;0,"BLOCKED","CAN SELL")))))</f>
        <v>CAN SELL</v>
      </c>
      <c r="I143" s="11" t="str">
        <f>IF($A143="","",_xlfn.LET(_xlpm.t,MATCH($B143,'[1]Territory Definitions'!$B$5:$B$14,0),IF(ISNA(_xlpm.t),"NO TERRITORY",IF(INDEX('[1]Territory Definitions'!$D$5:$M$14,_xlpm.t,MATCH(I$4,'[1]Territory Definitions'!$D$4:$M$4,0))&lt;&gt;1,"NOT IN TERRITORY",IF(COUNTIFS('[1]Blackout Brand Fam Areas (Enc)'!$B$6:$B$998,$A143,'[1]Blackout Brand Fam Areas (Enc)'!$C$6:$C$998,I$4,'[1]Blackout Brand Fam Areas (Enc)'!$D$6:$D$998,"Inactive")&gt;0,"BLOCKED","CAN SELL")))))</f>
        <v>CAN SELL</v>
      </c>
      <c r="J143" s="11" t="str">
        <f>IF($A143="","",_xlfn.LET(_xlpm.t,MATCH($B143,'[1]Territory Definitions'!$B$5:$B$14,0),IF(ISNA(_xlpm.t),"NO TERRITORY",IF(INDEX('[1]Territory Definitions'!$D$5:$M$14,_xlpm.t,MATCH(J$4,'[1]Territory Definitions'!$D$4:$M$4,0))&lt;&gt;1,"NOT IN TERRITORY",IF(COUNTIFS('[1]Blackout Brand Fam Areas (Enc)'!$B$6:$B$998,$A143,'[1]Blackout Brand Fam Areas (Enc)'!$C$6:$C$998,J$4,'[1]Blackout Brand Fam Areas (Enc)'!$D$6:$D$998,"Inactive")&gt;0,"BLOCKED","CAN SELL")))))</f>
        <v>CAN SELL</v>
      </c>
      <c r="K143" s="11" t="str">
        <f>IF($A143="","",_xlfn.LET(_xlpm.t,MATCH($B143,'[1]Territory Definitions'!$B$5:$B$14,0),IF(ISNA(_xlpm.t),"NO TERRITORY",IF(INDEX('[1]Territory Definitions'!$D$5:$M$14,_xlpm.t,MATCH(K$4,'[1]Territory Definitions'!$D$4:$M$4,0))&lt;&gt;1,"NOT IN TERRITORY",IF(COUNTIFS('[1]Blackout Brand Fam Areas (Enc)'!$B$6:$B$998,$A143,'[1]Blackout Brand Fam Areas (Enc)'!$C$6:$C$998,K$4,'[1]Blackout Brand Fam Areas (Enc)'!$D$6:$D$998,"Inactive")&gt;0,"BLOCKED","CAN SELL")))))</f>
        <v>CAN SELL</v>
      </c>
      <c r="L143" s="11" t="str">
        <f>IF($A143="","",_xlfn.LET(_xlpm.t,MATCH($B143,'[1]Territory Definitions'!$B$5:$B$14,0),IF(ISNA(_xlpm.t),"NO TERRITORY",IF(INDEX('[1]Territory Definitions'!$D$5:$M$14,_xlpm.t,MATCH(L$4,'[1]Territory Definitions'!$D$4:$M$4,0))&lt;&gt;1,"NOT IN TERRITORY",IF(COUNTIFS('[1]Blackout Brand Fam Areas (Enc)'!$B$6:$B$998,$A143,'[1]Blackout Brand Fam Areas (Enc)'!$C$6:$C$998,L$4,'[1]Blackout Brand Fam Areas (Enc)'!$D$6:$D$998,"Inactive")&gt;0,"BLOCKED","CAN SELL")))))</f>
        <v>CAN SELL</v>
      </c>
      <c r="M143" s="12">
        <f>IF($A143="","",COUNTIF($C143:$L143,"CAN SELL"))</f>
        <v>10</v>
      </c>
      <c r="N143" s="13" cm="1">
        <f t="array" ref="N143">IF($A143="","",SUMPRODUCT(($C143:$L143="CAN SELL")*$C$3:$L$3))</f>
        <v>2306</v>
      </c>
      <c r="O143" s="14" t="str">
        <f>IF($A143="","",IF(COUNTIF($A$5:$A$299,$A143)&gt;1,"DUPLICATE - two different territories assigned",IF($B143="** NO TERRITORY SET **","No territory on Brand Family Territory (Enc)","")))</f>
        <v/>
      </c>
      <c r="P143" s="18" t="str">
        <f>IF($A143="","",IFERROR(INDEX([1]Products!$H$4:$H$4801,MATCH($A143,[1]Products!$G$4:$G$4801,0)),"(no products)"))</f>
        <v>Hofbrauhaus USA</v>
      </c>
      <c r="Q143" s="19">
        <f>IF($A143="","",COUNTIFS([1]Products!$G$4:$G$4801,$A143,[1]Products!$L$4:$L$4801,"Yes"))</f>
        <v>19</v>
      </c>
      <c r="R143" s="19">
        <f>IF($A143="","",COUNTIFS([1]Products!$G$4:$G$4801,$A143,[1]Products!$L$4:$L$4801,"Yes",[1]Products!$K$4:$K$4801,"Draft"))</f>
        <v>7</v>
      </c>
      <c r="S143" s="19">
        <f>IF($A143="","",COUNTIFS([1]Products!$G$4:$G$4801,$A143,[1]Products!$L$4:$L$4801,"Yes",[1]Products!$K$4:$K$4801,"Package"))</f>
        <v>12</v>
      </c>
      <c r="T143" s="20" t="str" cm="1">
        <f t="array" ref="T143">IF($A143="","",_xlfn.IFS($Q143=0,"NO ACTIVE SKUs",AND($R143&gt;0,$S143&gt;0),"Draft &amp; Package",$R143&gt;0,"Draft only",TRUE,"Package only"))</f>
        <v>Draft &amp; Package</v>
      </c>
    </row>
    <row r="144" spans="1:20" x14ac:dyDescent="0.2">
      <c r="A144" s="9" t="str">
        <v>HOP WTR</v>
      </c>
      <c r="B144" s="10" t="str">
        <f>IF($A144="","",_xlfn.XLOOKUP($A144,'[1]Brand Family Territory (Enc)'!$A:$A,'[1]Brand Family Territory (Enc)'!$B:$B,"** NO TERRITORY SET **"))</f>
        <v>Core Market</v>
      </c>
      <c r="C144" s="11" t="str">
        <f>IF($A144="","",_xlfn.LET(_xlpm.t,MATCH($B144,'[1]Territory Definitions'!$B$5:$B$14,0),IF(ISNA(_xlpm.t),"NO TERRITORY",IF(INDEX('[1]Territory Definitions'!$D$5:$M$14,_xlpm.t,MATCH(C$4,'[1]Territory Definitions'!$D$4:$M$4,0))&lt;&gt;1,"NOT IN TERRITORY",IF(COUNTIFS('[1]Blackout Brand Fam Areas (Enc)'!$B$6:$B$998,$A144,'[1]Blackout Brand Fam Areas (Enc)'!$C$6:$C$998,C$4,'[1]Blackout Brand Fam Areas (Enc)'!$D$6:$D$998,"Inactive")&gt;0,"BLOCKED","CAN SELL")))))</f>
        <v>CAN SELL</v>
      </c>
      <c r="D144" s="11" t="str">
        <f>IF($A144="","",_xlfn.LET(_xlpm.t,MATCH($B144,'[1]Territory Definitions'!$B$5:$B$14,0),IF(ISNA(_xlpm.t),"NO TERRITORY",IF(INDEX('[1]Territory Definitions'!$D$5:$M$14,_xlpm.t,MATCH(D$4,'[1]Territory Definitions'!$D$4:$M$4,0))&lt;&gt;1,"NOT IN TERRITORY",IF(COUNTIFS('[1]Blackout Brand Fam Areas (Enc)'!$B$6:$B$998,$A144,'[1]Blackout Brand Fam Areas (Enc)'!$C$6:$C$998,D$4,'[1]Blackout Brand Fam Areas (Enc)'!$D$6:$D$998,"Inactive")&gt;0,"BLOCKED","CAN SELL")))))</f>
        <v>CAN SELL</v>
      </c>
      <c r="E144" s="11" t="str">
        <f>IF($A144="","",_xlfn.LET(_xlpm.t,MATCH($B144,'[1]Territory Definitions'!$B$5:$B$14,0),IF(ISNA(_xlpm.t),"NO TERRITORY",IF(INDEX('[1]Territory Definitions'!$D$5:$M$14,_xlpm.t,MATCH(E$4,'[1]Territory Definitions'!$D$4:$M$4,0))&lt;&gt;1,"NOT IN TERRITORY",IF(COUNTIFS('[1]Blackout Brand Fam Areas (Enc)'!$B$6:$B$998,$A144,'[1]Blackout Brand Fam Areas (Enc)'!$C$6:$C$998,E$4,'[1]Blackout Brand Fam Areas (Enc)'!$D$6:$D$998,"Inactive")&gt;0,"BLOCKED","CAN SELL")))))</f>
        <v>CAN SELL</v>
      </c>
      <c r="F144" s="11" t="str">
        <f>IF($A144="","",_xlfn.LET(_xlpm.t,MATCH($B144,'[1]Territory Definitions'!$B$5:$B$14,0),IF(ISNA(_xlpm.t),"NO TERRITORY",IF(INDEX('[1]Territory Definitions'!$D$5:$M$14,_xlpm.t,MATCH(F$4,'[1]Territory Definitions'!$D$4:$M$4,0))&lt;&gt;1,"NOT IN TERRITORY",IF(COUNTIFS('[1]Blackout Brand Fam Areas (Enc)'!$B$6:$B$998,$A144,'[1]Blackout Brand Fam Areas (Enc)'!$C$6:$C$998,F$4,'[1]Blackout Brand Fam Areas (Enc)'!$D$6:$D$998,"Inactive")&gt;0,"BLOCKED","CAN SELL")))))</f>
        <v>NOT IN TERRITORY</v>
      </c>
      <c r="G144" s="11" t="str">
        <f>IF($A144="","",_xlfn.LET(_xlpm.t,MATCH($B144,'[1]Territory Definitions'!$B$5:$B$14,0),IF(ISNA(_xlpm.t),"NO TERRITORY",IF(INDEX('[1]Territory Definitions'!$D$5:$M$14,_xlpm.t,MATCH(G$4,'[1]Territory Definitions'!$D$4:$M$4,0))&lt;&gt;1,"NOT IN TERRITORY",IF(COUNTIFS('[1]Blackout Brand Fam Areas (Enc)'!$B$6:$B$998,$A144,'[1]Blackout Brand Fam Areas (Enc)'!$C$6:$C$998,G$4,'[1]Blackout Brand Fam Areas (Enc)'!$D$6:$D$998,"Inactive")&gt;0,"BLOCKED","CAN SELL")))))</f>
        <v>NOT IN TERRITORY</v>
      </c>
      <c r="H144" s="11" t="str">
        <f>IF($A144="","",_xlfn.LET(_xlpm.t,MATCH($B144,'[1]Territory Definitions'!$B$5:$B$14,0),IF(ISNA(_xlpm.t),"NO TERRITORY",IF(INDEX('[1]Territory Definitions'!$D$5:$M$14,_xlpm.t,MATCH(H$4,'[1]Territory Definitions'!$D$4:$M$4,0))&lt;&gt;1,"NOT IN TERRITORY",IF(COUNTIFS('[1]Blackout Brand Fam Areas (Enc)'!$B$6:$B$998,$A144,'[1]Blackout Brand Fam Areas (Enc)'!$C$6:$C$998,H$4,'[1]Blackout Brand Fam Areas (Enc)'!$D$6:$D$998,"Inactive")&gt;0,"BLOCKED","CAN SELL")))))</f>
        <v>NOT IN TERRITORY</v>
      </c>
      <c r="I144" s="11" t="str">
        <f>IF($A144="","",_xlfn.LET(_xlpm.t,MATCH($B144,'[1]Territory Definitions'!$B$5:$B$14,0),IF(ISNA(_xlpm.t),"NO TERRITORY",IF(INDEX('[1]Territory Definitions'!$D$5:$M$14,_xlpm.t,MATCH(I$4,'[1]Territory Definitions'!$D$4:$M$4,0))&lt;&gt;1,"NOT IN TERRITORY",IF(COUNTIFS('[1]Blackout Brand Fam Areas (Enc)'!$B$6:$B$998,$A144,'[1]Blackout Brand Fam Areas (Enc)'!$C$6:$C$998,I$4,'[1]Blackout Brand Fam Areas (Enc)'!$D$6:$D$998,"Inactive")&gt;0,"BLOCKED","CAN SELL")))))</f>
        <v>CAN SELL</v>
      </c>
      <c r="J144" s="11" t="str">
        <f>IF($A144="","",_xlfn.LET(_xlpm.t,MATCH($B144,'[1]Territory Definitions'!$B$5:$B$14,0),IF(ISNA(_xlpm.t),"NO TERRITORY",IF(INDEX('[1]Territory Definitions'!$D$5:$M$14,_xlpm.t,MATCH(J$4,'[1]Territory Definitions'!$D$4:$M$4,0))&lt;&gt;1,"NOT IN TERRITORY",IF(COUNTIFS('[1]Blackout Brand Fam Areas (Enc)'!$B$6:$B$998,$A144,'[1]Blackout Brand Fam Areas (Enc)'!$C$6:$C$998,J$4,'[1]Blackout Brand Fam Areas (Enc)'!$D$6:$D$998,"Inactive")&gt;0,"BLOCKED","CAN SELL")))))</f>
        <v>CAN SELL</v>
      </c>
      <c r="K144" s="11" t="str">
        <f>IF($A144="","",_xlfn.LET(_xlpm.t,MATCH($B144,'[1]Territory Definitions'!$B$5:$B$14,0),IF(ISNA(_xlpm.t),"NO TERRITORY",IF(INDEX('[1]Territory Definitions'!$D$5:$M$14,_xlpm.t,MATCH(K$4,'[1]Territory Definitions'!$D$4:$M$4,0))&lt;&gt;1,"NOT IN TERRITORY",IF(COUNTIFS('[1]Blackout Brand Fam Areas (Enc)'!$B$6:$B$998,$A144,'[1]Blackout Brand Fam Areas (Enc)'!$C$6:$C$998,K$4,'[1]Blackout Brand Fam Areas (Enc)'!$D$6:$D$998,"Inactive")&gt;0,"BLOCKED","CAN SELL")))))</f>
        <v>NOT IN TERRITORY</v>
      </c>
      <c r="L144" s="11" t="str">
        <f>IF($A144="","",_xlfn.LET(_xlpm.t,MATCH($B144,'[1]Territory Definitions'!$B$5:$B$14,0),IF(ISNA(_xlpm.t),"NO TERRITORY",IF(INDEX('[1]Territory Definitions'!$D$5:$M$14,_xlpm.t,MATCH(L$4,'[1]Territory Definitions'!$D$4:$M$4,0))&lt;&gt;1,"NOT IN TERRITORY",IF(COUNTIFS('[1]Blackout Brand Fam Areas (Enc)'!$B$6:$B$998,$A144,'[1]Blackout Brand Fam Areas (Enc)'!$C$6:$C$998,L$4,'[1]Blackout Brand Fam Areas (Enc)'!$D$6:$D$998,"Inactive")&gt;0,"BLOCKED","CAN SELL")))))</f>
        <v>CAN SELL</v>
      </c>
      <c r="M144" s="12">
        <f>IF($A144="","",COUNTIF($C144:$L144,"CAN SELL"))</f>
        <v>6</v>
      </c>
      <c r="N144" s="13" cm="1">
        <f t="array" ref="N144">IF($A144="","",SUMPRODUCT(($C144:$L144="CAN SELL")*$C$3:$L$3))</f>
        <v>1596</v>
      </c>
      <c r="O144" s="14" t="str">
        <f>IF($A144="","",IF(COUNTIF($A$5:$A$299,$A144)&gt;1,"DUPLICATE - two different territories assigned",IF($B144="** NO TERRITORY SET **","No territory on Brand Family Territory (Enc)","")))</f>
        <v/>
      </c>
      <c r="P144" s="18" t="str">
        <f>IF($A144="","",IFERROR(INDEX([1]Products!$H$4:$H$4801,MATCH($A144,[1]Products!$G$4:$G$4801,0)),"(no products)"))</f>
        <v>HOP WTR</v>
      </c>
      <c r="Q144" s="19">
        <f>IF($A144="","",COUNTIFS([1]Products!$G$4:$G$4801,$A144,[1]Products!$L$4:$L$4801,"Yes"))</f>
        <v>10</v>
      </c>
      <c r="R144" s="19">
        <f>IF($A144="","",COUNTIFS([1]Products!$G$4:$G$4801,$A144,[1]Products!$L$4:$L$4801,"Yes",[1]Products!$K$4:$K$4801,"Draft"))</f>
        <v>0</v>
      </c>
      <c r="S144" s="19">
        <f>IF($A144="","",COUNTIFS([1]Products!$G$4:$G$4801,$A144,[1]Products!$L$4:$L$4801,"Yes",[1]Products!$K$4:$K$4801,"Package"))</f>
        <v>10</v>
      </c>
      <c r="T144" s="20" t="str" cm="1">
        <f t="array" ref="T144">IF($A144="","",_xlfn.IFS($Q144=0,"NO ACTIVE SKUs",AND($R144&gt;0,$S144&gt;0),"Draft &amp; Package",$R144&gt;0,"Draft only",TRUE,"Package only"))</f>
        <v>Package only</v>
      </c>
    </row>
    <row r="145" spans="1:20" x14ac:dyDescent="0.2">
      <c r="A145" s="9" t="str">
        <v>Imperial</v>
      </c>
      <c r="B145" s="10" t="str">
        <f>IF($A145="","",_xlfn.XLOOKUP($A145,'[1]Brand Family Territory (Enc)'!$A:$A,'[1]Brand Family Territory (Enc)'!$B:$B,"** NO TERRITORY SET **"))</f>
        <v>Metro Five County</v>
      </c>
      <c r="C145" s="11" t="str">
        <f>IF($A145="","",_xlfn.LET(_xlpm.t,MATCH($B145,'[1]Territory Definitions'!$B$5:$B$14,0),IF(ISNA(_xlpm.t),"NO TERRITORY",IF(INDEX('[1]Territory Definitions'!$D$5:$M$14,_xlpm.t,MATCH(C$4,'[1]Territory Definitions'!$D$4:$M$4,0))&lt;&gt;1,"NOT IN TERRITORY",IF(COUNTIFS('[1]Blackout Brand Fam Areas (Enc)'!$B$6:$B$998,$A145,'[1]Blackout Brand Fam Areas (Enc)'!$C$6:$C$998,C$4,'[1]Blackout Brand Fam Areas (Enc)'!$D$6:$D$998,"Inactive")&gt;0,"BLOCKED","CAN SELL")))))</f>
        <v>CAN SELL</v>
      </c>
      <c r="D145" s="11" t="str">
        <f>IF($A145="","",_xlfn.LET(_xlpm.t,MATCH($B145,'[1]Territory Definitions'!$B$5:$B$14,0),IF(ISNA(_xlpm.t),"NO TERRITORY",IF(INDEX('[1]Territory Definitions'!$D$5:$M$14,_xlpm.t,MATCH(D$4,'[1]Territory Definitions'!$D$4:$M$4,0))&lt;&gt;1,"NOT IN TERRITORY",IF(COUNTIFS('[1]Blackout Brand Fam Areas (Enc)'!$B$6:$B$998,$A145,'[1]Blackout Brand Fam Areas (Enc)'!$C$6:$C$998,D$4,'[1]Blackout Brand Fam Areas (Enc)'!$D$6:$D$998,"Inactive")&gt;0,"BLOCKED","CAN SELL")))))</f>
        <v>CAN SELL</v>
      </c>
      <c r="E145" s="11" t="str">
        <f>IF($A145="","",_xlfn.LET(_xlpm.t,MATCH($B145,'[1]Territory Definitions'!$B$5:$B$14,0),IF(ISNA(_xlpm.t),"NO TERRITORY",IF(INDEX('[1]Territory Definitions'!$D$5:$M$14,_xlpm.t,MATCH(E$4,'[1]Territory Definitions'!$D$4:$M$4,0))&lt;&gt;1,"NOT IN TERRITORY",IF(COUNTIFS('[1]Blackout Brand Fam Areas (Enc)'!$B$6:$B$998,$A145,'[1]Blackout Brand Fam Areas (Enc)'!$C$6:$C$998,E$4,'[1]Blackout Brand Fam Areas (Enc)'!$D$6:$D$998,"Inactive")&gt;0,"BLOCKED","CAN SELL")))))</f>
        <v>CAN SELL</v>
      </c>
      <c r="F145" s="11" t="str">
        <f>IF($A145="","",_xlfn.LET(_xlpm.t,MATCH($B145,'[1]Territory Definitions'!$B$5:$B$14,0),IF(ISNA(_xlpm.t),"NO TERRITORY",IF(INDEX('[1]Territory Definitions'!$D$5:$M$14,_xlpm.t,MATCH(F$4,'[1]Territory Definitions'!$D$4:$M$4,0))&lt;&gt;1,"NOT IN TERRITORY",IF(COUNTIFS('[1]Blackout Brand Fam Areas (Enc)'!$B$6:$B$998,$A145,'[1]Blackout Brand Fam Areas (Enc)'!$C$6:$C$998,F$4,'[1]Blackout Brand Fam Areas (Enc)'!$D$6:$D$998,"Inactive")&gt;0,"BLOCKED","CAN SELL")))))</f>
        <v>CAN SELL</v>
      </c>
      <c r="G145" s="11" t="str">
        <f>IF($A145="","",_xlfn.LET(_xlpm.t,MATCH($B145,'[1]Territory Definitions'!$B$5:$B$14,0),IF(ISNA(_xlpm.t),"NO TERRITORY",IF(INDEX('[1]Territory Definitions'!$D$5:$M$14,_xlpm.t,MATCH(G$4,'[1]Territory Definitions'!$D$4:$M$4,0))&lt;&gt;1,"NOT IN TERRITORY",IF(COUNTIFS('[1]Blackout Brand Fam Areas (Enc)'!$B$6:$B$998,$A145,'[1]Blackout Brand Fam Areas (Enc)'!$C$6:$C$998,G$4,'[1]Blackout Brand Fam Areas (Enc)'!$D$6:$D$998,"Inactive")&gt;0,"BLOCKED","CAN SELL")))))</f>
        <v>CAN SELL</v>
      </c>
      <c r="H145" s="11" t="str">
        <f>IF($A145="","",_xlfn.LET(_xlpm.t,MATCH($B145,'[1]Territory Definitions'!$B$5:$B$14,0),IF(ISNA(_xlpm.t),"NO TERRITORY",IF(INDEX('[1]Territory Definitions'!$D$5:$M$14,_xlpm.t,MATCH(H$4,'[1]Territory Definitions'!$D$4:$M$4,0))&lt;&gt;1,"NOT IN TERRITORY",IF(COUNTIFS('[1]Blackout Brand Fam Areas (Enc)'!$B$6:$B$998,$A145,'[1]Blackout Brand Fam Areas (Enc)'!$C$6:$C$998,H$4,'[1]Blackout Brand Fam Areas (Enc)'!$D$6:$D$998,"Inactive")&gt;0,"BLOCKED","CAN SELL")))))</f>
        <v>CAN SELL</v>
      </c>
      <c r="I145" s="11" t="str">
        <f>IF($A145="","",_xlfn.LET(_xlpm.t,MATCH($B145,'[1]Territory Definitions'!$B$5:$B$14,0),IF(ISNA(_xlpm.t),"NO TERRITORY",IF(INDEX('[1]Territory Definitions'!$D$5:$M$14,_xlpm.t,MATCH(I$4,'[1]Territory Definitions'!$D$4:$M$4,0))&lt;&gt;1,"NOT IN TERRITORY",IF(COUNTIFS('[1]Blackout Brand Fam Areas (Enc)'!$B$6:$B$998,$A145,'[1]Blackout Brand Fam Areas (Enc)'!$C$6:$C$998,I$4,'[1]Blackout Brand Fam Areas (Enc)'!$D$6:$D$998,"Inactive")&gt;0,"BLOCKED","CAN SELL")))))</f>
        <v>NOT IN TERRITORY</v>
      </c>
      <c r="J145" s="11" t="str">
        <f>IF($A145="","",_xlfn.LET(_xlpm.t,MATCH($B145,'[1]Territory Definitions'!$B$5:$B$14,0),IF(ISNA(_xlpm.t),"NO TERRITORY",IF(INDEX('[1]Territory Definitions'!$D$5:$M$14,_xlpm.t,MATCH(J$4,'[1]Territory Definitions'!$D$4:$M$4,0))&lt;&gt;1,"NOT IN TERRITORY",IF(COUNTIFS('[1]Blackout Brand Fam Areas (Enc)'!$B$6:$B$998,$A145,'[1]Blackout Brand Fam Areas (Enc)'!$C$6:$C$998,J$4,'[1]Blackout Brand Fam Areas (Enc)'!$D$6:$D$998,"Inactive")&gt;0,"BLOCKED","CAN SELL")))))</f>
        <v>NOT IN TERRITORY</v>
      </c>
      <c r="K145" s="11" t="str">
        <f>IF($A145="","",_xlfn.LET(_xlpm.t,MATCH($B145,'[1]Territory Definitions'!$B$5:$B$14,0),IF(ISNA(_xlpm.t),"NO TERRITORY",IF(INDEX('[1]Territory Definitions'!$D$5:$M$14,_xlpm.t,MATCH(K$4,'[1]Territory Definitions'!$D$4:$M$4,0))&lt;&gt;1,"NOT IN TERRITORY",IF(COUNTIFS('[1]Blackout Brand Fam Areas (Enc)'!$B$6:$B$998,$A145,'[1]Blackout Brand Fam Areas (Enc)'!$C$6:$C$998,K$4,'[1]Blackout Brand Fam Areas (Enc)'!$D$6:$D$998,"Inactive")&gt;0,"BLOCKED","CAN SELL")))))</f>
        <v>NOT IN TERRITORY</v>
      </c>
      <c r="L145" s="11" t="str">
        <f>IF($A145="","",_xlfn.LET(_xlpm.t,MATCH($B145,'[1]Territory Definitions'!$B$5:$B$14,0),IF(ISNA(_xlpm.t),"NO TERRITORY",IF(INDEX('[1]Territory Definitions'!$D$5:$M$14,_xlpm.t,MATCH(L$4,'[1]Territory Definitions'!$D$4:$M$4,0))&lt;&gt;1,"NOT IN TERRITORY",IF(COUNTIFS('[1]Blackout Brand Fam Areas (Enc)'!$B$6:$B$998,$A145,'[1]Blackout Brand Fam Areas (Enc)'!$C$6:$C$998,L$4,'[1]Blackout Brand Fam Areas (Enc)'!$D$6:$D$998,"Inactive")&gt;0,"BLOCKED","CAN SELL")))))</f>
        <v>NOT IN TERRITORY</v>
      </c>
      <c r="M145" s="12">
        <f>IF($A145="","",COUNTIF($C145:$L145,"CAN SELL"))</f>
        <v>6</v>
      </c>
      <c r="N145" s="13" cm="1">
        <f t="array" ref="N145">IF($A145="","",SUMPRODUCT(($C145:$L145="CAN SELL")*$C$3:$L$3))</f>
        <v>1992</v>
      </c>
      <c r="O145" s="14" t="str">
        <f>IF($A145="","",IF(COUNTIF($A$5:$A$299,$A145)&gt;1,"DUPLICATE - two different territories assigned",IF($B145="** NO TERRITORY SET **","No territory on Brand Family Territory (Enc)","")))</f>
        <v/>
      </c>
      <c r="P145" s="18" t="str">
        <f>IF($A145="","",IFERROR(INDEX([1]Products!$H$4:$H$4801,MATCH($A145,[1]Products!$G$4:$G$4801,0)),"(no products)"))</f>
        <v>FIFCO</v>
      </c>
      <c r="Q145" s="19">
        <f>IF($A145="","",COUNTIFS([1]Products!$G$4:$G$4801,$A145,[1]Products!$L$4:$L$4801,"Yes"))</f>
        <v>2</v>
      </c>
      <c r="R145" s="19">
        <f>IF($A145="","",COUNTIFS([1]Products!$G$4:$G$4801,$A145,[1]Products!$L$4:$L$4801,"Yes",[1]Products!$K$4:$K$4801,"Draft"))</f>
        <v>0</v>
      </c>
      <c r="S145" s="19">
        <f>IF($A145="","",COUNTIFS([1]Products!$G$4:$G$4801,$A145,[1]Products!$L$4:$L$4801,"Yes",[1]Products!$K$4:$K$4801,"Package"))</f>
        <v>2</v>
      </c>
      <c r="T145" s="20" t="str" cm="1">
        <f t="array" ref="T145">IF($A145="","",_xlfn.IFS($Q145=0,"NO ACTIVE SKUs",AND($R145&gt;0,$S145&gt;0),"Draft &amp; Package",$R145&gt;0,"Draft only",TRUE,"Package only"))</f>
        <v>Package only</v>
      </c>
    </row>
    <row r="146" spans="1:20" x14ac:dyDescent="0.2">
      <c r="A146" s="9" t="str">
        <v>Ithaca</v>
      </c>
      <c r="B146" s="10" t="str">
        <f>IF($A146="","",_xlfn.XLOOKUP($A146,'[1]Brand Family Territory (Enc)'!$A:$A,'[1]Brand Family Territory (Enc)'!$B:$B,"** NO TERRITORY SET **"))</f>
        <v>Bergen/Passaic/Hudson/Essex</v>
      </c>
      <c r="C146" s="11" t="str">
        <f>IF($A146="","",_xlfn.LET(_xlpm.t,MATCH($B146,'[1]Territory Definitions'!$B$5:$B$14,0),IF(ISNA(_xlpm.t),"NO TERRITORY",IF(INDEX('[1]Territory Definitions'!$D$5:$M$14,_xlpm.t,MATCH(C$4,'[1]Territory Definitions'!$D$4:$M$4,0))&lt;&gt;1,"NOT IN TERRITORY",IF(COUNTIFS('[1]Blackout Brand Fam Areas (Enc)'!$B$6:$B$998,$A146,'[1]Blackout Brand Fam Areas (Enc)'!$C$6:$C$998,C$4,'[1]Blackout Brand Fam Areas (Enc)'!$D$6:$D$998,"Inactive")&gt;0,"BLOCKED","CAN SELL")))))</f>
        <v>CAN SELL</v>
      </c>
      <c r="D146" s="11" t="str">
        <f>IF($A146="","",_xlfn.LET(_xlpm.t,MATCH($B146,'[1]Territory Definitions'!$B$5:$B$14,0),IF(ISNA(_xlpm.t),"NO TERRITORY",IF(INDEX('[1]Territory Definitions'!$D$5:$M$14,_xlpm.t,MATCH(D$4,'[1]Territory Definitions'!$D$4:$M$4,0))&lt;&gt;1,"NOT IN TERRITORY",IF(COUNTIFS('[1]Blackout Brand Fam Areas (Enc)'!$B$6:$B$998,$A146,'[1]Blackout Brand Fam Areas (Enc)'!$C$6:$C$998,D$4,'[1]Blackout Brand Fam Areas (Enc)'!$D$6:$D$998,"Inactive")&gt;0,"BLOCKED","CAN SELL")))))</f>
        <v>CAN SELL</v>
      </c>
      <c r="E146" s="11" t="str">
        <f>IF($A146="","",_xlfn.LET(_xlpm.t,MATCH($B146,'[1]Territory Definitions'!$B$5:$B$14,0),IF(ISNA(_xlpm.t),"NO TERRITORY",IF(INDEX('[1]Territory Definitions'!$D$5:$M$14,_xlpm.t,MATCH(E$4,'[1]Territory Definitions'!$D$4:$M$4,0))&lt;&gt;1,"NOT IN TERRITORY",IF(COUNTIFS('[1]Blackout Brand Fam Areas (Enc)'!$B$6:$B$998,$A146,'[1]Blackout Brand Fam Areas (Enc)'!$C$6:$C$998,E$4,'[1]Blackout Brand Fam Areas (Enc)'!$D$6:$D$998,"Inactive")&gt;0,"BLOCKED","CAN SELL")))))</f>
        <v>CAN SELL</v>
      </c>
      <c r="F146" s="11" t="str">
        <f>IF($A146="","",_xlfn.LET(_xlpm.t,MATCH($B146,'[1]Territory Definitions'!$B$5:$B$14,0),IF(ISNA(_xlpm.t),"NO TERRITORY",IF(INDEX('[1]Territory Definitions'!$D$5:$M$14,_xlpm.t,MATCH(F$4,'[1]Territory Definitions'!$D$4:$M$4,0))&lt;&gt;1,"NOT IN TERRITORY",IF(COUNTIFS('[1]Blackout Brand Fam Areas (Enc)'!$B$6:$B$998,$A146,'[1]Blackout Brand Fam Areas (Enc)'!$C$6:$C$998,F$4,'[1]Blackout Brand Fam Areas (Enc)'!$D$6:$D$998,"Inactive")&gt;0,"BLOCKED","CAN SELL")))))</f>
        <v>CAN SELL</v>
      </c>
      <c r="G146" s="11" t="str">
        <f>IF($A146="","",_xlfn.LET(_xlpm.t,MATCH($B146,'[1]Territory Definitions'!$B$5:$B$14,0),IF(ISNA(_xlpm.t),"NO TERRITORY",IF(INDEX('[1]Territory Definitions'!$D$5:$M$14,_xlpm.t,MATCH(G$4,'[1]Territory Definitions'!$D$4:$M$4,0))&lt;&gt;1,"NOT IN TERRITORY",IF(COUNTIFS('[1]Blackout Brand Fam Areas (Enc)'!$B$6:$B$998,$A146,'[1]Blackout Brand Fam Areas (Enc)'!$C$6:$C$998,G$4,'[1]Blackout Brand Fam Areas (Enc)'!$D$6:$D$998,"Inactive")&gt;0,"BLOCKED","CAN SELL")))))</f>
        <v>CAN SELL</v>
      </c>
      <c r="H146" s="11" t="str">
        <f>IF($A146="","",_xlfn.LET(_xlpm.t,MATCH($B146,'[1]Territory Definitions'!$B$5:$B$14,0),IF(ISNA(_xlpm.t),"NO TERRITORY",IF(INDEX('[1]Territory Definitions'!$D$5:$M$14,_xlpm.t,MATCH(H$4,'[1]Territory Definitions'!$D$4:$M$4,0))&lt;&gt;1,"NOT IN TERRITORY",IF(COUNTIFS('[1]Blackout Brand Fam Areas (Enc)'!$B$6:$B$998,$A146,'[1]Blackout Brand Fam Areas (Enc)'!$C$6:$C$998,H$4,'[1]Blackout Brand Fam Areas (Enc)'!$D$6:$D$998,"Inactive")&gt;0,"BLOCKED","CAN SELL")))))</f>
        <v>NOT IN TERRITORY</v>
      </c>
      <c r="I146" s="11" t="str">
        <f>IF($A146="","",_xlfn.LET(_xlpm.t,MATCH($B146,'[1]Territory Definitions'!$B$5:$B$14,0),IF(ISNA(_xlpm.t),"NO TERRITORY",IF(INDEX('[1]Territory Definitions'!$D$5:$M$14,_xlpm.t,MATCH(I$4,'[1]Territory Definitions'!$D$4:$M$4,0))&lt;&gt;1,"NOT IN TERRITORY",IF(COUNTIFS('[1]Blackout Brand Fam Areas (Enc)'!$B$6:$B$998,$A146,'[1]Blackout Brand Fam Areas (Enc)'!$C$6:$C$998,I$4,'[1]Blackout Brand Fam Areas (Enc)'!$D$6:$D$998,"Inactive")&gt;0,"BLOCKED","CAN SELL")))))</f>
        <v>NOT IN TERRITORY</v>
      </c>
      <c r="J146" s="11" t="str">
        <f>IF($A146="","",_xlfn.LET(_xlpm.t,MATCH($B146,'[1]Territory Definitions'!$B$5:$B$14,0),IF(ISNA(_xlpm.t),"NO TERRITORY",IF(INDEX('[1]Territory Definitions'!$D$5:$M$14,_xlpm.t,MATCH(J$4,'[1]Territory Definitions'!$D$4:$M$4,0))&lt;&gt;1,"NOT IN TERRITORY",IF(COUNTIFS('[1]Blackout Brand Fam Areas (Enc)'!$B$6:$B$998,$A146,'[1]Blackout Brand Fam Areas (Enc)'!$C$6:$C$998,J$4,'[1]Blackout Brand Fam Areas (Enc)'!$D$6:$D$998,"Inactive")&gt;0,"BLOCKED","CAN SELL")))))</f>
        <v>NOT IN TERRITORY</v>
      </c>
      <c r="K146" s="11" t="str">
        <f>IF($A146="","",_xlfn.LET(_xlpm.t,MATCH($B146,'[1]Territory Definitions'!$B$5:$B$14,0),IF(ISNA(_xlpm.t),"NO TERRITORY",IF(INDEX('[1]Territory Definitions'!$D$5:$M$14,_xlpm.t,MATCH(K$4,'[1]Territory Definitions'!$D$4:$M$4,0))&lt;&gt;1,"NOT IN TERRITORY",IF(COUNTIFS('[1]Blackout Brand Fam Areas (Enc)'!$B$6:$B$998,$A146,'[1]Blackout Brand Fam Areas (Enc)'!$C$6:$C$998,K$4,'[1]Blackout Brand Fam Areas (Enc)'!$D$6:$D$998,"Inactive")&gt;0,"BLOCKED","CAN SELL")))))</f>
        <v>NOT IN TERRITORY</v>
      </c>
      <c r="L146" s="11" t="str">
        <f>IF($A146="","",_xlfn.LET(_xlpm.t,MATCH($B146,'[1]Territory Definitions'!$B$5:$B$14,0),IF(ISNA(_xlpm.t),"NO TERRITORY",IF(INDEX('[1]Territory Definitions'!$D$5:$M$14,_xlpm.t,MATCH(L$4,'[1]Territory Definitions'!$D$4:$M$4,0))&lt;&gt;1,"NOT IN TERRITORY",IF(COUNTIFS('[1]Blackout Brand Fam Areas (Enc)'!$B$6:$B$998,$A146,'[1]Blackout Brand Fam Areas (Enc)'!$C$6:$C$998,L$4,'[1]Blackout Brand Fam Areas (Enc)'!$D$6:$D$998,"Inactive")&gt;0,"BLOCKED","CAN SELL")))))</f>
        <v>NOT IN TERRITORY</v>
      </c>
      <c r="M146" s="12">
        <f>IF($A146="","",COUNTIF($C146:$L146,"CAN SELL"))</f>
        <v>5</v>
      </c>
      <c r="N146" s="13" cm="1">
        <f t="array" ref="N146">IF($A146="","",SUMPRODUCT(($C146:$L146="CAN SELL")*$C$3:$L$3))</f>
        <v>1859</v>
      </c>
      <c r="O146" s="14" t="str">
        <f>IF($A146="","",IF(COUNTIF($A$5:$A$299,$A146)&gt;1,"DUPLICATE - two different territories assigned",IF($B146="** NO TERRITORY SET **","No territory on Brand Family Territory (Enc)","")))</f>
        <v/>
      </c>
      <c r="P146" s="18" t="str">
        <f>IF($A146="","",IFERROR(INDEX([1]Products!$H$4:$H$4801,MATCH($A146,[1]Products!$G$4:$G$4801,0)),"(no products)"))</f>
        <v>Ithaca</v>
      </c>
      <c r="Q146" s="19">
        <f>IF($A146="","",COUNTIFS([1]Products!$G$4:$G$4801,$A146,[1]Products!$L$4:$L$4801,"Yes"))</f>
        <v>8</v>
      </c>
      <c r="R146" s="19">
        <f>IF($A146="","",COUNTIFS([1]Products!$G$4:$G$4801,$A146,[1]Products!$L$4:$L$4801,"Yes",[1]Products!$K$4:$K$4801,"Draft"))</f>
        <v>4</v>
      </c>
      <c r="S146" s="19">
        <f>IF($A146="","",COUNTIFS([1]Products!$G$4:$G$4801,$A146,[1]Products!$L$4:$L$4801,"Yes",[1]Products!$K$4:$K$4801,"Package"))</f>
        <v>4</v>
      </c>
      <c r="T146" s="20" t="str" cm="1">
        <f t="array" ref="T146">IF($A146="","",_xlfn.IFS($Q146=0,"NO ACTIVE SKUs",AND($R146&gt;0,$S146&gt;0),"Draft &amp; Package",$R146&gt;0,"Draft only",TRUE,"Package only"))</f>
        <v>Draft &amp; Package</v>
      </c>
    </row>
    <row r="147" spans="1:20" x14ac:dyDescent="0.2">
      <c r="A147" s="9" t="str">
        <v>Jack Daniels Country Cocktails</v>
      </c>
      <c r="B147" s="10" t="str">
        <f>IF($A147="","",_xlfn.XLOOKUP($A147,'[1]Brand Family Territory (Enc)'!$A:$A,'[1]Brand Family Territory (Enc)'!$B:$B,"** NO TERRITORY SET **"))</f>
        <v>All Counties</v>
      </c>
      <c r="C147" s="11" t="str">
        <f>IF($A147="","",_xlfn.LET(_xlpm.t,MATCH($B147,'[1]Territory Definitions'!$B$5:$B$14,0),IF(ISNA(_xlpm.t),"NO TERRITORY",IF(INDEX('[1]Territory Definitions'!$D$5:$M$14,_xlpm.t,MATCH(C$4,'[1]Territory Definitions'!$D$4:$M$4,0))&lt;&gt;1,"NOT IN TERRITORY",IF(COUNTIFS('[1]Blackout Brand Fam Areas (Enc)'!$B$6:$B$998,$A147,'[1]Blackout Brand Fam Areas (Enc)'!$C$6:$C$998,C$4,'[1]Blackout Brand Fam Areas (Enc)'!$D$6:$D$998,"Inactive")&gt;0,"BLOCKED","CAN SELL")))))</f>
        <v>CAN SELL</v>
      </c>
      <c r="D147" s="11" t="str">
        <f>IF($A147="","",_xlfn.LET(_xlpm.t,MATCH($B147,'[1]Territory Definitions'!$B$5:$B$14,0),IF(ISNA(_xlpm.t),"NO TERRITORY",IF(INDEX('[1]Territory Definitions'!$D$5:$M$14,_xlpm.t,MATCH(D$4,'[1]Territory Definitions'!$D$4:$M$4,0))&lt;&gt;1,"NOT IN TERRITORY",IF(COUNTIFS('[1]Blackout Brand Fam Areas (Enc)'!$B$6:$B$998,$A147,'[1]Blackout Brand Fam Areas (Enc)'!$C$6:$C$998,D$4,'[1]Blackout Brand Fam Areas (Enc)'!$D$6:$D$998,"Inactive")&gt;0,"BLOCKED","CAN SELL")))))</f>
        <v>CAN SELL</v>
      </c>
      <c r="E147" s="11" t="str">
        <f>IF($A147="","",_xlfn.LET(_xlpm.t,MATCH($B147,'[1]Territory Definitions'!$B$5:$B$14,0),IF(ISNA(_xlpm.t),"NO TERRITORY",IF(INDEX('[1]Territory Definitions'!$D$5:$M$14,_xlpm.t,MATCH(E$4,'[1]Territory Definitions'!$D$4:$M$4,0))&lt;&gt;1,"NOT IN TERRITORY",IF(COUNTIFS('[1]Blackout Brand Fam Areas (Enc)'!$B$6:$B$998,$A147,'[1]Blackout Brand Fam Areas (Enc)'!$C$6:$C$998,E$4,'[1]Blackout Brand Fam Areas (Enc)'!$D$6:$D$998,"Inactive")&gt;0,"BLOCKED","CAN SELL")))))</f>
        <v>CAN SELL</v>
      </c>
      <c r="F147" s="11" t="str">
        <f>IF($A147="","",_xlfn.LET(_xlpm.t,MATCH($B147,'[1]Territory Definitions'!$B$5:$B$14,0),IF(ISNA(_xlpm.t),"NO TERRITORY",IF(INDEX('[1]Territory Definitions'!$D$5:$M$14,_xlpm.t,MATCH(F$4,'[1]Territory Definitions'!$D$4:$M$4,0))&lt;&gt;1,"NOT IN TERRITORY",IF(COUNTIFS('[1]Blackout Brand Fam Areas (Enc)'!$B$6:$B$998,$A147,'[1]Blackout Brand Fam Areas (Enc)'!$C$6:$C$998,F$4,'[1]Blackout Brand Fam Areas (Enc)'!$D$6:$D$998,"Inactive")&gt;0,"BLOCKED","CAN SELL")))))</f>
        <v>CAN SELL</v>
      </c>
      <c r="G147" s="11" t="str">
        <f>IF($A147="","",_xlfn.LET(_xlpm.t,MATCH($B147,'[1]Territory Definitions'!$B$5:$B$14,0),IF(ISNA(_xlpm.t),"NO TERRITORY",IF(INDEX('[1]Territory Definitions'!$D$5:$M$14,_xlpm.t,MATCH(G$4,'[1]Territory Definitions'!$D$4:$M$4,0))&lt;&gt;1,"NOT IN TERRITORY",IF(COUNTIFS('[1]Blackout Brand Fam Areas (Enc)'!$B$6:$B$998,$A147,'[1]Blackout Brand Fam Areas (Enc)'!$C$6:$C$998,G$4,'[1]Blackout Brand Fam Areas (Enc)'!$D$6:$D$998,"Inactive")&gt;0,"BLOCKED","CAN SELL")))))</f>
        <v>CAN SELL</v>
      </c>
      <c r="H147" s="11" t="str">
        <f>IF($A147="","",_xlfn.LET(_xlpm.t,MATCH($B147,'[1]Territory Definitions'!$B$5:$B$14,0),IF(ISNA(_xlpm.t),"NO TERRITORY",IF(INDEX('[1]Territory Definitions'!$D$5:$M$14,_xlpm.t,MATCH(H$4,'[1]Territory Definitions'!$D$4:$M$4,0))&lt;&gt;1,"NOT IN TERRITORY",IF(COUNTIFS('[1]Blackout Brand Fam Areas (Enc)'!$B$6:$B$998,$A147,'[1]Blackout Brand Fam Areas (Enc)'!$C$6:$C$998,H$4,'[1]Blackout Brand Fam Areas (Enc)'!$D$6:$D$998,"Inactive")&gt;0,"BLOCKED","CAN SELL")))))</f>
        <v>CAN SELL</v>
      </c>
      <c r="I147" s="11" t="str">
        <f>IF($A147="","",_xlfn.LET(_xlpm.t,MATCH($B147,'[1]Territory Definitions'!$B$5:$B$14,0),IF(ISNA(_xlpm.t),"NO TERRITORY",IF(INDEX('[1]Territory Definitions'!$D$5:$M$14,_xlpm.t,MATCH(I$4,'[1]Territory Definitions'!$D$4:$M$4,0))&lt;&gt;1,"NOT IN TERRITORY",IF(COUNTIFS('[1]Blackout Brand Fam Areas (Enc)'!$B$6:$B$998,$A147,'[1]Blackout Brand Fam Areas (Enc)'!$C$6:$C$998,I$4,'[1]Blackout Brand Fam Areas (Enc)'!$D$6:$D$998,"Inactive")&gt;0,"BLOCKED","CAN SELL")))))</f>
        <v>CAN SELL</v>
      </c>
      <c r="J147" s="11" t="str">
        <f>IF($A147="","",_xlfn.LET(_xlpm.t,MATCH($B147,'[1]Territory Definitions'!$B$5:$B$14,0),IF(ISNA(_xlpm.t),"NO TERRITORY",IF(INDEX('[1]Territory Definitions'!$D$5:$M$14,_xlpm.t,MATCH(J$4,'[1]Territory Definitions'!$D$4:$M$4,0))&lt;&gt;1,"NOT IN TERRITORY",IF(COUNTIFS('[1]Blackout Brand Fam Areas (Enc)'!$B$6:$B$998,$A147,'[1]Blackout Brand Fam Areas (Enc)'!$C$6:$C$998,J$4,'[1]Blackout Brand Fam Areas (Enc)'!$D$6:$D$998,"Inactive")&gt;0,"BLOCKED","CAN SELL")))))</f>
        <v>CAN SELL</v>
      </c>
      <c r="K147" s="11" t="str">
        <f>IF($A147="","",_xlfn.LET(_xlpm.t,MATCH($B147,'[1]Territory Definitions'!$B$5:$B$14,0),IF(ISNA(_xlpm.t),"NO TERRITORY",IF(INDEX('[1]Territory Definitions'!$D$5:$M$14,_xlpm.t,MATCH(K$4,'[1]Territory Definitions'!$D$4:$M$4,0))&lt;&gt;1,"NOT IN TERRITORY",IF(COUNTIFS('[1]Blackout Brand Fam Areas (Enc)'!$B$6:$B$998,$A147,'[1]Blackout Brand Fam Areas (Enc)'!$C$6:$C$998,K$4,'[1]Blackout Brand Fam Areas (Enc)'!$D$6:$D$998,"Inactive")&gt;0,"BLOCKED","CAN SELL")))))</f>
        <v>CAN SELL</v>
      </c>
      <c r="L147" s="11" t="str">
        <f>IF($A147="","",_xlfn.LET(_xlpm.t,MATCH($B147,'[1]Territory Definitions'!$B$5:$B$14,0),IF(ISNA(_xlpm.t),"NO TERRITORY",IF(INDEX('[1]Territory Definitions'!$D$5:$M$14,_xlpm.t,MATCH(L$4,'[1]Territory Definitions'!$D$4:$M$4,0))&lt;&gt;1,"NOT IN TERRITORY",IF(COUNTIFS('[1]Blackout Brand Fam Areas (Enc)'!$B$6:$B$998,$A147,'[1]Blackout Brand Fam Areas (Enc)'!$C$6:$C$998,L$4,'[1]Blackout Brand Fam Areas (Enc)'!$D$6:$D$998,"Inactive")&gt;0,"BLOCKED","CAN SELL")))))</f>
        <v>CAN SELL</v>
      </c>
      <c r="M147" s="12">
        <f>IF($A147="","",COUNTIF($C147:$L147,"CAN SELL"))</f>
        <v>10</v>
      </c>
      <c r="N147" s="13" cm="1">
        <f t="array" ref="N147">IF($A147="","",SUMPRODUCT(($C147:$L147="CAN SELL")*$C$3:$L$3))</f>
        <v>2306</v>
      </c>
      <c r="O147" s="14" t="str">
        <f>IF($A147="","",IF(COUNTIF($A$5:$A$299,$A147)&gt;1,"DUPLICATE - two different territories assigned",IF($B147="** NO TERRITORY SET **","No territory on Brand Family Territory (Enc)","")))</f>
        <v/>
      </c>
      <c r="P147" s="18" t="str">
        <f>IF($A147="","",IFERROR(INDEX([1]Products!$H$4:$H$4801,MATCH($A147,[1]Products!$G$4:$G$4801,0)),"(no products)"))</f>
        <v>Pabst Brewing Company</v>
      </c>
      <c r="Q147" s="19">
        <f>IF($A147="","",COUNTIFS([1]Products!$G$4:$G$4801,$A147,[1]Products!$L$4:$L$4801,"Yes"))</f>
        <v>13</v>
      </c>
      <c r="R147" s="19">
        <f>IF($A147="","",COUNTIFS([1]Products!$G$4:$G$4801,$A147,[1]Products!$L$4:$L$4801,"Yes",[1]Products!$K$4:$K$4801,"Draft"))</f>
        <v>0</v>
      </c>
      <c r="S147" s="19">
        <f>IF($A147="","",COUNTIFS([1]Products!$G$4:$G$4801,$A147,[1]Products!$L$4:$L$4801,"Yes",[1]Products!$K$4:$K$4801,"Package"))</f>
        <v>13</v>
      </c>
      <c r="T147" s="20" t="str" cm="1">
        <f t="array" ref="T147">IF($A147="","",_xlfn.IFS($Q147=0,"NO ACTIVE SKUs",AND($R147&gt;0,$S147&gt;0),"Draft &amp; Package",$R147&gt;0,"Draft only",TRUE,"Package only"))</f>
        <v>Package only</v>
      </c>
    </row>
    <row r="148" spans="1:20" x14ac:dyDescent="0.2">
      <c r="A148" s="9" t="str">
        <v>Jerzey Jungle</v>
      </c>
      <c r="B148" s="10" t="str">
        <f>IF($A148="","",_xlfn.XLOOKUP($A148,'[1]Brand Family Territory (Enc)'!$A:$A,'[1]Brand Family Territory (Enc)'!$B:$B,"** NO TERRITORY SET **"))</f>
        <v>All Counties</v>
      </c>
      <c r="C148" s="11" t="str">
        <f>IF($A148="","",_xlfn.LET(_xlpm.t,MATCH($B148,'[1]Territory Definitions'!$B$5:$B$14,0),IF(ISNA(_xlpm.t),"NO TERRITORY",IF(INDEX('[1]Territory Definitions'!$D$5:$M$14,_xlpm.t,MATCH(C$4,'[1]Territory Definitions'!$D$4:$M$4,0))&lt;&gt;1,"NOT IN TERRITORY",IF(COUNTIFS('[1]Blackout Brand Fam Areas (Enc)'!$B$6:$B$998,$A148,'[1]Blackout Brand Fam Areas (Enc)'!$C$6:$C$998,C$4,'[1]Blackout Brand Fam Areas (Enc)'!$D$6:$D$998,"Inactive")&gt;0,"BLOCKED","CAN SELL")))))</f>
        <v>CAN SELL</v>
      </c>
      <c r="D148" s="11" t="str">
        <f>IF($A148="","",_xlfn.LET(_xlpm.t,MATCH($B148,'[1]Territory Definitions'!$B$5:$B$14,0),IF(ISNA(_xlpm.t),"NO TERRITORY",IF(INDEX('[1]Territory Definitions'!$D$5:$M$14,_xlpm.t,MATCH(D$4,'[1]Territory Definitions'!$D$4:$M$4,0))&lt;&gt;1,"NOT IN TERRITORY",IF(COUNTIFS('[1]Blackout Brand Fam Areas (Enc)'!$B$6:$B$998,$A148,'[1]Blackout Brand Fam Areas (Enc)'!$C$6:$C$998,D$4,'[1]Blackout Brand Fam Areas (Enc)'!$D$6:$D$998,"Inactive")&gt;0,"BLOCKED","CAN SELL")))))</f>
        <v>CAN SELL</v>
      </c>
      <c r="E148" s="11" t="str">
        <f>IF($A148="","",_xlfn.LET(_xlpm.t,MATCH($B148,'[1]Territory Definitions'!$B$5:$B$14,0),IF(ISNA(_xlpm.t),"NO TERRITORY",IF(INDEX('[1]Territory Definitions'!$D$5:$M$14,_xlpm.t,MATCH(E$4,'[1]Territory Definitions'!$D$4:$M$4,0))&lt;&gt;1,"NOT IN TERRITORY",IF(COUNTIFS('[1]Blackout Brand Fam Areas (Enc)'!$B$6:$B$998,$A148,'[1]Blackout Brand Fam Areas (Enc)'!$C$6:$C$998,E$4,'[1]Blackout Brand Fam Areas (Enc)'!$D$6:$D$998,"Inactive")&gt;0,"BLOCKED","CAN SELL")))))</f>
        <v>CAN SELL</v>
      </c>
      <c r="F148" s="11" t="str">
        <f>IF($A148="","",_xlfn.LET(_xlpm.t,MATCH($B148,'[1]Territory Definitions'!$B$5:$B$14,0),IF(ISNA(_xlpm.t),"NO TERRITORY",IF(INDEX('[1]Territory Definitions'!$D$5:$M$14,_xlpm.t,MATCH(F$4,'[1]Territory Definitions'!$D$4:$M$4,0))&lt;&gt;1,"NOT IN TERRITORY",IF(COUNTIFS('[1]Blackout Brand Fam Areas (Enc)'!$B$6:$B$998,$A148,'[1]Blackout Brand Fam Areas (Enc)'!$C$6:$C$998,F$4,'[1]Blackout Brand Fam Areas (Enc)'!$D$6:$D$998,"Inactive")&gt;0,"BLOCKED","CAN SELL")))))</f>
        <v>CAN SELL</v>
      </c>
      <c r="G148" s="11" t="str">
        <f>IF($A148="","",_xlfn.LET(_xlpm.t,MATCH($B148,'[1]Territory Definitions'!$B$5:$B$14,0),IF(ISNA(_xlpm.t),"NO TERRITORY",IF(INDEX('[1]Territory Definitions'!$D$5:$M$14,_xlpm.t,MATCH(G$4,'[1]Territory Definitions'!$D$4:$M$4,0))&lt;&gt;1,"NOT IN TERRITORY",IF(COUNTIFS('[1]Blackout Brand Fam Areas (Enc)'!$B$6:$B$998,$A148,'[1]Blackout Brand Fam Areas (Enc)'!$C$6:$C$998,G$4,'[1]Blackout Brand Fam Areas (Enc)'!$D$6:$D$998,"Inactive")&gt;0,"BLOCKED","CAN SELL")))))</f>
        <v>CAN SELL</v>
      </c>
      <c r="H148" s="11" t="str">
        <f>IF($A148="","",_xlfn.LET(_xlpm.t,MATCH($B148,'[1]Territory Definitions'!$B$5:$B$14,0),IF(ISNA(_xlpm.t),"NO TERRITORY",IF(INDEX('[1]Territory Definitions'!$D$5:$M$14,_xlpm.t,MATCH(H$4,'[1]Territory Definitions'!$D$4:$M$4,0))&lt;&gt;1,"NOT IN TERRITORY",IF(COUNTIFS('[1]Blackout Brand Fam Areas (Enc)'!$B$6:$B$998,$A148,'[1]Blackout Brand Fam Areas (Enc)'!$C$6:$C$998,H$4,'[1]Blackout Brand Fam Areas (Enc)'!$D$6:$D$998,"Inactive")&gt;0,"BLOCKED","CAN SELL")))))</f>
        <v>CAN SELL</v>
      </c>
      <c r="I148" s="11" t="str">
        <f>IF($A148="","",_xlfn.LET(_xlpm.t,MATCH($B148,'[1]Territory Definitions'!$B$5:$B$14,0),IF(ISNA(_xlpm.t),"NO TERRITORY",IF(INDEX('[1]Territory Definitions'!$D$5:$M$14,_xlpm.t,MATCH(I$4,'[1]Territory Definitions'!$D$4:$M$4,0))&lt;&gt;1,"NOT IN TERRITORY",IF(COUNTIFS('[1]Blackout Brand Fam Areas (Enc)'!$B$6:$B$998,$A148,'[1]Blackout Brand Fam Areas (Enc)'!$C$6:$C$998,I$4,'[1]Blackout Brand Fam Areas (Enc)'!$D$6:$D$998,"Inactive")&gt;0,"BLOCKED","CAN SELL")))))</f>
        <v>CAN SELL</v>
      </c>
      <c r="J148" s="11" t="str">
        <f>IF($A148="","",_xlfn.LET(_xlpm.t,MATCH($B148,'[1]Territory Definitions'!$B$5:$B$14,0),IF(ISNA(_xlpm.t),"NO TERRITORY",IF(INDEX('[1]Territory Definitions'!$D$5:$M$14,_xlpm.t,MATCH(J$4,'[1]Territory Definitions'!$D$4:$M$4,0))&lt;&gt;1,"NOT IN TERRITORY",IF(COUNTIFS('[1]Blackout Brand Fam Areas (Enc)'!$B$6:$B$998,$A148,'[1]Blackout Brand Fam Areas (Enc)'!$C$6:$C$998,J$4,'[1]Blackout Brand Fam Areas (Enc)'!$D$6:$D$998,"Inactive")&gt;0,"BLOCKED","CAN SELL")))))</f>
        <v>CAN SELL</v>
      </c>
      <c r="K148" s="11" t="str">
        <f>IF($A148="","",_xlfn.LET(_xlpm.t,MATCH($B148,'[1]Territory Definitions'!$B$5:$B$14,0),IF(ISNA(_xlpm.t),"NO TERRITORY",IF(INDEX('[1]Territory Definitions'!$D$5:$M$14,_xlpm.t,MATCH(K$4,'[1]Territory Definitions'!$D$4:$M$4,0))&lt;&gt;1,"NOT IN TERRITORY",IF(COUNTIFS('[1]Blackout Brand Fam Areas (Enc)'!$B$6:$B$998,$A148,'[1]Blackout Brand Fam Areas (Enc)'!$C$6:$C$998,K$4,'[1]Blackout Brand Fam Areas (Enc)'!$D$6:$D$998,"Inactive")&gt;0,"BLOCKED","CAN SELL")))))</f>
        <v>CAN SELL</v>
      </c>
      <c r="L148" s="11" t="str">
        <f>IF($A148="","",_xlfn.LET(_xlpm.t,MATCH($B148,'[1]Territory Definitions'!$B$5:$B$14,0),IF(ISNA(_xlpm.t),"NO TERRITORY",IF(INDEX('[1]Territory Definitions'!$D$5:$M$14,_xlpm.t,MATCH(L$4,'[1]Territory Definitions'!$D$4:$M$4,0))&lt;&gt;1,"NOT IN TERRITORY",IF(COUNTIFS('[1]Blackout Brand Fam Areas (Enc)'!$B$6:$B$998,$A148,'[1]Blackout Brand Fam Areas (Enc)'!$C$6:$C$998,L$4,'[1]Blackout Brand Fam Areas (Enc)'!$D$6:$D$998,"Inactive")&gt;0,"BLOCKED","CAN SELL")))))</f>
        <v>CAN SELL</v>
      </c>
      <c r="M148" s="12">
        <f>IF($A148="","",COUNTIF($C148:$L148,"CAN SELL"))</f>
        <v>10</v>
      </c>
      <c r="N148" s="13" cm="1">
        <f t="array" ref="N148">IF($A148="","",SUMPRODUCT(($C148:$L148="CAN SELL")*$C$3:$L$3))</f>
        <v>2306</v>
      </c>
      <c r="O148" s="14" t="str">
        <f>IF($A148="","",IF(COUNTIF($A$5:$A$299,$A148)&gt;1,"DUPLICATE - two different territories assigned",IF($B148="** NO TERRITORY SET **","No territory on Brand Family Territory (Enc)","")))</f>
        <v/>
      </c>
      <c r="P148" s="18" t="str">
        <f>IF($A148="","",IFERROR(INDEX([1]Products!$H$4:$H$4801,MATCH($A148,[1]Products!$G$4:$G$4801,0)),"(no products)"))</f>
        <v>Jerzey Jungle LLC</v>
      </c>
      <c r="Q148" s="19">
        <f>IF($A148="","",COUNTIFS([1]Products!$G$4:$G$4801,$A148,[1]Products!$L$4:$L$4801,"Yes"))</f>
        <v>2</v>
      </c>
      <c r="R148" s="19">
        <f>IF($A148="","",COUNTIFS([1]Products!$G$4:$G$4801,$A148,[1]Products!$L$4:$L$4801,"Yes",[1]Products!$K$4:$K$4801,"Draft"))</f>
        <v>0</v>
      </c>
      <c r="S148" s="19">
        <f>IF($A148="","",COUNTIFS([1]Products!$G$4:$G$4801,$A148,[1]Products!$L$4:$L$4801,"Yes",[1]Products!$K$4:$K$4801,"Package"))</f>
        <v>0</v>
      </c>
      <c r="T148" s="20" t="str" cm="1">
        <f t="array" ref="T148">IF($A148="","",_xlfn.IFS($Q148=0,"NO ACTIVE SKUs",AND($R148&gt;0,$S148&gt;0),"Draft &amp; Package",$R148&gt;0,"Draft only",TRUE,"Package only"))</f>
        <v>Package only</v>
      </c>
    </row>
    <row r="149" spans="1:20" x14ac:dyDescent="0.2">
      <c r="A149" s="9" t="str">
        <v>Jim Beam Kentucky</v>
      </c>
      <c r="B149" s="10" t="str">
        <f>IF($A149="","",_xlfn.XLOOKUP($A149,'[1]Brand Family Territory (Enc)'!$A:$A,'[1]Brand Family Territory (Enc)'!$B:$B,"** NO TERRITORY SET **"))</f>
        <v>Core Market</v>
      </c>
      <c r="C149" s="11" t="str">
        <f>IF($A149="","",_xlfn.LET(_xlpm.t,MATCH($B149,'[1]Territory Definitions'!$B$5:$B$14,0),IF(ISNA(_xlpm.t),"NO TERRITORY",IF(INDEX('[1]Territory Definitions'!$D$5:$M$14,_xlpm.t,MATCH(C$4,'[1]Territory Definitions'!$D$4:$M$4,0))&lt;&gt;1,"NOT IN TERRITORY",IF(COUNTIFS('[1]Blackout Brand Fam Areas (Enc)'!$B$6:$B$998,$A149,'[1]Blackout Brand Fam Areas (Enc)'!$C$6:$C$998,C$4,'[1]Blackout Brand Fam Areas (Enc)'!$D$6:$D$998,"Inactive")&gt;0,"BLOCKED","CAN SELL")))))</f>
        <v>CAN SELL</v>
      </c>
      <c r="D149" s="11" t="str">
        <f>IF($A149="","",_xlfn.LET(_xlpm.t,MATCH($B149,'[1]Territory Definitions'!$B$5:$B$14,0),IF(ISNA(_xlpm.t),"NO TERRITORY",IF(INDEX('[1]Territory Definitions'!$D$5:$M$14,_xlpm.t,MATCH(D$4,'[1]Territory Definitions'!$D$4:$M$4,0))&lt;&gt;1,"NOT IN TERRITORY",IF(COUNTIFS('[1]Blackout Brand Fam Areas (Enc)'!$B$6:$B$998,$A149,'[1]Blackout Brand Fam Areas (Enc)'!$C$6:$C$998,D$4,'[1]Blackout Brand Fam Areas (Enc)'!$D$6:$D$998,"Inactive")&gt;0,"BLOCKED","CAN SELL")))))</f>
        <v>CAN SELL</v>
      </c>
      <c r="E149" s="11" t="str">
        <f>IF($A149="","",_xlfn.LET(_xlpm.t,MATCH($B149,'[1]Territory Definitions'!$B$5:$B$14,0),IF(ISNA(_xlpm.t),"NO TERRITORY",IF(INDEX('[1]Territory Definitions'!$D$5:$M$14,_xlpm.t,MATCH(E$4,'[1]Territory Definitions'!$D$4:$M$4,0))&lt;&gt;1,"NOT IN TERRITORY",IF(COUNTIFS('[1]Blackout Brand Fam Areas (Enc)'!$B$6:$B$998,$A149,'[1]Blackout Brand Fam Areas (Enc)'!$C$6:$C$998,E$4,'[1]Blackout Brand Fam Areas (Enc)'!$D$6:$D$998,"Inactive")&gt;0,"BLOCKED","CAN SELL")))))</f>
        <v>CAN SELL</v>
      </c>
      <c r="F149" s="11" t="str">
        <f>IF($A149="","",_xlfn.LET(_xlpm.t,MATCH($B149,'[1]Territory Definitions'!$B$5:$B$14,0),IF(ISNA(_xlpm.t),"NO TERRITORY",IF(INDEX('[1]Territory Definitions'!$D$5:$M$14,_xlpm.t,MATCH(F$4,'[1]Territory Definitions'!$D$4:$M$4,0))&lt;&gt;1,"NOT IN TERRITORY",IF(COUNTIFS('[1]Blackout Brand Fam Areas (Enc)'!$B$6:$B$998,$A149,'[1]Blackout Brand Fam Areas (Enc)'!$C$6:$C$998,F$4,'[1]Blackout Brand Fam Areas (Enc)'!$D$6:$D$998,"Inactive")&gt;0,"BLOCKED","CAN SELL")))))</f>
        <v>NOT IN TERRITORY</v>
      </c>
      <c r="G149" s="11" t="str">
        <f>IF($A149="","",_xlfn.LET(_xlpm.t,MATCH($B149,'[1]Territory Definitions'!$B$5:$B$14,0),IF(ISNA(_xlpm.t),"NO TERRITORY",IF(INDEX('[1]Territory Definitions'!$D$5:$M$14,_xlpm.t,MATCH(G$4,'[1]Territory Definitions'!$D$4:$M$4,0))&lt;&gt;1,"NOT IN TERRITORY",IF(COUNTIFS('[1]Blackout Brand Fam Areas (Enc)'!$B$6:$B$998,$A149,'[1]Blackout Brand Fam Areas (Enc)'!$C$6:$C$998,G$4,'[1]Blackout Brand Fam Areas (Enc)'!$D$6:$D$998,"Inactive")&gt;0,"BLOCKED","CAN SELL")))))</f>
        <v>NOT IN TERRITORY</v>
      </c>
      <c r="H149" s="11" t="str">
        <f>IF($A149="","",_xlfn.LET(_xlpm.t,MATCH($B149,'[1]Territory Definitions'!$B$5:$B$14,0),IF(ISNA(_xlpm.t),"NO TERRITORY",IF(INDEX('[1]Territory Definitions'!$D$5:$M$14,_xlpm.t,MATCH(H$4,'[1]Territory Definitions'!$D$4:$M$4,0))&lt;&gt;1,"NOT IN TERRITORY",IF(COUNTIFS('[1]Blackout Brand Fam Areas (Enc)'!$B$6:$B$998,$A149,'[1]Blackout Brand Fam Areas (Enc)'!$C$6:$C$998,H$4,'[1]Blackout Brand Fam Areas (Enc)'!$D$6:$D$998,"Inactive")&gt;0,"BLOCKED","CAN SELL")))))</f>
        <v>NOT IN TERRITORY</v>
      </c>
      <c r="I149" s="11" t="str">
        <f>IF($A149="","",_xlfn.LET(_xlpm.t,MATCH($B149,'[1]Territory Definitions'!$B$5:$B$14,0),IF(ISNA(_xlpm.t),"NO TERRITORY",IF(INDEX('[1]Territory Definitions'!$D$5:$M$14,_xlpm.t,MATCH(I$4,'[1]Territory Definitions'!$D$4:$M$4,0))&lt;&gt;1,"NOT IN TERRITORY",IF(COUNTIFS('[1]Blackout Brand Fam Areas (Enc)'!$B$6:$B$998,$A149,'[1]Blackout Brand Fam Areas (Enc)'!$C$6:$C$998,I$4,'[1]Blackout Brand Fam Areas (Enc)'!$D$6:$D$998,"Inactive")&gt;0,"BLOCKED","CAN SELL")))))</f>
        <v>CAN SELL</v>
      </c>
      <c r="J149" s="11" t="str">
        <f>IF($A149="","",_xlfn.LET(_xlpm.t,MATCH($B149,'[1]Territory Definitions'!$B$5:$B$14,0),IF(ISNA(_xlpm.t),"NO TERRITORY",IF(INDEX('[1]Territory Definitions'!$D$5:$M$14,_xlpm.t,MATCH(J$4,'[1]Territory Definitions'!$D$4:$M$4,0))&lt;&gt;1,"NOT IN TERRITORY",IF(COUNTIFS('[1]Blackout Brand Fam Areas (Enc)'!$B$6:$B$998,$A149,'[1]Blackout Brand Fam Areas (Enc)'!$C$6:$C$998,J$4,'[1]Blackout Brand Fam Areas (Enc)'!$D$6:$D$998,"Inactive")&gt;0,"BLOCKED","CAN SELL")))))</f>
        <v>CAN SELL</v>
      </c>
      <c r="K149" s="11" t="str">
        <f>IF($A149="","",_xlfn.LET(_xlpm.t,MATCH($B149,'[1]Territory Definitions'!$B$5:$B$14,0),IF(ISNA(_xlpm.t),"NO TERRITORY",IF(INDEX('[1]Territory Definitions'!$D$5:$M$14,_xlpm.t,MATCH(K$4,'[1]Territory Definitions'!$D$4:$M$4,0))&lt;&gt;1,"NOT IN TERRITORY",IF(COUNTIFS('[1]Blackout Brand Fam Areas (Enc)'!$B$6:$B$998,$A149,'[1]Blackout Brand Fam Areas (Enc)'!$C$6:$C$998,K$4,'[1]Blackout Brand Fam Areas (Enc)'!$D$6:$D$998,"Inactive")&gt;0,"BLOCKED","CAN SELL")))))</f>
        <v>NOT IN TERRITORY</v>
      </c>
      <c r="L149" s="11" t="str">
        <f>IF($A149="","",_xlfn.LET(_xlpm.t,MATCH($B149,'[1]Territory Definitions'!$B$5:$B$14,0),IF(ISNA(_xlpm.t),"NO TERRITORY",IF(INDEX('[1]Territory Definitions'!$D$5:$M$14,_xlpm.t,MATCH(L$4,'[1]Territory Definitions'!$D$4:$M$4,0))&lt;&gt;1,"NOT IN TERRITORY",IF(COUNTIFS('[1]Blackout Brand Fam Areas (Enc)'!$B$6:$B$998,$A149,'[1]Blackout Brand Fam Areas (Enc)'!$C$6:$C$998,L$4,'[1]Blackout Brand Fam Areas (Enc)'!$D$6:$D$998,"Inactive")&gt;0,"BLOCKED","CAN SELL")))))</f>
        <v>CAN SELL</v>
      </c>
      <c r="M149" s="12">
        <f>IF($A149="","",COUNTIF($C149:$L149,"CAN SELL"))</f>
        <v>6</v>
      </c>
      <c r="N149" s="13" cm="1">
        <f t="array" ref="N149">IF($A149="","",SUMPRODUCT(($C149:$L149="CAN SELL")*$C$3:$L$3))</f>
        <v>1596</v>
      </c>
      <c r="O149" s="14" t="str">
        <f>IF($A149="","",IF(COUNTIF($A$5:$A$299,$A149)&gt;1,"DUPLICATE - two different territories assigned",IF($B149="** NO TERRITORY SET **","No territory on Brand Family Territory (Enc)","")))</f>
        <v/>
      </c>
      <c r="P149" s="18" t="str">
        <f>IF($A149="","",IFERROR(INDEX([1]Products!$H$4:$H$4801,MATCH($A149,[1]Products!$G$4:$G$4801,0)),"(no products)"))</f>
        <v>Boston Beer Company</v>
      </c>
      <c r="Q149" s="19">
        <f>IF($A149="","",COUNTIFS([1]Products!$G$4:$G$4801,$A149,[1]Products!$L$4:$L$4801,"Yes"))</f>
        <v>3</v>
      </c>
      <c r="R149" s="19">
        <f>IF($A149="","",COUNTIFS([1]Products!$G$4:$G$4801,$A149,[1]Products!$L$4:$L$4801,"Yes",[1]Products!$K$4:$K$4801,"Draft"))</f>
        <v>0</v>
      </c>
      <c r="S149" s="19">
        <f>IF($A149="","",COUNTIFS([1]Products!$G$4:$G$4801,$A149,[1]Products!$L$4:$L$4801,"Yes",[1]Products!$K$4:$K$4801,"Package"))</f>
        <v>3</v>
      </c>
      <c r="T149" s="20" t="str" cm="1">
        <f t="array" ref="T149">IF($A149="","",_xlfn.IFS($Q149=0,"NO ACTIVE SKUs",AND($R149&gt;0,$S149&gt;0),"Draft &amp; Package",$R149&gt;0,"Draft only",TRUE,"Package only"))</f>
        <v>Package only</v>
      </c>
    </row>
    <row r="150" spans="1:20" x14ac:dyDescent="0.2">
      <c r="A150" s="9" t="str">
        <v>Keystone</v>
      </c>
      <c r="B150" s="10" t="str">
        <f>IF($A150="","",_xlfn.XLOOKUP($A150,'[1]Brand Family Territory (Enc)'!$A:$A,'[1]Brand Family Territory (Enc)'!$B:$B,"** NO TERRITORY SET **"))</f>
        <v>Core Market</v>
      </c>
      <c r="C150" s="11" t="str">
        <f>IF($A150="","",_xlfn.LET(_xlpm.t,MATCH($B150,'[1]Territory Definitions'!$B$5:$B$14,0),IF(ISNA(_xlpm.t),"NO TERRITORY",IF(INDEX('[1]Territory Definitions'!$D$5:$M$14,_xlpm.t,MATCH(C$4,'[1]Territory Definitions'!$D$4:$M$4,0))&lt;&gt;1,"NOT IN TERRITORY",IF(COUNTIFS('[1]Blackout Brand Fam Areas (Enc)'!$B$6:$B$998,$A150,'[1]Blackout Brand Fam Areas (Enc)'!$C$6:$C$998,C$4,'[1]Blackout Brand Fam Areas (Enc)'!$D$6:$D$998,"Inactive")&gt;0,"BLOCKED","CAN SELL")))))</f>
        <v>CAN SELL</v>
      </c>
      <c r="D150" s="11" t="str">
        <f>IF($A150="","",_xlfn.LET(_xlpm.t,MATCH($B150,'[1]Territory Definitions'!$B$5:$B$14,0),IF(ISNA(_xlpm.t),"NO TERRITORY",IF(INDEX('[1]Territory Definitions'!$D$5:$M$14,_xlpm.t,MATCH(D$4,'[1]Territory Definitions'!$D$4:$M$4,0))&lt;&gt;1,"NOT IN TERRITORY",IF(COUNTIFS('[1]Blackout Brand Fam Areas (Enc)'!$B$6:$B$998,$A150,'[1]Blackout Brand Fam Areas (Enc)'!$C$6:$C$998,D$4,'[1]Blackout Brand Fam Areas (Enc)'!$D$6:$D$998,"Inactive")&gt;0,"BLOCKED","CAN SELL")))))</f>
        <v>CAN SELL</v>
      </c>
      <c r="E150" s="11" t="str">
        <f>IF($A150="","",_xlfn.LET(_xlpm.t,MATCH($B150,'[1]Territory Definitions'!$B$5:$B$14,0),IF(ISNA(_xlpm.t),"NO TERRITORY",IF(INDEX('[1]Territory Definitions'!$D$5:$M$14,_xlpm.t,MATCH(E$4,'[1]Territory Definitions'!$D$4:$M$4,0))&lt;&gt;1,"NOT IN TERRITORY",IF(COUNTIFS('[1]Blackout Brand Fam Areas (Enc)'!$B$6:$B$998,$A150,'[1]Blackout Brand Fam Areas (Enc)'!$C$6:$C$998,E$4,'[1]Blackout Brand Fam Areas (Enc)'!$D$6:$D$998,"Inactive")&gt;0,"BLOCKED","CAN SELL")))))</f>
        <v>CAN SELL</v>
      </c>
      <c r="F150" s="11" t="str">
        <f>IF($A150="","",_xlfn.LET(_xlpm.t,MATCH($B150,'[1]Territory Definitions'!$B$5:$B$14,0),IF(ISNA(_xlpm.t),"NO TERRITORY",IF(INDEX('[1]Territory Definitions'!$D$5:$M$14,_xlpm.t,MATCH(F$4,'[1]Territory Definitions'!$D$4:$M$4,0))&lt;&gt;1,"NOT IN TERRITORY",IF(COUNTIFS('[1]Blackout Brand Fam Areas (Enc)'!$B$6:$B$998,$A150,'[1]Blackout Brand Fam Areas (Enc)'!$C$6:$C$998,F$4,'[1]Blackout Brand Fam Areas (Enc)'!$D$6:$D$998,"Inactive")&gt;0,"BLOCKED","CAN SELL")))))</f>
        <v>NOT IN TERRITORY</v>
      </c>
      <c r="G150" s="11" t="str">
        <f>IF($A150="","",_xlfn.LET(_xlpm.t,MATCH($B150,'[1]Territory Definitions'!$B$5:$B$14,0),IF(ISNA(_xlpm.t),"NO TERRITORY",IF(INDEX('[1]Territory Definitions'!$D$5:$M$14,_xlpm.t,MATCH(G$4,'[1]Territory Definitions'!$D$4:$M$4,0))&lt;&gt;1,"NOT IN TERRITORY",IF(COUNTIFS('[1]Blackout Brand Fam Areas (Enc)'!$B$6:$B$998,$A150,'[1]Blackout Brand Fam Areas (Enc)'!$C$6:$C$998,G$4,'[1]Blackout Brand Fam Areas (Enc)'!$D$6:$D$998,"Inactive")&gt;0,"BLOCKED","CAN SELL")))))</f>
        <v>NOT IN TERRITORY</v>
      </c>
      <c r="H150" s="11" t="str">
        <f>IF($A150="","",_xlfn.LET(_xlpm.t,MATCH($B150,'[1]Territory Definitions'!$B$5:$B$14,0),IF(ISNA(_xlpm.t),"NO TERRITORY",IF(INDEX('[1]Territory Definitions'!$D$5:$M$14,_xlpm.t,MATCH(H$4,'[1]Territory Definitions'!$D$4:$M$4,0))&lt;&gt;1,"NOT IN TERRITORY",IF(COUNTIFS('[1]Blackout Brand Fam Areas (Enc)'!$B$6:$B$998,$A150,'[1]Blackout Brand Fam Areas (Enc)'!$C$6:$C$998,H$4,'[1]Blackout Brand Fam Areas (Enc)'!$D$6:$D$998,"Inactive")&gt;0,"BLOCKED","CAN SELL")))))</f>
        <v>NOT IN TERRITORY</v>
      </c>
      <c r="I150" s="11" t="str">
        <f>IF($A150="","",_xlfn.LET(_xlpm.t,MATCH($B150,'[1]Territory Definitions'!$B$5:$B$14,0),IF(ISNA(_xlpm.t),"NO TERRITORY",IF(INDEX('[1]Territory Definitions'!$D$5:$M$14,_xlpm.t,MATCH(I$4,'[1]Territory Definitions'!$D$4:$M$4,0))&lt;&gt;1,"NOT IN TERRITORY",IF(COUNTIFS('[1]Blackout Brand Fam Areas (Enc)'!$B$6:$B$998,$A150,'[1]Blackout Brand Fam Areas (Enc)'!$C$6:$C$998,I$4,'[1]Blackout Brand Fam Areas (Enc)'!$D$6:$D$998,"Inactive")&gt;0,"BLOCKED","CAN SELL")))))</f>
        <v>CAN SELL</v>
      </c>
      <c r="J150" s="11" t="str">
        <f>IF($A150="","",_xlfn.LET(_xlpm.t,MATCH($B150,'[1]Territory Definitions'!$B$5:$B$14,0),IF(ISNA(_xlpm.t),"NO TERRITORY",IF(INDEX('[1]Territory Definitions'!$D$5:$M$14,_xlpm.t,MATCH(J$4,'[1]Territory Definitions'!$D$4:$M$4,0))&lt;&gt;1,"NOT IN TERRITORY",IF(COUNTIFS('[1]Blackout Brand Fam Areas (Enc)'!$B$6:$B$998,$A150,'[1]Blackout Brand Fam Areas (Enc)'!$C$6:$C$998,J$4,'[1]Blackout Brand Fam Areas (Enc)'!$D$6:$D$998,"Inactive")&gt;0,"BLOCKED","CAN SELL")))))</f>
        <v>CAN SELL</v>
      </c>
      <c r="K150" s="11" t="str">
        <f>IF($A150="","",_xlfn.LET(_xlpm.t,MATCH($B150,'[1]Territory Definitions'!$B$5:$B$14,0),IF(ISNA(_xlpm.t),"NO TERRITORY",IF(INDEX('[1]Territory Definitions'!$D$5:$M$14,_xlpm.t,MATCH(K$4,'[1]Territory Definitions'!$D$4:$M$4,0))&lt;&gt;1,"NOT IN TERRITORY",IF(COUNTIFS('[1]Blackout Brand Fam Areas (Enc)'!$B$6:$B$998,$A150,'[1]Blackout Brand Fam Areas (Enc)'!$C$6:$C$998,K$4,'[1]Blackout Brand Fam Areas (Enc)'!$D$6:$D$998,"Inactive")&gt;0,"BLOCKED","CAN SELL")))))</f>
        <v>NOT IN TERRITORY</v>
      </c>
      <c r="L150" s="11" t="str">
        <f>IF($A150="","",_xlfn.LET(_xlpm.t,MATCH($B150,'[1]Territory Definitions'!$B$5:$B$14,0),IF(ISNA(_xlpm.t),"NO TERRITORY",IF(INDEX('[1]Territory Definitions'!$D$5:$M$14,_xlpm.t,MATCH(L$4,'[1]Territory Definitions'!$D$4:$M$4,0))&lt;&gt;1,"NOT IN TERRITORY",IF(COUNTIFS('[1]Blackout Brand Fam Areas (Enc)'!$B$6:$B$998,$A150,'[1]Blackout Brand Fam Areas (Enc)'!$C$6:$C$998,L$4,'[1]Blackout Brand Fam Areas (Enc)'!$D$6:$D$998,"Inactive")&gt;0,"BLOCKED","CAN SELL")))))</f>
        <v>CAN SELL</v>
      </c>
      <c r="M150" s="12">
        <f>IF($A150="","",COUNTIF($C150:$L150,"CAN SELL"))</f>
        <v>6</v>
      </c>
      <c r="N150" s="13" cm="1">
        <f t="array" ref="N150">IF($A150="","",SUMPRODUCT(($C150:$L150="CAN SELL")*$C$3:$L$3))</f>
        <v>1596</v>
      </c>
      <c r="O150" s="14" t="str">
        <f>IF($A150="","",IF(COUNTIF($A$5:$A$299,$A150)&gt;1,"DUPLICATE - two different territories assigned",IF($B150="** NO TERRITORY SET **","No territory on Brand Family Territory (Enc)","")))</f>
        <v/>
      </c>
      <c r="P150" s="18" t="str">
        <f>IF($A150="","",IFERROR(INDEX([1]Products!$H$4:$H$4801,MATCH($A150,[1]Products!$G$4:$G$4801,0)),"(no products)"))</f>
        <v>MolsonCoors Beverage Company</v>
      </c>
      <c r="Q150" s="19">
        <f>IF($A150="","",COUNTIFS([1]Products!$G$4:$G$4801,$A150,[1]Products!$L$4:$L$4801,"Yes"))</f>
        <v>4</v>
      </c>
      <c r="R150" s="19">
        <f>IF($A150="","",COUNTIFS([1]Products!$G$4:$G$4801,$A150,[1]Products!$L$4:$L$4801,"Yes",[1]Products!$K$4:$K$4801,"Draft"))</f>
        <v>0</v>
      </c>
      <c r="S150" s="19">
        <f>IF($A150="","",COUNTIFS([1]Products!$G$4:$G$4801,$A150,[1]Products!$L$4:$L$4801,"Yes",[1]Products!$K$4:$K$4801,"Package"))</f>
        <v>4</v>
      </c>
      <c r="T150" s="20" t="str" cm="1">
        <f t="array" ref="T150">IF($A150="","",_xlfn.IFS($Q150=0,"NO ACTIVE SKUs",AND($R150&gt;0,$S150&gt;0),"Draft &amp; Package",$R150&gt;0,"Draft only",TRUE,"Package only"))</f>
        <v>Package only</v>
      </c>
    </row>
    <row r="151" spans="1:20" x14ac:dyDescent="0.2">
      <c r="A151" s="9" t="str">
        <v>Kingfisher Premium</v>
      </c>
      <c r="B151" s="10" t="str">
        <f>IF($A151="","",_xlfn.XLOOKUP($A151,'[1]Brand Family Territory (Enc)'!$A:$A,'[1]Brand Family Territory (Enc)'!$B:$B,"** NO TERRITORY SET **"))</f>
        <v>All Counties</v>
      </c>
      <c r="C151" s="11" t="str">
        <f>IF($A151="","",_xlfn.LET(_xlpm.t,MATCH($B151,'[1]Territory Definitions'!$B$5:$B$14,0),IF(ISNA(_xlpm.t),"NO TERRITORY",IF(INDEX('[1]Territory Definitions'!$D$5:$M$14,_xlpm.t,MATCH(C$4,'[1]Territory Definitions'!$D$4:$M$4,0))&lt;&gt;1,"NOT IN TERRITORY",IF(COUNTIFS('[1]Blackout Brand Fam Areas (Enc)'!$B$6:$B$998,$A151,'[1]Blackout Brand Fam Areas (Enc)'!$C$6:$C$998,C$4,'[1]Blackout Brand Fam Areas (Enc)'!$D$6:$D$998,"Inactive")&gt;0,"BLOCKED","CAN SELL")))))</f>
        <v>CAN SELL</v>
      </c>
      <c r="D151" s="11" t="str">
        <f>IF($A151="","",_xlfn.LET(_xlpm.t,MATCH($B151,'[1]Territory Definitions'!$B$5:$B$14,0),IF(ISNA(_xlpm.t),"NO TERRITORY",IF(INDEX('[1]Territory Definitions'!$D$5:$M$14,_xlpm.t,MATCH(D$4,'[1]Territory Definitions'!$D$4:$M$4,0))&lt;&gt;1,"NOT IN TERRITORY",IF(COUNTIFS('[1]Blackout Brand Fam Areas (Enc)'!$B$6:$B$998,$A151,'[1]Blackout Brand Fam Areas (Enc)'!$C$6:$C$998,D$4,'[1]Blackout Brand Fam Areas (Enc)'!$D$6:$D$998,"Inactive")&gt;0,"BLOCKED","CAN SELL")))))</f>
        <v>CAN SELL</v>
      </c>
      <c r="E151" s="11" t="str">
        <f>IF($A151="","",_xlfn.LET(_xlpm.t,MATCH($B151,'[1]Territory Definitions'!$B$5:$B$14,0),IF(ISNA(_xlpm.t),"NO TERRITORY",IF(INDEX('[1]Territory Definitions'!$D$5:$M$14,_xlpm.t,MATCH(E$4,'[1]Territory Definitions'!$D$4:$M$4,0))&lt;&gt;1,"NOT IN TERRITORY",IF(COUNTIFS('[1]Blackout Brand Fam Areas (Enc)'!$B$6:$B$998,$A151,'[1]Blackout Brand Fam Areas (Enc)'!$C$6:$C$998,E$4,'[1]Blackout Brand Fam Areas (Enc)'!$D$6:$D$998,"Inactive")&gt;0,"BLOCKED","CAN SELL")))))</f>
        <v>CAN SELL</v>
      </c>
      <c r="F151" s="11" t="str">
        <f>IF($A151="","",_xlfn.LET(_xlpm.t,MATCH($B151,'[1]Territory Definitions'!$B$5:$B$14,0),IF(ISNA(_xlpm.t),"NO TERRITORY",IF(INDEX('[1]Territory Definitions'!$D$5:$M$14,_xlpm.t,MATCH(F$4,'[1]Territory Definitions'!$D$4:$M$4,0))&lt;&gt;1,"NOT IN TERRITORY",IF(COUNTIFS('[1]Blackout Brand Fam Areas (Enc)'!$B$6:$B$998,$A151,'[1]Blackout Brand Fam Areas (Enc)'!$C$6:$C$998,F$4,'[1]Blackout Brand Fam Areas (Enc)'!$D$6:$D$998,"Inactive")&gt;0,"BLOCKED","CAN SELL")))))</f>
        <v>CAN SELL</v>
      </c>
      <c r="G151" s="11" t="str">
        <f>IF($A151="","",_xlfn.LET(_xlpm.t,MATCH($B151,'[1]Territory Definitions'!$B$5:$B$14,0),IF(ISNA(_xlpm.t),"NO TERRITORY",IF(INDEX('[1]Territory Definitions'!$D$5:$M$14,_xlpm.t,MATCH(G$4,'[1]Territory Definitions'!$D$4:$M$4,0))&lt;&gt;1,"NOT IN TERRITORY",IF(COUNTIFS('[1]Blackout Brand Fam Areas (Enc)'!$B$6:$B$998,$A151,'[1]Blackout Brand Fam Areas (Enc)'!$C$6:$C$998,G$4,'[1]Blackout Brand Fam Areas (Enc)'!$D$6:$D$998,"Inactive")&gt;0,"BLOCKED","CAN SELL")))))</f>
        <v>CAN SELL</v>
      </c>
      <c r="H151" s="11" t="str">
        <f>IF($A151="","",_xlfn.LET(_xlpm.t,MATCH($B151,'[1]Territory Definitions'!$B$5:$B$14,0),IF(ISNA(_xlpm.t),"NO TERRITORY",IF(INDEX('[1]Territory Definitions'!$D$5:$M$14,_xlpm.t,MATCH(H$4,'[1]Territory Definitions'!$D$4:$M$4,0))&lt;&gt;1,"NOT IN TERRITORY",IF(COUNTIFS('[1]Blackout Brand Fam Areas (Enc)'!$B$6:$B$998,$A151,'[1]Blackout Brand Fam Areas (Enc)'!$C$6:$C$998,H$4,'[1]Blackout Brand Fam Areas (Enc)'!$D$6:$D$998,"Inactive")&gt;0,"BLOCKED","CAN SELL")))))</f>
        <v>CAN SELL</v>
      </c>
      <c r="I151" s="11" t="str">
        <f>IF($A151="","",_xlfn.LET(_xlpm.t,MATCH($B151,'[1]Territory Definitions'!$B$5:$B$14,0),IF(ISNA(_xlpm.t),"NO TERRITORY",IF(INDEX('[1]Territory Definitions'!$D$5:$M$14,_xlpm.t,MATCH(I$4,'[1]Territory Definitions'!$D$4:$M$4,0))&lt;&gt;1,"NOT IN TERRITORY",IF(COUNTIFS('[1]Blackout Brand Fam Areas (Enc)'!$B$6:$B$998,$A151,'[1]Blackout Brand Fam Areas (Enc)'!$C$6:$C$998,I$4,'[1]Blackout Brand Fam Areas (Enc)'!$D$6:$D$998,"Inactive")&gt;0,"BLOCKED","CAN SELL")))))</f>
        <v>CAN SELL</v>
      </c>
      <c r="J151" s="11" t="str">
        <f>IF($A151="","",_xlfn.LET(_xlpm.t,MATCH($B151,'[1]Territory Definitions'!$B$5:$B$14,0),IF(ISNA(_xlpm.t),"NO TERRITORY",IF(INDEX('[1]Territory Definitions'!$D$5:$M$14,_xlpm.t,MATCH(J$4,'[1]Territory Definitions'!$D$4:$M$4,0))&lt;&gt;1,"NOT IN TERRITORY",IF(COUNTIFS('[1]Blackout Brand Fam Areas (Enc)'!$B$6:$B$998,$A151,'[1]Blackout Brand Fam Areas (Enc)'!$C$6:$C$998,J$4,'[1]Blackout Brand Fam Areas (Enc)'!$D$6:$D$998,"Inactive")&gt;0,"BLOCKED","CAN SELL")))))</f>
        <v>CAN SELL</v>
      </c>
      <c r="K151" s="11" t="str">
        <f>IF($A151="","",_xlfn.LET(_xlpm.t,MATCH($B151,'[1]Territory Definitions'!$B$5:$B$14,0),IF(ISNA(_xlpm.t),"NO TERRITORY",IF(INDEX('[1]Territory Definitions'!$D$5:$M$14,_xlpm.t,MATCH(K$4,'[1]Territory Definitions'!$D$4:$M$4,0))&lt;&gt;1,"NOT IN TERRITORY",IF(COUNTIFS('[1]Blackout Brand Fam Areas (Enc)'!$B$6:$B$998,$A151,'[1]Blackout Brand Fam Areas (Enc)'!$C$6:$C$998,K$4,'[1]Blackout Brand Fam Areas (Enc)'!$D$6:$D$998,"Inactive")&gt;0,"BLOCKED","CAN SELL")))))</f>
        <v>CAN SELL</v>
      </c>
      <c r="L151" s="11" t="str">
        <f>IF($A151="","",_xlfn.LET(_xlpm.t,MATCH($B151,'[1]Territory Definitions'!$B$5:$B$14,0),IF(ISNA(_xlpm.t),"NO TERRITORY",IF(INDEX('[1]Territory Definitions'!$D$5:$M$14,_xlpm.t,MATCH(L$4,'[1]Territory Definitions'!$D$4:$M$4,0))&lt;&gt;1,"NOT IN TERRITORY",IF(COUNTIFS('[1]Blackout Brand Fam Areas (Enc)'!$B$6:$B$998,$A151,'[1]Blackout Brand Fam Areas (Enc)'!$C$6:$C$998,L$4,'[1]Blackout Brand Fam Areas (Enc)'!$D$6:$D$998,"Inactive")&gt;0,"BLOCKED","CAN SELL")))))</f>
        <v>CAN SELL</v>
      </c>
      <c r="M151" s="12">
        <f>IF($A151="","",COUNTIF($C151:$L151,"CAN SELL"))</f>
        <v>10</v>
      </c>
      <c r="N151" s="13" cm="1">
        <f t="array" ref="N151">IF($A151="","",SUMPRODUCT(($C151:$L151="CAN SELL")*$C$3:$L$3))</f>
        <v>2306</v>
      </c>
      <c r="O151" s="14" t="str">
        <f>IF($A151="","",IF(COUNTIF($A$5:$A$299,$A151)&gt;1,"DUPLICATE - two different territories assigned",IF($B151="** NO TERRITORY SET **","No territory on Brand Family Territory (Enc)","")))</f>
        <v/>
      </c>
      <c r="P151" s="18" t="str">
        <f>IF($A151="","",IFERROR(INDEX([1]Products!$H$4:$H$4801,MATCH($A151,[1]Products!$G$4:$G$4801,0)),"(no products)"))</f>
        <v>FX Matt</v>
      </c>
      <c r="Q151" s="19">
        <f>IF($A151="","",COUNTIFS([1]Products!$G$4:$G$4801,$A151,[1]Products!$L$4:$L$4801,"Yes"))</f>
        <v>1</v>
      </c>
      <c r="R151" s="19">
        <f>IF($A151="","",COUNTIFS([1]Products!$G$4:$G$4801,$A151,[1]Products!$L$4:$L$4801,"Yes",[1]Products!$K$4:$K$4801,"Draft"))</f>
        <v>0</v>
      </c>
      <c r="S151" s="19">
        <f>IF($A151="","",COUNTIFS([1]Products!$G$4:$G$4801,$A151,[1]Products!$L$4:$L$4801,"Yes",[1]Products!$K$4:$K$4801,"Package"))</f>
        <v>1</v>
      </c>
      <c r="T151" s="20" t="str" cm="1">
        <f t="array" ref="T151">IF($A151="","",_xlfn.IFS($Q151=0,"NO ACTIVE SKUs",AND($R151&gt;0,$S151&gt;0),"Draft &amp; Package",$R151&gt;0,"Draft only",TRUE,"Package only"))</f>
        <v>Package only</v>
      </c>
    </row>
    <row r="152" spans="1:20" x14ac:dyDescent="0.2">
      <c r="A152" s="9" t="str">
        <v>Kirin Ichiban</v>
      </c>
      <c r="B152" s="10" t="str">
        <f>IF($A152="","",_xlfn.XLOOKUP($A152,'[1]Brand Family Territory (Enc)'!$A:$A,'[1]Brand Family Territory (Enc)'!$B:$B,"** NO TERRITORY SET **"))</f>
        <v>Core Market</v>
      </c>
      <c r="C152" s="11" t="str">
        <f>IF($A152="","",_xlfn.LET(_xlpm.t,MATCH($B152,'[1]Territory Definitions'!$B$5:$B$14,0),IF(ISNA(_xlpm.t),"NO TERRITORY",IF(INDEX('[1]Territory Definitions'!$D$5:$M$14,_xlpm.t,MATCH(C$4,'[1]Territory Definitions'!$D$4:$M$4,0))&lt;&gt;1,"NOT IN TERRITORY",IF(COUNTIFS('[1]Blackout Brand Fam Areas (Enc)'!$B$6:$B$998,$A152,'[1]Blackout Brand Fam Areas (Enc)'!$C$6:$C$998,C$4,'[1]Blackout Brand Fam Areas (Enc)'!$D$6:$D$998,"Inactive")&gt;0,"BLOCKED","CAN SELL")))))</f>
        <v>CAN SELL</v>
      </c>
      <c r="D152" s="11" t="str">
        <f>IF($A152="","",_xlfn.LET(_xlpm.t,MATCH($B152,'[1]Territory Definitions'!$B$5:$B$14,0),IF(ISNA(_xlpm.t),"NO TERRITORY",IF(INDEX('[1]Territory Definitions'!$D$5:$M$14,_xlpm.t,MATCH(D$4,'[1]Territory Definitions'!$D$4:$M$4,0))&lt;&gt;1,"NOT IN TERRITORY",IF(COUNTIFS('[1]Blackout Brand Fam Areas (Enc)'!$B$6:$B$998,$A152,'[1]Blackout Brand Fam Areas (Enc)'!$C$6:$C$998,D$4,'[1]Blackout Brand Fam Areas (Enc)'!$D$6:$D$998,"Inactive")&gt;0,"BLOCKED","CAN SELL")))))</f>
        <v>CAN SELL</v>
      </c>
      <c r="E152" s="11" t="str">
        <f>IF($A152="","",_xlfn.LET(_xlpm.t,MATCH($B152,'[1]Territory Definitions'!$B$5:$B$14,0),IF(ISNA(_xlpm.t),"NO TERRITORY",IF(INDEX('[1]Territory Definitions'!$D$5:$M$14,_xlpm.t,MATCH(E$4,'[1]Territory Definitions'!$D$4:$M$4,0))&lt;&gt;1,"NOT IN TERRITORY",IF(COUNTIFS('[1]Blackout Brand Fam Areas (Enc)'!$B$6:$B$998,$A152,'[1]Blackout Brand Fam Areas (Enc)'!$C$6:$C$998,E$4,'[1]Blackout Brand Fam Areas (Enc)'!$D$6:$D$998,"Inactive")&gt;0,"BLOCKED","CAN SELL")))))</f>
        <v>CAN SELL</v>
      </c>
      <c r="F152" s="11" t="str">
        <f>IF($A152="","",_xlfn.LET(_xlpm.t,MATCH($B152,'[1]Territory Definitions'!$B$5:$B$14,0),IF(ISNA(_xlpm.t),"NO TERRITORY",IF(INDEX('[1]Territory Definitions'!$D$5:$M$14,_xlpm.t,MATCH(F$4,'[1]Territory Definitions'!$D$4:$M$4,0))&lt;&gt;1,"NOT IN TERRITORY",IF(COUNTIFS('[1]Blackout Brand Fam Areas (Enc)'!$B$6:$B$998,$A152,'[1]Blackout Brand Fam Areas (Enc)'!$C$6:$C$998,F$4,'[1]Blackout Brand Fam Areas (Enc)'!$D$6:$D$998,"Inactive")&gt;0,"BLOCKED","CAN SELL")))))</f>
        <v>NOT IN TERRITORY</v>
      </c>
      <c r="G152" s="11" t="str">
        <f>IF($A152="","",_xlfn.LET(_xlpm.t,MATCH($B152,'[1]Territory Definitions'!$B$5:$B$14,0),IF(ISNA(_xlpm.t),"NO TERRITORY",IF(INDEX('[1]Territory Definitions'!$D$5:$M$14,_xlpm.t,MATCH(G$4,'[1]Territory Definitions'!$D$4:$M$4,0))&lt;&gt;1,"NOT IN TERRITORY",IF(COUNTIFS('[1]Blackout Brand Fam Areas (Enc)'!$B$6:$B$998,$A152,'[1]Blackout Brand Fam Areas (Enc)'!$C$6:$C$998,G$4,'[1]Blackout Brand Fam Areas (Enc)'!$D$6:$D$998,"Inactive")&gt;0,"BLOCKED","CAN SELL")))))</f>
        <v>NOT IN TERRITORY</v>
      </c>
      <c r="H152" s="11" t="str">
        <f>IF($A152="","",_xlfn.LET(_xlpm.t,MATCH($B152,'[1]Territory Definitions'!$B$5:$B$14,0),IF(ISNA(_xlpm.t),"NO TERRITORY",IF(INDEX('[1]Territory Definitions'!$D$5:$M$14,_xlpm.t,MATCH(H$4,'[1]Territory Definitions'!$D$4:$M$4,0))&lt;&gt;1,"NOT IN TERRITORY",IF(COUNTIFS('[1]Blackout Brand Fam Areas (Enc)'!$B$6:$B$998,$A152,'[1]Blackout Brand Fam Areas (Enc)'!$C$6:$C$998,H$4,'[1]Blackout Brand Fam Areas (Enc)'!$D$6:$D$998,"Inactive")&gt;0,"BLOCKED","CAN SELL")))))</f>
        <v>NOT IN TERRITORY</v>
      </c>
      <c r="I152" s="11" t="str">
        <f>IF($A152="","",_xlfn.LET(_xlpm.t,MATCH($B152,'[1]Territory Definitions'!$B$5:$B$14,0),IF(ISNA(_xlpm.t),"NO TERRITORY",IF(INDEX('[1]Territory Definitions'!$D$5:$M$14,_xlpm.t,MATCH(I$4,'[1]Territory Definitions'!$D$4:$M$4,0))&lt;&gt;1,"NOT IN TERRITORY",IF(COUNTIFS('[1]Blackout Brand Fam Areas (Enc)'!$B$6:$B$998,$A152,'[1]Blackout Brand Fam Areas (Enc)'!$C$6:$C$998,I$4,'[1]Blackout Brand Fam Areas (Enc)'!$D$6:$D$998,"Inactive")&gt;0,"BLOCKED","CAN SELL")))))</f>
        <v>CAN SELL</v>
      </c>
      <c r="J152" s="11" t="str">
        <f>IF($A152="","",_xlfn.LET(_xlpm.t,MATCH($B152,'[1]Territory Definitions'!$B$5:$B$14,0),IF(ISNA(_xlpm.t),"NO TERRITORY",IF(INDEX('[1]Territory Definitions'!$D$5:$M$14,_xlpm.t,MATCH(J$4,'[1]Territory Definitions'!$D$4:$M$4,0))&lt;&gt;1,"NOT IN TERRITORY",IF(COUNTIFS('[1]Blackout Brand Fam Areas (Enc)'!$B$6:$B$998,$A152,'[1]Blackout Brand Fam Areas (Enc)'!$C$6:$C$998,J$4,'[1]Blackout Brand Fam Areas (Enc)'!$D$6:$D$998,"Inactive")&gt;0,"BLOCKED","CAN SELL")))))</f>
        <v>CAN SELL</v>
      </c>
      <c r="K152" s="11" t="str">
        <f>IF($A152="","",_xlfn.LET(_xlpm.t,MATCH($B152,'[1]Territory Definitions'!$B$5:$B$14,0),IF(ISNA(_xlpm.t),"NO TERRITORY",IF(INDEX('[1]Territory Definitions'!$D$5:$M$14,_xlpm.t,MATCH(K$4,'[1]Territory Definitions'!$D$4:$M$4,0))&lt;&gt;1,"NOT IN TERRITORY",IF(COUNTIFS('[1]Blackout Brand Fam Areas (Enc)'!$B$6:$B$998,$A152,'[1]Blackout Brand Fam Areas (Enc)'!$C$6:$C$998,K$4,'[1]Blackout Brand Fam Areas (Enc)'!$D$6:$D$998,"Inactive")&gt;0,"BLOCKED","CAN SELL")))))</f>
        <v>NOT IN TERRITORY</v>
      </c>
      <c r="L152" s="11" t="str">
        <f>IF($A152="","",_xlfn.LET(_xlpm.t,MATCH($B152,'[1]Territory Definitions'!$B$5:$B$14,0),IF(ISNA(_xlpm.t),"NO TERRITORY",IF(INDEX('[1]Territory Definitions'!$D$5:$M$14,_xlpm.t,MATCH(L$4,'[1]Territory Definitions'!$D$4:$M$4,0))&lt;&gt;1,"NOT IN TERRITORY",IF(COUNTIFS('[1]Blackout Brand Fam Areas (Enc)'!$B$6:$B$998,$A152,'[1]Blackout Brand Fam Areas (Enc)'!$C$6:$C$998,L$4,'[1]Blackout Brand Fam Areas (Enc)'!$D$6:$D$998,"Inactive")&gt;0,"BLOCKED","CAN SELL")))))</f>
        <v>CAN SELL</v>
      </c>
      <c r="M152" s="12">
        <f>IF($A152="","",COUNTIF($C152:$L152,"CAN SELL"))</f>
        <v>6</v>
      </c>
      <c r="N152" s="13" cm="1">
        <f t="array" ref="N152">IF($A152="","",SUMPRODUCT(($C152:$L152="CAN SELL")*$C$3:$L$3))</f>
        <v>1596</v>
      </c>
      <c r="O152" s="14" t="str">
        <f>IF($A152="","",IF(COUNTIF($A$5:$A$299,$A152)&gt;1,"DUPLICATE - two different territories assigned",IF($B152="** NO TERRITORY SET **","No territory on Brand Family Territory (Enc)","")))</f>
        <v/>
      </c>
      <c r="P152" s="18" t="str">
        <f>IF($A152="","",IFERROR(INDEX([1]Products!$H$4:$H$4801,MATCH($A152,[1]Products!$G$4:$G$4801,0)),"(no products)"))</f>
        <v>New Belgium Brewing Company</v>
      </c>
      <c r="Q152" s="19">
        <f>IF($A152="","",COUNTIFS([1]Products!$G$4:$G$4801,$A152,[1]Products!$L$4:$L$4801,"Yes"))</f>
        <v>7</v>
      </c>
      <c r="R152" s="19">
        <f>IF($A152="","",COUNTIFS([1]Products!$G$4:$G$4801,$A152,[1]Products!$L$4:$L$4801,"Yes",[1]Products!$K$4:$K$4801,"Draft"))</f>
        <v>1</v>
      </c>
      <c r="S152" s="19">
        <f>IF($A152="","",COUNTIFS([1]Products!$G$4:$G$4801,$A152,[1]Products!$L$4:$L$4801,"Yes",[1]Products!$K$4:$K$4801,"Package"))</f>
        <v>6</v>
      </c>
      <c r="T152" s="20" t="str" cm="1">
        <f t="array" ref="T152">IF($A152="","",_xlfn.IFS($Q152=0,"NO ACTIVE SKUs",AND($R152&gt;0,$S152&gt;0),"Draft &amp; Package",$R152&gt;0,"Draft only",TRUE,"Package only"))</f>
        <v>Draft &amp; Package</v>
      </c>
    </row>
    <row r="153" spans="1:20" x14ac:dyDescent="0.2">
      <c r="A153" s="9" t="str">
        <v>Kirin Light</v>
      </c>
      <c r="B153" s="10" t="str">
        <f>IF($A153="","",_xlfn.XLOOKUP($A153,'[1]Brand Family Territory (Enc)'!$A:$A,'[1]Brand Family Territory (Enc)'!$B:$B,"** NO TERRITORY SET **"))</f>
        <v>Core Market</v>
      </c>
      <c r="C153" s="11" t="str">
        <f>IF($A153="","",_xlfn.LET(_xlpm.t,MATCH($B153,'[1]Territory Definitions'!$B$5:$B$14,0),IF(ISNA(_xlpm.t),"NO TERRITORY",IF(INDEX('[1]Territory Definitions'!$D$5:$M$14,_xlpm.t,MATCH(C$4,'[1]Territory Definitions'!$D$4:$M$4,0))&lt;&gt;1,"NOT IN TERRITORY",IF(COUNTIFS('[1]Blackout Brand Fam Areas (Enc)'!$B$6:$B$998,$A153,'[1]Blackout Brand Fam Areas (Enc)'!$C$6:$C$998,C$4,'[1]Blackout Brand Fam Areas (Enc)'!$D$6:$D$998,"Inactive")&gt;0,"BLOCKED","CAN SELL")))))</f>
        <v>CAN SELL</v>
      </c>
      <c r="D153" s="11" t="str">
        <f>IF($A153="","",_xlfn.LET(_xlpm.t,MATCH($B153,'[1]Territory Definitions'!$B$5:$B$14,0),IF(ISNA(_xlpm.t),"NO TERRITORY",IF(INDEX('[1]Territory Definitions'!$D$5:$M$14,_xlpm.t,MATCH(D$4,'[1]Territory Definitions'!$D$4:$M$4,0))&lt;&gt;1,"NOT IN TERRITORY",IF(COUNTIFS('[1]Blackout Brand Fam Areas (Enc)'!$B$6:$B$998,$A153,'[1]Blackout Brand Fam Areas (Enc)'!$C$6:$C$998,D$4,'[1]Blackout Brand Fam Areas (Enc)'!$D$6:$D$998,"Inactive")&gt;0,"BLOCKED","CAN SELL")))))</f>
        <v>CAN SELL</v>
      </c>
      <c r="E153" s="11" t="str">
        <f>IF($A153="","",_xlfn.LET(_xlpm.t,MATCH($B153,'[1]Territory Definitions'!$B$5:$B$14,0),IF(ISNA(_xlpm.t),"NO TERRITORY",IF(INDEX('[1]Territory Definitions'!$D$5:$M$14,_xlpm.t,MATCH(E$4,'[1]Territory Definitions'!$D$4:$M$4,0))&lt;&gt;1,"NOT IN TERRITORY",IF(COUNTIFS('[1]Blackout Brand Fam Areas (Enc)'!$B$6:$B$998,$A153,'[1]Blackout Brand Fam Areas (Enc)'!$C$6:$C$998,E$4,'[1]Blackout Brand Fam Areas (Enc)'!$D$6:$D$998,"Inactive")&gt;0,"BLOCKED","CAN SELL")))))</f>
        <v>CAN SELL</v>
      </c>
      <c r="F153" s="11" t="str">
        <f>IF($A153="","",_xlfn.LET(_xlpm.t,MATCH($B153,'[1]Territory Definitions'!$B$5:$B$14,0),IF(ISNA(_xlpm.t),"NO TERRITORY",IF(INDEX('[1]Territory Definitions'!$D$5:$M$14,_xlpm.t,MATCH(F$4,'[1]Territory Definitions'!$D$4:$M$4,0))&lt;&gt;1,"NOT IN TERRITORY",IF(COUNTIFS('[1]Blackout Brand Fam Areas (Enc)'!$B$6:$B$998,$A153,'[1]Blackout Brand Fam Areas (Enc)'!$C$6:$C$998,F$4,'[1]Blackout Brand Fam Areas (Enc)'!$D$6:$D$998,"Inactive")&gt;0,"BLOCKED","CAN SELL")))))</f>
        <v>NOT IN TERRITORY</v>
      </c>
      <c r="G153" s="11" t="str">
        <f>IF($A153="","",_xlfn.LET(_xlpm.t,MATCH($B153,'[1]Territory Definitions'!$B$5:$B$14,0),IF(ISNA(_xlpm.t),"NO TERRITORY",IF(INDEX('[1]Territory Definitions'!$D$5:$M$14,_xlpm.t,MATCH(G$4,'[1]Territory Definitions'!$D$4:$M$4,0))&lt;&gt;1,"NOT IN TERRITORY",IF(COUNTIFS('[1]Blackout Brand Fam Areas (Enc)'!$B$6:$B$998,$A153,'[1]Blackout Brand Fam Areas (Enc)'!$C$6:$C$998,G$4,'[1]Blackout Brand Fam Areas (Enc)'!$D$6:$D$998,"Inactive")&gt;0,"BLOCKED","CAN SELL")))))</f>
        <v>NOT IN TERRITORY</v>
      </c>
      <c r="H153" s="11" t="str">
        <f>IF($A153="","",_xlfn.LET(_xlpm.t,MATCH($B153,'[1]Territory Definitions'!$B$5:$B$14,0),IF(ISNA(_xlpm.t),"NO TERRITORY",IF(INDEX('[1]Territory Definitions'!$D$5:$M$14,_xlpm.t,MATCH(H$4,'[1]Territory Definitions'!$D$4:$M$4,0))&lt;&gt;1,"NOT IN TERRITORY",IF(COUNTIFS('[1]Blackout Brand Fam Areas (Enc)'!$B$6:$B$998,$A153,'[1]Blackout Brand Fam Areas (Enc)'!$C$6:$C$998,H$4,'[1]Blackout Brand Fam Areas (Enc)'!$D$6:$D$998,"Inactive")&gt;0,"BLOCKED","CAN SELL")))))</f>
        <v>NOT IN TERRITORY</v>
      </c>
      <c r="I153" s="11" t="str">
        <f>IF($A153="","",_xlfn.LET(_xlpm.t,MATCH($B153,'[1]Territory Definitions'!$B$5:$B$14,0),IF(ISNA(_xlpm.t),"NO TERRITORY",IF(INDEX('[1]Territory Definitions'!$D$5:$M$14,_xlpm.t,MATCH(I$4,'[1]Territory Definitions'!$D$4:$M$4,0))&lt;&gt;1,"NOT IN TERRITORY",IF(COUNTIFS('[1]Blackout Brand Fam Areas (Enc)'!$B$6:$B$998,$A153,'[1]Blackout Brand Fam Areas (Enc)'!$C$6:$C$998,I$4,'[1]Blackout Brand Fam Areas (Enc)'!$D$6:$D$998,"Inactive")&gt;0,"BLOCKED","CAN SELL")))))</f>
        <v>CAN SELL</v>
      </c>
      <c r="J153" s="11" t="str">
        <f>IF($A153="","",_xlfn.LET(_xlpm.t,MATCH($B153,'[1]Territory Definitions'!$B$5:$B$14,0),IF(ISNA(_xlpm.t),"NO TERRITORY",IF(INDEX('[1]Territory Definitions'!$D$5:$M$14,_xlpm.t,MATCH(J$4,'[1]Territory Definitions'!$D$4:$M$4,0))&lt;&gt;1,"NOT IN TERRITORY",IF(COUNTIFS('[1]Blackout Brand Fam Areas (Enc)'!$B$6:$B$998,$A153,'[1]Blackout Brand Fam Areas (Enc)'!$C$6:$C$998,J$4,'[1]Blackout Brand Fam Areas (Enc)'!$D$6:$D$998,"Inactive")&gt;0,"BLOCKED","CAN SELL")))))</f>
        <v>CAN SELL</v>
      </c>
      <c r="K153" s="11" t="str">
        <f>IF($A153="","",_xlfn.LET(_xlpm.t,MATCH($B153,'[1]Territory Definitions'!$B$5:$B$14,0),IF(ISNA(_xlpm.t),"NO TERRITORY",IF(INDEX('[1]Territory Definitions'!$D$5:$M$14,_xlpm.t,MATCH(K$4,'[1]Territory Definitions'!$D$4:$M$4,0))&lt;&gt;1,"NOT IN TERRITORY",IF(COUNTIFS('[1]Blackout Brand Fam Areas (Enc)'!$B$6:$B$998,$A153,'[1]Blackout Brand Fam Areas (Enc)'!$C$6:$C$998,K$4,'[1]Blackout Brand Fam Areas (Enc)'!$D$6:$D$998,"Inactive")&gt;0,"BLOCKED","CAN SELL")))))</f>
        <v>NOT IN TERRITORY</v>
      </c>
      <c r="L153" s="11" t="str">
        <f>IF($A153="","",_xlfn.LET(_xlpm.t,MATCH($B153,'[1]Territory Definitions'!$B$5:$B$14,0),IF(ISNA(_xlpm.t),"NO TERRITORY",IF(INDEX('[1]Territory Definitions'!$D$5:$M$14,_xlpm.t,MATCH(L$4,'[1]Territory Definitions'!$D$4:$M$4,0))&lt;&gt;1,"NOT IN TERRITORY",IF(COUNTIFS('[1]Blackout Brand Fam Areas (Enc)'!$B$6:$B$998,$A153,'[1]Blackout Brand Fam Areas (Enc)'!$C$6:$C$998,L$4,'[1]Blackout Brand Fam Areas (Enc)'!$D$6:$D$998,"Inactive")&gt;0,"BLOCKED","CAN SELL")))))</f>
        <v>CAN SELL</v>
      </c>
      <c r="M153" s="12">
        <f>IF($A153="","",COUNTIF($C153:$L153,"CAN SELL"))</f>
        <v>6</v>
      </c>
      <c r="N153" s="13" cm="1">
        <f t="array" ref="N153">IF($A153="","",SUMPRODUCT(($C153:$L153="CAN SELL")*$C$3:$L$3))</f>
        <v>1596</v>
      </c>
      <c r="O153" s="14" t="str">
        <f>IF($A153="","",IF(COUNTIF($A$5:$A$299,$A153)&gt;1,"DUPLICATE - two different territories assigned",IF($B153="** NO TERRITORY SET **","No territory on Brand Family Territory (Enc)","")))</f>
        <v/>
      </c>
      <c r="P153" s="18" t="str">
        <f>IF($A153="","",IFERROR(INDEX([1]Products!$H$4:$H$4801,MATCH($A153,[1]Products!$G$4:$G$4801,0)),"(no products)"))</f>
        <v>New Belgium Brewing Company</v>
      </c>
      <c r="Q153" s="19">
        <f>IF($A153="","",COUNTIFS([1]Products!$G$4:$G$4801,$A153,[1]Products!$L$4:$L$4801,"Yes"))</f>
        <v>1</v>
      </c>
      <c r="R153" s="19">
        <f>IF($A153="","",COUNTIFS([1]Products!$G$4:$G$4801,$A153,[1]Products!$L$4:$L$4801,"Yes",[1]Products!$K$4:$K$4801,"Draft"))</f>
        <v>0</v>
      </c>
      <c r="S153" s="19">
        <f>IF($A153="","",COUNTIFS([1]Products!$G$4:$G$4801,$A153,[1]Products!$L$4:$L$4801,"Yes",[1]Products!$K$4:$K$4801,"Package"))</f>
        <v>1</v>
      </c>
      <c r="T153" s="20" t="str" cm="1">
        <f t="array" ref="T153">IF($A153="","",_xlfn.IFS($Q153=0,"NO ACTIVE SKUs",AND($R153&gt;0,$S153&gt;0),"Draft &amp; Package",$R153&gt;0,"Draft only",TRUE,"Package only"))</f>
        <v>Package only</v>
      </c>
    </row>
    <row r="154" spans="1:20" x14ac:dyDescent="0.2">
      <c r="A154" s="9" t="str">
        <v>Krusovice</v>
      </c>
      <c r="B154" s="10" t="str">
        <f>IF($A154="","",_xlfn.XLOOKUP($A154,'[1]Brand Family Territory (Enc)'!$A:$A,'[1]Brand Family Territory (Enc)'!$B:$B,"** NO TERRITORY SET **"))</f>
        <v>All Counties</v>
      </c>
      <c r="C154" s="11" t="str">
        <f>IF($A154="","",_xlfn.LET(_xlpm.t,MATCH($B154,'[1]Territory Definitions'!$B$5:$B$14,0),IF(ISNA(_xlpm.t),"NO TERRITORY",IF(INDEX('[1]Territory Definitions'!$D$5:$M$14,_xlpm.t,MATCH(C$4,'[1]Territory Definitions'!$D$4:$M$4,0))&lt;&gt;1,"NOT IN TERRITORY",IF(COUNTIFS('[1]Blackout Brand Fam Areas (Enc)'!$B$6:$B$998,$A154,'[1]Blackout Brand Fam Areas (Enc)'!$C$6:$C$998,C$4,'[1]Blackout Brand Fam Areas (Enc)'!$D$6:$D$998,"Inactive")&gt;0,"BLOCKED","CAN SELL")))))</f>
        <v>CAN SELL</v>
      </c>
      <c r="D154" s="11" t="str">
        <f>IF($A154="","",_xlfn.LET(_xlpm.t,MATCH($B154,'[1]Territory Definitions'!$B$5:$B$14,0),IF(ISNA(_xlpm.t),"NO TERRITORY",IF(INDEX('[1]Territory Definitions'!$D$5:$M$14,_xlpm.t,MATCH(D$4,'[1]Territory Definitions'!$D$4:$M$4,0))&lt;&gt;1,"NOT IN TERRITORY",IF(COUNTIFS('[1]Blackout Brand Fam Areas (Enc)'!$B$6:$B$998,$A154,'[1]Blackout Brand Fam Areas (Enc)'!$C$6:$C$998,D$4,'[1]Blackout Brand Fam Areas (Enc)'!$D$6:$D$998,"Inactive")&gt;0,"BLOCKED","CAN SELL")))))</f>
        <v>CAN SELL</v>
      </c>
      <c r="E154" s="11" t="str">
        <f>IF($A154="","",_xlfn.LET(_xlpm.t,MATCH($B154,'[1]Territory Definitions'!$B$5:$B$14,0),IF(ISNA(_xlpm.t),"NO TERRITORY",IF(INDEX('[1]Territory Definitions'!$D$5:$M$14,_xlpm.t,MATCH(E$4,'[1]Territory Definitions'!$D$4:$M$4,0))&lt;&gt;1,"NOT IN TERRITORY",IF(COUNTIFS('[1]Blackout Brand Fam Areas (Enc)'!$B$6:$B$998,$A154,'[1]Blackout Brand Fam Areas (Enc)'!$C$6:$C$998,E$4,'[1]Blackout Brand Fam Areas (Enc)'!$D$6:$D$998,"Inactive")&gt;0,"BLOCKED","CAN SELL")))))</f>
        <v>CAN SELL</v>
      </c>
      <c r="F154" s="11" t="str">
        <f>IF($A154="","",_xlfn.LET(_xlpm.t,MATCH($B154,'[1]Territory Definitions'!$B$5:$B$14,0),IF(ISNA(_xlpm.t),"NO TERRITORY",IF(INDEX('[1]Territory Definitions'!$D$5:$M$14,_xlpm.t,MATCH(F$4,'[1]Territory Definitions'!$D$4:$M$4,0))&lt;&gt;1,"NOT IN TERRITORY",IF(COUNTIFS('[1]Blackout Brand Fam Areas (Enc)'!$B$6:$B$998,$A154,'[1]Blackout Brand Fam Areas (Enc)'!$C$6:$C$998,F$4,'[1]Blackout Brand Fam Areas (Enc)'!$D$6:$D$998,"Inactive")&gt;0,"BLOCKED","CAN SELL")))))</f>
        <v>CAN SELL</v>
      </c>
      <c r="G154" s="11" t="str">
        <f>IF($A154="","",_xlfn.LET(_xlpm.t,MATCH($B154,'[1]Territory Definitions'!$B$5:$B$14,0),IF(ISNA(_xlpm.t),"NO TERRITORY",IF(INDEX('[1]Territory Definitions'!$D$5:$M$14,_xlpm.t,MATCH(G$4,'[1]Territory Definitions'!$D$4:$M$4,0))&lt;&gt;1,"NOT IN TERRITORY",IF(COUNTIFS('[1]Blackout Brand Fam Areas (Enc)'!$B$6:$B$998,$A154,'[1]Blackout Brand Fam Areas (Enc)'!$C$6:$C$998,G$4,'[1]Blackout Brand Fam Areas (Enc)'!$D$6:$D$998,"Inactive")&gt;0,"BLOCKED","CAN SELL")))))</f>
        <v>CAN SELL</v>
      </c>
      <c r="H154" s="11" t="str">
        <f>IF($A154="","",_xlfn.LET(_xlpm.t,MATCH($B154,'[1]Territory Definitions'!$B$5:$B$14,0),IF(ISNA(_xlpm.t),"NO TERRITORY",IF(INDEX('[1]Territory Definitions'!$D$5:$M$14,_xlpm.t,MATCH(H$4,'[1]Territory Definitions'!$D$4:$M$4,0))&lt;&gt;1,"NOT IN TERRITORY",IF(COUNTIFS('[1]Blackout Brand Fam Areas (Enc)'!$B$6:$B$998,$A154,'[1]Blackout Brand Fam Areas (Enc)'!$C$6:$C$998,H$4,'[1]Blackout Brand Fam Areas (Enc)'!$D$6:$D$998,"Inactive")&gt;0,"BLOCKED","CAN SELL")))))</f>
        <v>CAN SELL</v>
      </c>
      <c r="I154" s="11" t="str">
        <f>IF($A154="","",_xlfn.LET(_xlpm.t,MATCH($B154,'[1]Territory Definitions'!$B$5:$B$14,0),IF(ISNA(_xlpm.t),"NO TERRITORY",IF(INDEX('[1]Territory Definitions'!$D$5:$M$14,_xlpm.t,MATCH(I$4,'[1]Territory Definitions'!$D$4:$M$4,0))&lt;&gt;1,"NOT IN TERRITORY",IF(COUNTIFS('[1]Blackout Brand Fam Areas (Enc)'!$B$6:$B$998,$A154,'[1]Blackout Brand Fam Areas (Enc)'!$C$6:$C$998,I$4,'[1]Blackout Brand Fam Areas (Enc)'!$D$6:$D$998,"Inactive")&gt;0,"BLOCKED","CAN SELL")))))</f>
        <v>CAN SELL</v>
      </c>
      <c r="J154" s="11" t="str">
        <f>IF($A154="","",_xlfn.LET(_xlpm.t,MATCH($B154,'[1]Territory Definitions'!$B$5:$B$14,0),IF(ISNA(_xlpm.t),"NO TERRITORY",IF(INDEX('[1]Territory Definitions'!$D$5:$M$14,_xlpm.t,MATCH(J$4,'[1]Territory Definitions'!$D$4:$M$4,0))&lt;&gt;1,"NOT IN TERRITORY",IF(COUNTIFS('[1]Blackout Brand Fam Areas (Enc)'!$B$6:$B$998,$A154,'[1]Blackout Brand Fam Areas (Enc)'!$C$6:$C$998,J$4,'[1]Blackout Brand Fam Areas (Enc)'!$D$6:$D$998,"Inactive")&gt;0,"BLOCKED","CAN SELL")))))</f>
        <v>CAN SELL</v>
      </c>
      <c r="K154" s="11" t="str">
        <f>IF($A154="","",_xlfn.LET(_xlpm.t,MATCH($B154,'[1]Territory Definitions'!$B$5:$B$14,0),IF(ISNA(_xlpm.t),"NO TERRITORY",IF(INDEX('[1]Territory Definitions'!$D$5:$M$14,_xlpm.t,MATCH(K$4,'[1]Territory Definitions'!$D$4:$M$4,0))&lt;&gt;1,"NOT IN TERRITORY",IF(COUNTIFS('[1]Blackout Brand Fam Areas (Enc)'!$B$6:$B$998,$A154,'[1]Blackout Brand Fam Areas (Enc)'!$C$6:$C$998,K$4,'[1]Blackout Brand Fam Areas (Enc)'!$D$6:$D$998,"Inactive")&gt;0,"BLOCKED","CAN SELL")))))</f>
        <v>CAN SELL</v>
      </c>
      <c r="L154" s="11" t="str">
        <f>IF($A154="","",_xlfn.LET(_xlpm.t,MATCH($B154,'[1]Territory Definitions'!$B$5:$B$14,0),IF(ISNA(_xlpm.t),"NO TERRITORY",IF(INDEX('[1]Territory Definitions'!$D$5:$M$14,_xlpm.t,MATCH(L$4,'[1]Territory Definitions'!$D$4:$M$4,0))&lt;&gt;1,"NOT IN TERRITORY",IF(COUNTIFS('[1]Blackout Brand Fam Areas (Enc)'!$B$6:$B$998,$A154,'[1]Blackout Brand Fam Areas (Enc)'!$C$6:$C$998,L$4,'[1]Blackout Brand Fam Areas (Enc)'!$D$6:$D$998,"Inactive")&gt;0,"BLOCKED","CAN SELL")))))</f>
        <v>CAN SELL</v>
      </c>
      <c r="M154" s="12">
        <f>IF($A154="","",COUNTIF($C154:$L154,"CAN SELL"))</f>
        <v>10</v>
      </c>
      <c r="N154" s="13" cm="1">
        <f t="array" ref="N154">IF($A154="","",SUMPRODUCT(($C154:$L154="CAN SELL")*$C$3:$L$3))</f>
        <v>2306</v>
      </c>
      <c r="O154" s="14" t="str">
        <f>IF($A154="","",IF(COUNTIF($A$5:$A$299,$A154)&gt;1,"DUPLICATE - two different territories assigned",IF($B154="** NO TERRITORY SET **","No territory on Brand Family Territory (Enc)","")))</f>
        <v/>
      </c>
      <c r="P154" s="18" t="str">
        <f>IF($A154="","",IFERROR(INDEX([1]Products!$H$4:$H$4801,MATCH($A154,[1]Products!$G$4:$G$4801,0)),"(no products)"))</f>
        <v>(no products)</v>
      </c>
      <c r="Q154" s="19">
        <f>IF($A154="","",COUNTIFS([1]Products!$G$4:$G$4801,$A154,[1]Products!$L$4:$L$4801,"Yes"))</f>
        <v>0</v>
      </c>
      <c r="R154" s="19">
        <f>IF($A154="","",COUNTIFS([1]Products!$G$4:$G$4801,$A154,[1]Products!$L$4:$L$4801,"Yes",[1]Products!$K$4:$K$4801,"Draft"))</f>
        <v>0</v>
      </c>
      <c r="S154" s="19">
        <f>IF($A154="","",COUNTIFS([1]Products!$G$4:$G$4801,$A154,[1]Products!$L$4:$L$4801,"Yes",[1]Products!$K$4:$K$4801,"Package"))</f>
        <v>0</v>
      </c>
      <c r="T154" s="20" t="str" cm="1">
        <f t="array" ref="T154">IF($A154="","",_xlfn.IFS($Q154=0,"NO ACTIVE SKUs",AND($R154&gt;0,$S154&gt;0),"Draft &amp; Package",$R154&gt;0,"Draft only",TRUE,"Package only"))</f>
        <v>NO ACTIVE SKUs</v>
      </c>
    </row>
    <row r="155" spans="1:20" x14ac:dyDescent="0.2">
      <c r="A155" s="9" t="str">
        <v>La Tropical</v>
      </c>
      <c r="B155" s="10" t="str">
        <f>IF($A155="","",_xlfn.XLOOKUP($A155,'[1]Brand Family Territory (Enc)'!$A:$A,'[1]Brand Family Territory (Enc)'!$B:$B,"** NO TERRITORY SET **"))</f>
        <v>Metro Five County</v>
      </c>
      <c r="C155" s="11" t="str">
        <f>IF($A155="","",_xlfn.LET(_xlpm.t,MATCH($B155,'[1]Territory Definitions'!$B$5:$B$14,0),IF(ISNA(_xlpm.t),"NO TERRITORY",IF(INDEX('[1]Territory Definitions'!$D$5:$M$14,_xlpm.t,MATCH(C$4,'[1]Territory Definitions'!$D$4:$M$4,0))&lt;&gt;1,"NOT IN TERRITORY",IF(COUNTIFS('[1]Blackout Brand Fam Areas (Enc)'!$B$6:$B$998,$A155,'[1]Blackout Brand Fam Areas (Enc)'!$C$6:$C$998,C$4,'[1]Blackout Brand Fam Areas (Enc)'!$D$6:$D$998,"Inactive")&gt;0,"BLOCKED","CAN SELL")))))</f>
        <v>CAN SELL</v>
      </c>
      <c r="D155" s="11" t="str">
        <f>IF($A155="","",_xlfn.LET(_xlpm.t,MATCH($B155,'[1]Territory Definitions'!$B$5:$B$14,0),IF(ISNA(_xlpm.t),"NO TERRITORY",IF(INDEX('[1]Territory Definitions'!$D$5:$M$14,_xlpm.t,MATCH(D$4,'[1]Territory Definitions'!$D$4:$M$4,0))&lt;&gt;1,"NOT IN TERRITORY",IF(COUNTIFS('[1]Blackout Brand Fam Areas (Enc)'!$B$6:$B$998,$A155,'[1]Blackout Brand Fam Areas (Enc)'!$C$6:$C$998,D$4,'[1]Blackout Brand Fam Areas (Enc)'!$D$6:$D$998,"Inactive")&gt;0,"BLOCKED","CAN SELL")))))</f>
        <v>CAN SELL</v>
      </c>
      <c r="E155" s="11" t="str">
        <f>IF($A155="","",_xlfn.LET(_xlpm.t,MATCH($B155,'[1]Territory Definitions'!$B$5:$B$14,0),IF(ISNA(_xlpm.t),"NO TERRITORY",IF(INDEX('[1]Territory Definitions'!$D$5:$M$14,_xlpm.t,MATCH(E$4,'[1]Territory Definitions'!$D$4:$M$4,0))&lt;&gt;1,"NOT IN TERRITORY",IF(COUNTIFS('[1]Blackout Brand Fam Areas (Enc)'!$B$6:$B$998,$A155,'[1]Blackout Brand Fam Areas (Enc)'!$C$6:$C$998,E$4,'[1]Blackout Brand Fam Areas (Enc)'!$D$6:$D$998,"Inactive")&gt;0,"BLOCKED","CAN SELL")))))</f>
        <v>CAN SELL</v>
      </c>
      <c r="F155" s="11" t="str">
        <f>IF($A155="","",_xlfn.LET(_xlpm.t,MATCH($B155,'[1]Territory Definitions'!$B$5:$B$14,0),IF(ISNA(_xlpm.t),"NO TERRITORY",IF(INDEX('[1]Territory Definitions'!$D$5:$M$14,_xlpm.t,MATCH(F$4,'[1]Territory Definitions'!$D$4:$M$4,0))&lt;&gt;1,"NOT IN TERRITORY",IF(COUNTIFS('[1]Blackout Brand Fam Areas (Enc)'!$B$6:$B$998,$A155,'[1]Blackout Brand Fam Areas (Enc)'!$C$6:$C$998,F$4,'[1]Blackout Brand Fam Areas (Enc)'!$D$6:$D$998,"Inactive")&gt;0,"BLOCKED","CAN SELL")))))</f>
        <v>CAN SELL</v>
      </c>
      <c r="G155" s="11" t="str">
        <f>IF($A155="","",_xlfn.LET(_xlpm.t,MATCH($B155,'[1]Territory Definitions'!$B$5:$B$14,0),IF(ISNA(_xlpm.t),"NO TERRITORY",IF(INDEX('[1]Territory Definitions'!$D$5:$M$14,_xlpm.t,MATCH(G$4,'[1]Territory Definitions'!$D$4:$M$4,0))&lt;&gt;1,"NOT IN TERRITORY",IF(COUNTIFS('[1]Blackout Brand Fam Areas (Enc)'!$B$6:$B$998,$A155,'[1]Blackout Brand Fam Areas (Enc)'!$C$6:$C$998,G$4,'[1]Blackout Brand Fam Areas (Enc)'!$D$6:$D$998,"Inactive")&gt;0,"BLOCKED","CAN SELL")))))</f>
        <v>CAN SELL</v>
      </c>
      <c r="H155" s="11" t="str">
        <f>IF($A155="","",_xlfn.LET(_xlpm.t,MATCH($B155,'[1]Territory Definitions'!$B$5:$B$14,0),IF(ISNA(_xlpm.t),"NO TERRITORY",IF(INDEX('[1]Territory Definitions'!$D$5:$M$14,_xlpm.t,MATCH(H$4,'[1]Territory Definitions'!$D$4:$M$4,0))&lt;&gt;1,"NOT IN TERRITORY",IF(COUNTIFS('[1]Blackout Brand Fam Areas (Enc)'!$B$6:$B$998,$A155,'[1]Blackout Brand Fam Areas (Enc)'!$C$6:$C$998,H$4,'[1]Blackout Brand Fam Areas (Enc)'!$D$6:$D$998,"Inactive")&gt;0,"BLOCKED","CAN SELL")))))</f>
        <v>CAN SELL</v>
      </c>
      <c r="I155" s="11" t="str">
        <f>IF($A155="","",_xlfn.LET(_xlpm.t,MATCH($B155,'[1]Territory Definitions'!$B$5:$B$14,0),IF(ISNA(_xlpm.t),"NO TERRITORY",IF(INDEX('[1]Territory Definitions'!$D$5:$M$14,_xlpm.t,MATCH(I$4,'[1]Territory Definitions'!$D$4:$M$4,0))&lt;&gt;1,"NOT IN TERRITORY",IF(COUNTIFS('[1]Blackout Brand Fam Areas (Enc)'!$B$6:$B$998,$A155,'[1]Blackout Brand Fam Areas (Enc)'!$C$6:$C$998,I$4,'[1]Blackout Brand Fam Areas (Enc)'!$D$6:$D$998,"Inactive")&gt;0,"BLOCKED","CAN SELL")))))</f>
        <v>NOT IN TERRITORY</v>
      </c>
      <c r="J155" s="11" t="str">
        <f>IF($A155="","",_xlfn.LET(_xlpm.t,MATCH($B155,'[1]Territory Definitions'!$B$5:$B$14,0),IF(ISNA(_xlpm.t),"NO TERRITORY",IF(INDEX('[1]Territory Definitions'!$D$5:$M$14,_xlpm.t,MATCH(J$4,'[1]Territory Definitions'!$D$4:$M$4,0))&lt;&gt;1,"NOT IN TERRITORY",IF(COUNTIFS('[1]Blackout Brand Fam Areas (Enc)'!$B$6:$B$998,$A155,'[1]Blackout Brand Fam Areas (Enc)'!$C$6:$C$998,J$4,'[1]Blackout Brand Fam Areas (Enc)'!$D$6:$D$998,"Inactive")&gt;0,"BLOCKED","CAN SELL")))))</f>
        <v>NOT IN TERRITORY</v>
      </c>
      <c r="K155" s="11" t="str">
        <f>IF($A155="","",_xlfn.LET(_xlpm.t,MATCH($B155,'[1]Territory Definitions'!$B$5:$B$14,0),IF(ISNA(_xlpm.t),"NO TERRITORY",IF(INDEX('[1]Territory Definitions'!$D$5:$M$14,_xlpm.t,MATCH(K$4,'[1]Territory Definitions'!$D$4:$M$4,0))&lt;&gt;1,"NOT IN TERRITORY",IF(COUNTIFS('[1]Blackout Brand Fam Areas (Enc)'!$B$6:$B$998,$A155,'[1]Blackout Brand Fam Areas (Enc)'!$C$6:$C$998,K$4,'[1]Blackout Brand Fam Areas (Enc)'!$D$6:$D$998,"Inactive")&gt;0,"BLOCKED","CAN SELL")))))</f>
        <v>NOT IN TERRITORY</v>
      </c>
      <c r="L155" s="11" t="str">
        <f>IF($A155="","",_xlfn.LET(_xlpm.t,MATCH($B155,'[1]Territory Definitions'!$B$5:$B$14,0),IF(ISNA(_xlpm.t),"NO TERRITORY",IF(INDEX('[1]Territory Definitions'!$D$5:$M$14,_xlpm.t,MATCH(L$4,'[1]Territory Definitions'!$D$4:$M$4,0))&lt;&gt;1,"NOT IN TERRITORY",IF(COUNTIFS('[1]Blackout Brand Fam Areas (Enc)'!$B$6:$B$998,$A155,'[1]Blackout Brand Fam Areas (Enc)'!$C$6:$C$998,L$4,'[1]Blackout Brand Fam Areas (Enc)'!$D$6:$D$998,"Inactive")&gt;0,"BLOCKED","CAN SELL")))))</f>
        <v>NOT IN TERRITORY</v>
      </c>
      <c r="M155" s="12">
        <f>IF($A155="","",COUNTIF($C155:$L155,"CAN SELL"))</f>
        <v>6</v>
      </c>
      <c r="N155" s="13" cm="1">
        <f t="array" ref="N155">IF($A155="","",SUMPRODUCT(($C155:$L155="CAN SELL")*$C$3:$L$3))</f>
        <v>1992</v>
      </c>
      <c r="O155" s="14" t="str">
        <f>IF($A155="","",IF(COUNTIF($A$5:$A$299,$A155)&gt;1,"DUPLICATE - two different territories assigned",IF($B155="** NO TERRITORY SET **","No territory on Brand Family Territory (Enc)","")))</f>
        <v/>
      </c>
      <c r="P155" s="18" t="str">
        <f>IF($A155="","",IFERROR(INDEX([1]Products!$H$4:$H$4801,MATCH($A155,[1]Products!$G$4:$G$4801,0)),"(no products)"))</f>
        <v>(no products)</v>
      </c>
      <c r="Q155" s="19">
        <f>IF($A155="","",COUNTIFS([1]Products!$G$4:$G$4801,$A155,[1]Products!$L$4:$L$4801,"Yes"))</f>
        <v>0</v>
      </c>
      <c r="R155" s="19">
        <f>IF($A155="","",COUNTIFS([1]Products!$G$4:$G$4801,$A155,[1]Products!$L$4:$L$4801,"Yes",[1]Products!$K$4:$K$4801,"Draft"))</f>
        <v>0</v>
      </c>
      <c r="S155" s="19">
        <f>IF($A155="","",COUNTIFS([1]Products!$G$4:$G$4801,$A155,[1]Products!$L$4:$L$4801,"Yes",[1]Products!$K$4:$K$4801,"Package"))</f>
        <v>0</v>
      </c>
      <c r="T155" s="20" t="str" cm="1">
        <f t="array" ref="T155">IF($A155="","",_xlfn.IFS($Q155=0,"NO ACTIVE SKUs",AND($R155&gt;0,$S155&gt;0),"Draft &amp; Package",$R155&gt;0,"Draft only",TRUE,"Package only"))</f>
        <v>NO ACTIVE SKUs</v>
      </c>
    </row>
    <row r="156" spans="1:20" x14ac:dyDescent="0.2">
      <c r="A156" s="9" t="str">
        <v>Lagunitas</v>
      </c>
      <c r="B156" s="10" t="str">
        <f>IF($A156="","",_xlfn.XLOOKUP($A156,'[1]Brand Family Territory (Enc)'!$A:$A,'[1]Brand Family Territory (Enc)'!$B:$B,"** NO TERRITORY SET **"))</f>
        <v>Core + Morris Communities</v>
      </c>
      <c r="C156" s="11" t="str">
        <f>IF($A156="","",_xlfn.LET(_xlpm.t,MATCH($B156,'[1]Territory Definitions'!$B$5:$B$14,0),IF(ISNA(_xlpm.t),"NO TERRITORY",IF(INDEX('[1]Territory Definitions'!$D$5:$M$14,_xlpm.t,MATCH(C$4,'[1]Territory Definitions'!$D$4:$M$4,0))&lt;&gt;1,"NOT IN TERRITORY",IF(COUNTIFS('[1]Blackout Brand Fam Areas (Enc)'!$B$6:$B$998,$A156,'[1]Blackout Brand Fam Areas (Enc)'!$C$6:$C$998,C$4,'[1]Blackout Brand Fam Areas (Enc)'!$D$6:$D$998,"Inactive")&gt;0,"BLOCKED","CAN SELL")))))</f>
        <v>CAN SELL</v>
      </c>
      <c r="D156" s="11" t="str">
        <f>IF($A156="","",_xlfn.LET(_xlpm.t,MATCH($B156,'[1]Territory Definitions'!$B$5:$B$14,0),IF(ISNA(_xlpm.t),"NO TERRITORY",IF(INDEX('[1]Territory Definitions'!$D$5:$M$14,_xlpm.t,MATCH(D$4,'[1]Territory Definitions'!$D$4:$M$4,0))&lt;&gt;1,"NOT IN TERRITORY",IF(COUNTIFS('[1]Blackout Brand Fam Areas (Enc)'!$B$6:$B$998,$A156,'[1]Blackout Brand Fam Areas (Enc)'!$C$6:$C$998,D$4,'[1]Blackout Brand Fam Areas (Enc)'!$D$6:$D$998,"Inactive")&gt;0,"BLOCKED","CAN SELL")))))</f>
        <v>CAN SELL</v>
      </c>
      <c r="E156" s="11" t="str">
        <f>IF($A156="","",_xlfn.LET(_xlpm.t,MATCH($B156,'[1]Territory Definitions'!$B$5:$B$14,0),IF(ISNA(_xlpm.t),"NO TERRITORY",IF(INDEX('[1]Territory Definitions'!$D$5:$M$14,_xlpm.t,MATCH(E$4,'[1]Territory Definitions'!$D$4:$M$4,0))&lt;&gt;1,"NOT IN TERRITORY",IF(COUNTIFS('[1]Blackout Brand Fam Areas (Enc)'!$B$6:$B$998,$A156,'[1]Blackout Brand Fam Areas (Enc)'!$C$6:$C$998,E$4,'[1]Blackout Brand Fam Areas (Enc)'!$D$6:$D$998,"Inactive")&gt;0,"BLOCKED","CAN SELL")))))</f>
        <v>CAN SELL</v>
      </c>
      <c r="F156" s="11" t="str">
        <f>IF($A156="","",_xlfn.LET(_xlpm.t,MATCH($B156,'[1]Territory Definitions'!$B$5:$B$14,0),IF(ISNA(_xlpm.t),"NO TERRITORY",IF(INDEX('[1]Territory Definitions'!$D$5:$M$14,_xlpm.t,MATCH(F$4,'[1]Territory Definitions'!$D$4:$M$4,0))&lt;&gt;1,"NOT IN TERRITORY",IF(COUNTIFS('[1]Blackout Brand Fam Areas (Enc)'!$B$6:$B$998,$A156,'[1]Blackout Brand Fam Areas (Enc)'!$C$6:$C$998,F$4,'[1]Blackout Brand Fam Areas (Enc)'!$D$6:$D$998,"Inactive")&gt;0,"BLOCKED","CAN SELL")))))</f>
        <v>NOT IN TERRITORY</v>
      </c>
      <c r="G156" s="11" t="str">
        <f>IF($A156="","",_xlfn.LET(_xlpm.t,MATCH($B156,'[1]Territory Definitions'!$B$5:$B$14,0),IF(ISNA(_xlpm.t),"NO TERRITORY",IF(INDEX('[1]Territory Definitions'!$D$5:$M$14,_xlpm.t,MATCH(G$4,'[1]Territory Definitions'!$D$4:$M$4,0))&lt;&gt;1,"NOT IN TERRITORY",IF(COUNTIFS('[1]Blackout Brand Fam Areas (Enc)'!$B$6:$B$998,$A156,'[1]Blackout Brand Fam Areas (Enc)'!$C$6:$C$998,G$4,'[1]Blackout Brand Fam Areas (Enc)'!$D$6:$D$998,"Inactive")&gt;0,"BLOCKED","CAN SELL")))))</f>
        <v>NOT IN TERRITORY</v>
      </c>
      <c r="H156" s="11" t="str">
        <f>IF($A156="","",_xlfn.LET(_xlpm.t,MATCH($B156,'[1]Territory Definitions'!$B$5:$B$14,0),IF(ISNA(_xlpm.t),"NO TERRITORY",IF(INDEX('[1]Territory Definitions'!$D$5:$M$14,_xlpm.t,MATCH(H$4,'[1]Territory Definitions'!$D$4:$M$4,0))&lt;&gt;1,"NOT IN TERRITORY",IF(COUNTIFS('[1]Blackout Brand Fam Areas (Enc)'!$B$6:$B$998,$A156,'[1]Blackout Brand Fam Areas (Enc)'!$C$6:$C$998,H$4,'[1]Blackout Brand Fam Areas (Enc)'!$D$6:$D$998,"Inactive")&gt;0,"BLOCKED","CAN SELL")))))</f>
        <v>NOT IN TERRITORY</v>
      </c>
      <c r="I156" s="11" t="str">
        <f>IF($A156="","",_xlfn.LET(_xlpm.t,MATCH($B156,'[1]Territory Definitions'!$B$5:$B$14,0),IF(ISNA(_xlpm.t),"NO TERRITORY",IF(INDEX('[1]Territory Definitions'!$D$5:$M$14,_xlpm.t,MATCH(I$4,'[1]Territory Definitions'!$D$4:$M$4,0))&lt;&gt;1,"NOT IN TERRITORY",IF(COUNTIFS('[1]Blackout Brand Fam Areas (Enc)'!$B$6:$B$998,$A156,'[1]Blackout Brand Fam Areas (Enc)'!$C$6:$C$998,I$4,'[1]Blackout Brand Fam Areas (Enc)'!$D$6:$D$998,"Inactive")&gt;0,"BLOCKED","CAN SELL")))))</f>
        <v>NOT IN TERRITORY</v>
      </c>
      <c r="J156" s="11" t="str">
        <f>IF($A156="","",_xlfn.LET(_xlpm.t,MATCH($B156,'[1]Territory Definitions'!$B$5:$B$14,0),IF(ISNA(_xlpm.t),"NO TERRITORY",IF(INDEX('[1]Territory Definitions'!$D$5:$M$14,_xlpm.t,MATCH(J$4,'[1]Territory Definitions'!$D$4:$M$4,0))&lt;&gt;1,"NOT IN TERRITORY",IF(COUNTIFS('[1]Blackout Brand Fam Areas (Enc)'!$B$6:$B$998,$A156,'[1]Blackout Brand Fam Areas (Enc)'!$C$6:$C$998,J$4,'[1]Blackout Brand Fam Areas (Enc)'!$D$6:$D$998,"Inactive")&gt;0,"BLOCKED","CAN SELL")))))</f>
        <v>BLOCKED</v>
      </c>
      <c r="K156" s="11" t="str">
        <f>IF($A156="","",_xlfn.LET(_xlpm.t,MATCH($B156,'[1]Territory Definitions'!$B$5:$B$14,0),IF(ISNA(_xlpm.t),"NO TERRITORY",IF(INDEX('[1]Territory Definitions'!$D$5:$M$14,_xlpm.t,MATCH(K$4,'[1]Territory Definitions'!$D$4:$M$4,0))&lt;&gt;1,"NOT IN TERRITORY",IF(COUNTIFS('[1]Blackout Brand Fam Areas (Enc)'!$B$6:$B$998,$A156,'[1]Blackout Brand Fam Areas (Enc)'!$C$6:$C$998,K$4,'[1]Blackout Brand Fam Areas (Enc)'!$D$6:$D$998,"Inactive")&gt;0,"BLOCKED","CAN SELL")))))</f>
        <v>NOT IN TERRITORY</v>
      </c>
      <c r="L156" s="11" t="str">
        <f>IF($A156="","",_xlfn.LET(_xlpm.t,MATCH($B156,'[1]Territory Definitions'!$B$5:$B$14,0),IF(ISNA(_xlpm.t),"NO TERRITORY",IF(INDEX('[1]Territory Definitions'!$D$5:$M$14,_xlpm.t,MATCH(L$4,'[1]Territory Definitions'!$D$4:$M$4,0))&lt;&gt;1,"NOT IN TERRITORY",IF(COUNTIFS('[1]Blackout Brand Fam Areas (Enc)'!$B$6:$B$998,$A156,'[1]Blackout Brand Fam Areas (Enc)'!$C$6:$C$998,L$4,'[1]Blackout Brand Fam Areas (Enc)'!$D$6:$D$998,"Inactive")&gt;0,"BLOCKED","CAN SELL")))))</f>
        <v>CAN SELL</v>
      </c>
      <c r="M156" s="12">
        <f>IF($A156="","",COUNTIF($C156:$L156,"CAN SELL"))</f>
        <v>4</v>
      </c>
      <c r="N156" s="13" cm="1">
        <f t="array" ref="N156">IF($A156="","",SUMPRODUCT(($C156:$L156="CAN SELL")*$C$3:$L$3))</f>
        <v>1318</v>
      </c>
      <c r="O156" s="14" t="str">
        <f>IF($A156="","",IF(COUNTIF($A$5:$A$299,$A156)&gt;1,"DUPLICATE - two different territories assigned",IF($B156="** NO TERRITORY SET **","No territory on Brand Family Territory (Enc)","")))</f>
        <v/>
      </c>
      <c r="P156" s="18" t="str">
        <f>IF($A156="","",IFERROR(INDEX([1]Products!$H$4:$H$4801,MATCH($A156,[1]Products!$G$4:$G$4801,0)),"(no products)"))</f>
        <v>Lagunitas Brewing Co</v>
      </c>
      <c r="Q156" s="19">
        <f>IF($A156="","",COUNTIFS([1]Products!$G$4:$G$4801,$A156,[1]Products!$L$4:$L$4801,"Yes"))</f>
        <v>37</v>
      </c>
      <c r="R156" s="19">
        <f>IF($A156="","",COUNTIFS([1]Products!$G$4:$G$4801,$A156,[1]Products!$L$4:$L$4801,"Yes",[1]Products!$K$4:$K$4801,"Draft"))</f>
        <v>9</v>
      </c>
      <c r="S156" s="19">
        <f>IF($A156="","",COUNTIFS([1]Products!$G$4:$G$4801,$A156,[1]Products!$L$4:$L$4801,"Yes",[1]Products!$K$4:$K$4801,"Package"))</f>
        <v>28</v>
      </c>
      <c r="T156" s="20" t="str" cm="1">
        <f t="array" ref="T156">IF($A156="","",_xlfn.IFS($Q156=0,"NO ACTIVE SKUs",AND($R156&gt;0,$S156&gt;0),"Draft &amp; Package",$R156&gt;0,"Draft only",TRUE,"Package only"))</f>
        <v>Draft &amp; Package</v>
      </c>
    </row>
    <row r="157" spans="1:20" x14ac:dyDescent="0.2">
      <c r="A157" s="9" t="str">
        <v>Lagunitas NA</v>
      </c>
      <c r="B157" s="10" t="str">
        <f>IF($A157="","",_xlfn.XLOOKUP($A157,'[1]Brand Family Territory (Enc)'!$A:$A,'[1]Brand Family Territory (Enc)'!$B:$B,"** NO TERRITORY SET **"))</f>
        <v>Core + Morris Communities</v>
      </c>
      <c r="C157" s="11" t="str">
        <f>IF($A157="","",_xlfn.LET(_xlpm.t,MATCH($B157,'[1]Territory Definitions'!$B$5:$B$14,0),IF(ISNA(_xlpm.t),"NO TERRITORY",IF(INDEX('[1]Territory Definitions'!$D$5:$M$14,_xlpm.t,MATCH(C$4,'[1]Territory Definitions'!$D$4:$M$4,0))&lt;&gt;1,"NOT IN TERRITORY",IF(COUNTIFS('[1]Blackout Brand Fam Areas (Enc)'!$B$6:$B$998,$A157,'[1]Blackout Brand Fam Areas (Enc)'!$C$6:$C$998,C$4,'[1]Blackout Brand Fam Areas (Enc)'!$D$6:$D$998,"Inactive")&gt;0,"BLOCKED","CAN SELL")))))</f>
        <v>CAN SELL</v>
      </c>
      <c r="D157" s="11" t="str">
        <f>IF($A157="","",_xlfn.LET(_xlpm.t,MATCH($B157,'[1]Territory Definitions'!$B$5:$B$14,0),IF(ISNA(_xlpm.t),"NO TERRITORY",IF(INDEX('[1]Territory Definitions'!$D$5:$M$14,_xlpm.t,MATCH(D$4,'[1]Territory Definitions'!$D$4:$M$4,0))&lt;&gt;1,"NOT IN TERRITORY",IF(COUNTIFS('[1]Blackout Brand Fam Areas (Enc)'!$B$6:$B$998,$A157,'[1]Blackout Brand Fam Areas (Enc)'!$C$6:$C$998,D$4,'[1]Blackout Brand Fam Areas (Enc)'!$D$6:$D$998,"Inactive")&gt;0,"BLOCKED","CAN SELL")))))</f>
        <v>CAN SELL</v>
      </c>
      <c r="E157" s="11" t="str">
        <f>IF($A157="","",_xlfn.LET(_xlpm.t,MATCH($B157,'[1]Territory Definitions'!$B$5:$B$14,0),IF(ISNA(_xlpm.t),"NO TERRITORY",IF(INDEX('[1]Territory Definitions'!$D$5:$M$14,_xlpm.t,MATCH(E$4,'[1]Territory Definitions'!$D$4:$M$4,0))&lt;&gt;1,"NOT IN TERRITORY",IF(COUNTIFS('[1]Blackout Brand Fam Areas (Enc)'!$B$6:$B$998,$A157,'[1]Blackout Brand Fam Areas (Enc)'!$C$6:$C$998,E$4,'[1]Blackout Brand Fam Areas (Enc)'!$D$6:$D$998,"Inactive")&gt;0,"BLOCKED","CAN SELL")))))</f>
        <v>CAN SELL</v>
      </c>
      <c r="F157" s="11" t="str">
        <f>IF($A157="","",_xlfn.LET(_xlpm.t,MATCH($B157,'[1]Territory Definitions'!$B$5:$B$14,0),IF(ISNA(_xlpm.t),"NO TERRITORY",IF(INDEX('[1]Territory Definitions'!$D$5:$M$14,_xlpm.t,MATCH(F$4,'[1]Territory Definitions'!$D$4:$M$4,0))&lt;&gt;1,"NOT IN TERRITORY",IF(COUNTIFS('[1]Blackout Brand Fam Areas (Enc)'!$B$6:$B$998,$A157,'[1]Blackout Brand Fam Areas (Enc)'!$C$6:$C$998,F$4,'[1]Blackout Brand Fam Areas (Enc)'!$D$6:$D$998,"Inactive")&gt;0,"BLOCKED","CAN SELL")))))</f>
        <v>NOT IN TERRITORY</v>
      </c>
      <c r="G157" s="11" t="str">
        <f>IF($A157="","",_xlfn.LET(_xlpm.t,MATCH($B157,'[1]Territory Definitions'!$B$5:$B$14,0),IF(ISNA(_xlpm.t),"NO TERRITORY",IF(INDEX('[1]Territory Definitions'!$D$5:$M$14,_xlpm.t,MATCH(G$4,'[1]Territory Definitions'!$D$4:$M$4,0))&lt;&gt;1,"NOT IN TERRITORY",IF(COUNTIFS('[1]Blackout Brand Fam Areas (Enc)'!$B$6:$B$998,$A157,'[1]Blackout Brand Fam Areas (Enc)'!$C$6:$C$998,G$4,'[1]Blackout Brand Fam Areas (Enc)'!$D$6:$D$998,"Inactive")&gt;0,"BLOCKED","CAN SELL")))))</f>
        <v>NOT IN TERRITORY</v>
      </c>
      <c r="H157" s="11" t="str">
        <f>IF($A157="","",_xlfn.LET(_xlpm.t,MATCH($B157,'[1]Territory Definitions'!$B$5:$B$14,0),IF(ISNA(_xlpm.t),"NO TERRITORY",IF(INDEX('[1]Territory Definitions'!$D$5:$M$14,_xlpm.t,MATCH(H$4,'[1]Territory Definitions'!$D$4:$M$4,0))&lt;&gt;1,"NOT IN TERRITORY",IF(COUNTIFS('[1]Blackout Brand Fam Areas (Enc)'!$B$6:$B$998,$A157,'[1]Blackout Brand Fam Areas (Enc)'!$C$6:$C$998,H$4,'[1]Blackout Brand Fam Areas (Enc)'!$D$6:$D$998,"Inactive")&gt;0,"BLOCKED","CAN SELL")))))</f>
        <v>NOT IN TERRITORY</v>
      </c>
      <c r="I157" s="11" t="str">
        <f>IF($A157="","",_xlfn.LET(_xlpm.t,MATCH($B157,'[1]Territory Definitions'!$B$5:$B$14,0),IF(ISNA(_xlpm.t),"NO TERRITORY",IF(INDEX('[1]Territory Definitions'!$D$5:$M$14,_xlpm.t,MATCH(I$4,'[1]Territory Definitions'!$D$4:$M$4,0))&lt;&gt;1,"NOT IN TERRITORY",IF(COUNTIFS('[1]Blackout Brand Fam Areas (Enc)'!$B$6:$B$998,$A157,'[1]Blackout Brand Fam Areas (Enc)'!$C$6:$C$998,I$4,'[1]Blackout Brand Fam Areas (Enc)'!$D$6:$D$998,"Inactive")&gt;0,"BLOCKED","CAN SELL")))))</f>
        <v>NOT IN TERRITORY</v>
      </c>
      <c r="J157" s="11" t="str">
        <f>IF($A157="","",_xlfn.LET(_xlpm.t,MATCH($B157,'[1]Territory Definitions'!$B$5:$B$14,0),IF(ISNA(_xlpm.t),"NO TERRITORY",IF(INDEX('[1]Territory Definitions'!$D$5:$M$14,_xlpm.t,MATCH(J$4,'[1]Territory Definitions'!$D$4:$M$4,0))&lt;&gt;1,"NOT IN TERRITORY",IF(COUNTIFS('[1]Blackout Brand Fam Areas (Enc)'!$B$6:$B$998,$A157,'[1]Blackout Brand Fam Areas (Enc)'!$C$6:$C$998,J$4,'[1]Blackout Brand Fam Areas (Enc)'!$D$6:$D$998,"Inactive")&gt;0,"BLOCKED","CAN SELL")))))</f>
        <v>BLOCKED</v>
      </c>
      <c r="K157" s="11" t="str">
        <f>IF($A157="","",_xlfn.LET(_xlpm.t,MATCH($B157,'[1]Territory Definitions'!$B$5:$B$14,0),IF(ISNA(_xlpm.t),"NO TERRITORY",IF(INDEX('[1]Territory Definitions'!$D$5:$M$14,_xlpm.t,MATCH(K$4,'[1]Territory Definitions'!$D$4:$M$4,0))&lt;&gt;1,"NOT IN TERRITORY",IF(COUNTIFS('[1]Blackout Brand Fam Areas (Enc)'!$B$6:$B$998,$A157,'[1]Blackout Brand Fam Areas (Enc)'!$C$6:$C$998,K$4,'[1]Blackout Brand Fam Areas (Enc)'!$D$6:$D$998,"Inactive")&gt;0,"BLOCKED","CAN SELL")))))</f>
        <v>NOT IN TERRITORY</v>
      </c>
      <c r="L157" s="11" t="str">
        <f>IF($A157="","",_xlfn.LET(_xlpm.t,MATCH($B157,'[1]Territory Definitions'!$B$5:$B$14,0),IF(ISNA(_xlpm.t),"NO TERRITORY",IF(INDEX('[1]Territory Definitions'!$D$5:$M$14,_xlpm.t,MATCH(L$4,'[1]Territory Definitions'!$D$4:$M$4,0))&lt;&gt;1,"NOT IN TERRITORY",IF(COUNTIFS('[1]Blackout Brand Fam Areas (Enc)'!$B$6:$B$998,$A157,'[1]Blackout Brand Fam Areas (Enc)'!$C$6:$C$998,L$4,'[1]Blackout Brand Fam Areas (Enc)'!$D$6:$D$998,"Inactive")&gt;0,"BLOCKED","CAN SELL")))))</f>
        <v>CAN SELL</v>
      </c>
      <c r="M157" s="12">
        <f>IF($A157="","",COUNTIF($C157:$L157,"CAN SELL"))</f>
        <v>4</v>
      </c>
      <c r="N157" s="13" cm="1">
        <f t="array" ref="N157">IF($A157="","",SUMPRODUCT(($C157:$L157="CAN SELL")*$C$3:$L$3))</f>
        <v>1318</v>
      </c>
      <c r="O157" s="14" t="str">
        <f>IF($A157="","",IF(COUNTIF($A$5:$A$299,$A157)&gt;1,"DUPLICATE - two different territories assigned",IF($B157="** NO TERRITORY SET **","No territory on Brand Family Territory (Enc)","")))</f>
        <v/>
      </c>
      <c r="P157" s="18" t="str">
        <f>IF($A157="","",IFERROR(INDEX([1]Products!$H$4:$H$4801,MATCH($A157,[1]Products!$G$4:$G$4801,0)),"(no products)"))</f>
        <v>Lagunitas Brewing Co</v>
      </c>
      <c r="Q157" s="19">
        <f>IF($A157="","",COUNTIFS([1]Products!$G$4:$G$4801,$A157,[1]Products!$L$4:$L$4801,"Yes"))</f>
        <v>5</v>
      </c>
      <c r="R157" s="19">
        <f>IF($A157="","",COUNTIFS([1]Products!$G$4:$G$4801,$A157,[1]Products!$L$4:$L$4801,"Yes",[1]Products!$K$4:$K$4801,"Draft"))</f>
        <v>0</v>
      </c>
      <c r="S157" s="19">
        <f>IF($A157="","",COUNTIFS([1]Products!$G$4:$G$4801,$A157,[1]Products!$L$4:$L$4801,"Yes",[1]Products!$K$4:$K$4801,"Package"))</f>
        <v>5</v>
      </c>
      <c r="T157" s="20" t="str" cm="1">
        <f t="array" ref="T157">IF($A157="","",_xlfn.IFS($Q157=0,"NO ACTIVE SKUs",AND($R157&gt;0,$S157&gt;0),"Draft &amp; Package",$R157&gt;0,"Draft only",TRUE,"Package only"))</f>
        <v>Package only</v>
      </c>
    </row>
    <row r="158" spans="1:20" x14ac:dyDescent="0.2">
      <c r="A158" s="9" t="str">
        <v>Lark Infused D9</v>
      </c>
      <c r="B158" s="10" t="str">
        <f>IF($A158="","",_xlfn.XLOOKUP($A158,'[1]Brand Family Territory (Enc)'!$A:$A,'[1]Brand Family Territory (Enc)'!$B:$B,"** NO TERRITORY SET **"))</f>
        <v>All Counties</v>
      </c>
      <c r="C158" s="11" t="str">
        <f>IF($A158="","",_xlfn.LET(_xlpm.t,MATCH($B158,'[1]Territory Definitions'!$B$5:$B$14,0),IF(ISNA(_xlpm.t),"NO TERRITORY",IF(INDEX('[1]Territory Definitions'!$D$5:$M$14,_xlpm.t,MATCH(C$4,'[1]Territory Definitions'!$D$4:$M$4,0))&lt;&gt;1,"NOT IN TERRITORY",IF(COUNTIFS('[1]Blackout Brand Fam Areas (Enc)'!$B$6:$B$998,$A158,'[1]Blackout Brand Fam Areas (Enc)'!$C$6:$C$998,C$4,'[1]Blackout Brand Fam Areas (Enc)'!$D$6:$D$998,"Inactive")&gt;0,"BLOCKED","CAN SELL")))))</f>
        <v>CAN SELL</v>
      </c>
      <c r="D158" s="11" t="str">
        <f>IF($A158="","",_xlfn.LET(_xlpm.t,MATCH($B158,'[1]Territory Definitions'!$B$5:$B$14,0),IF(ISNA(_xlpm.t),"NO TERRITORY",IF(INDEX('[1]Territory Definitions'!$D$5:$M$14,_xlpm.t,MATCH(D$4,'[1]Territory Definitions'!$D$4:$M$4,0))&lt;&gt;1,"NOT IN TERRITORY",IF(COUNTIFS('[1]Blackout Brand Fam Areas (Enc)'!$B$6:$B$998,$A158,'[1]Blackout Brand Fam Areas (Enc)'!$C$6:$C$998,D$4,'[1]Blackout Brand Fam Areas (Enc)'!$D$6:$D$998,"Inactive")&gt;0,"BLOCKED","CAN SELL")))))</f>
        <v>CAN SELL</v>
      </c>
      <c r="E158" s="11" t="str">
        <f>IF($A158="","",_xlfn.LET(_xlpm.t,MATCH($B158,'[1]Territory Definitions'!$B$5:$B$14,0),IF(ISNA(_xlpm.t),"NO TERRITORY",IF(INDEX('[1]Territory Definitions'!$D$5:$M$14,_xlpm.t,MATCH(E$4,'[1]Territory Definitions'!$D$4:$M$4,0))&lt;&gt;1,"NOT IN TERRITORY",IF(COUNTIFS('[1]Blackout Brand Fam Areas (Enc)'!$B$6:$B$998,$A158,'[1]Blackout Brand Fam Areas (Enc)'!$C$6:$C$998,E$4,'[1]Blackout Brand Fam Areas (Enc)'!$D$6:$D$998,"Inactive")&gt;0,"BLOCKED","CAN SELL")))))</f>
        <v>CAN SELL</v>
      </c>
      <c r="F158" s="11" t="str">
        <f>IF($A158="","",_xlfn.LET(_xlpm.t,MATCH($B158,'[1]Territory Definitions'!$B$5:$B$14,0),IF(ISNA(_xlpm.t),"NO TERRITORY",IF(INDEX('[1]Territory Definitions'!$D$5:$M$14,_xlpm.t,MATCH(F$4,'[1]Territory Definitions'!$D$4:$M$4,0))&lt;&gt;1,"NOT IN TERRITORY",IF(COUNTIFS('[1]Blackout Brand Fam Areas (Enc)'!$B$6:$B$998,$A158,'[1]Blackout Brand Fam Areas (Enc)'!$C$6:$C$998,F$4,'[1]Blackout Brand Fam Areas (Enc)'!$D$6:$D$998,"Inactive")&gt;0,"BLOCKED","CAN SELL")))))</f>
        <v>CAN SELL</v>
      </c>
      <c r="G158" s="11" t="str">
        <f>IF($A158="","",_xlfn.LET(_xlpm.t,MATCH($B158,'[1]Territory Definitions'!$B$5:$B$14,0),IF(ISNA(_xlpm.t),"NO TERRITORY",IF(INDEX('[1]Territory Definitions'!$D$5:$M$14,_xlpm.t,MATCH(G$4,'[1]Territory Definitions'!$D$4:$M$4,0))&lt;&gt;1,"NOT IN TERRITORY",IF(COUNTIFS('[1]Blackout Brand Fam Areas (Enc)'!$B$6:$B$998,$A158,'[1]Blackout Brand Fam Areas (Enc)'!$C$6:$C$998,G$4,'[1]Blackout Brand Fam Areas (Enc)'!$D$6:$D$998,"Inactive")&gt;0,"BLOCKED","CAN SELL")))))</f>
        <v>CAN SELL</v>
      </c>
      <c r="H158" s="11" t="str">
        <f>IF($A158="","",_xlfn.LET(_xlpm.t,MATCH($B158,'[1]Territory Definitions'!$B$5:$B$14,0),IF(ISNA(_xlpm.t),"NO TERRITORY",IF(INDEX('[1]Territory Definitions'!$D$5:$M$14,_xlpm.t,MATCH(H$4,'[1]Territory Definitions'!$D$4:$M$4,0))&lt;&gt;1,"NOT IN TERRITORY",IF(COUNTIFS('[1]Blackout Brand Fam Areas (Enc)'!$B$6:$B$998,$A158,'[1]Blackout Brand Fam Areas (Enc)'!$C$6:$C$998,H$4,'[1]Blackout Brand Fam Areas (Enc)'!$D$6:$D$998,"Inactive")&gt;0,"BLOCKED","CAN SELL")))))</f>
        <v>CAN SELL</v>
      </c>
      <c r="I158" s="11" t="str">
        <f>IF($A158="","",_xlfn.LET(_xlpm.t,MATCH($B158,'[1]Territory Definitions'!$B$5:$B$14,0),IF(ISNA(_xlpm.t),"NO TERRITORY",IF(INDEX('[1]Territory Definitions'!$D$5:$M$14,_xlpm.t,MATCH(I$4,'[1]Territory Definitions'!$D$4:$M$4,0))&lt;&gt;1,"NOT IN TERRITORY",IF(COUNTIFS('[1]Blackout Brand Fam Areas (Enc)'!$B$6:$B$998,$A158,'[1]Blackout Brand Fam Areas (Enc)'!$C$6:$C$998,I$4,'[1]Blackout Brand Fam Areas (Enc)'!$D$6:$D$998,"Inactive")&gt;0,"BLOCKED","CAN SELL")))))</f>
        <v>CAN SELL</v>
      </c>
      <c r="J158" s="11" t="str">
        <f>IF($A158="","",_xlfn.LET(_xlpm.t,MATCH($B158,'[1]Territory Definitions'!$B$5:$B$14,0),IF(ISNA(_xlpm.t),"NO TERRITORY",IF(INDEX('[1]Territory Definitions'!$D$5:$M$14,_xlpm.t,MATCH(J$4,'[1]Territory Definitions'!$D$4:$M$4,0))&lt;&gt;1,"NOT IN TERRITORY",IF(COUNTIFS('[1]Blackout Brand Fam Areas (Enc)'!$B$6:$B$998,$A158,'[1]Blackout Brand Fam Areas (Enc)'!$C$6:$C$998,J$4,'[1]Blackout Brand Fam Areas (Enc)'!$D$6:$D$998,"Inactive")&gt;0,"BLOCKED","CAN SELL")))))</f>
        <v>CAN SELL</v>
      </c>
      <c r="K158" s="11" t="str">
        <f>IF($A158="","",_xlfn.LET(_xlpm.t,MATCH($B158,'[1]Territory Definitions'!$B$5:$B$14,0),IF(ISNA(_xlpm.t),"NO TERRITORY",IF(INDEX('[1]Territory Definitions'!$D$5:$M$14,_xlpm.t,MATCH(K$4,'[1]Territory Definitions'!$D$4:$M$4,0))&lt;&gt;1,"NOT IN TERRITORY",IF(COUNTIFS('[1]Blackout Brand Fam Areas (Enc)'!$B$6:$B$998,$A158,'[1]Blackout Brand Fam Areas (Enc)'!$C$6:$C$998,K$4,'[1]Blackout Brand Fam Areas (Enc)'!$D$6:$D$998,"Inactive")&gt;0,"BLOCKED","CAN SELL")))))</f>
        <v>CAN SELL</v>
      </c>
      <c r="L158" s="11" t="str">
        <f>IF($A158="","",_xlfn.LET(_xlpm.t,MATCH($B158,'[1]Territory Definitions'!$B$5:$B$14,0),IF(ISNA(_xlpm.t),"NO TERRITORY",IF(INDEX('[1]Territory Definitions'!$D$5:$M$14,_xlpm.t,MATCH(L$4,'[1]Territory Definitions'!$D$4:$M$4,0))&lt;&gt;1,"NOT IN TERRITORY",IF(COUNTIFS('[1]Blackout Brand Fam Areas (Enc)'!$B$6:$B$998,$A158,'[1]Blackout Brand Fam Areas (Enc)'!$C$6:$C$998,L$4,'[1]Blackout Brand Fam Areas (Enc)'!$D$6:$D$998,"Inactive")&gt;0,"BLOCKED","CAN SELL")))))</f>
        <v>CAN SELL</v>
      </c>
      <c r="M158" s="12">
        <f>IF($A158="","",COUNTIF($C158:$L158,"CAN SELL"))</f>
        <v>10</v>
      </c>
      <c r="N158" s="13" cm="1">
        <f t="array" ref="N158">IF($A158="","",SUMPRODUCT(($C158:$L158="CAN SELL")*$C$3:$L$3))</f>
        <v>2306</v>
      </c>
      <c r="O158" s="14" t="str">
        <f>IF($A158="","",IF(COUNTIF($A$5:$A$299,$A158)&gt;1,"DUPLICATE - two different territories assigned",IF($B158="** NO TERRITORY SET **","No territory on Brand Family Territory (Enc)","")))</f>
        <v/>
      </c>
      <c r="P158" s="18" t="str">
        <f>IF($A158="","",IFERROR(INDEX([1]Products!$H$4:$H$4801,MATCH($A158,[1]Products!$G$4:$G$4801,0)),"(no products)"))</f>
        <v>Emergent Beverage Partners</v>
      </c>
      <c r="Q158" s="19">
        <f>IF($A158="","",COUNTIFS([1]Products!$G$4:$G$4801,$A158,[1]Products!$L$4:$L$4801,"Yes"))</f>
        <v>2</v>
      </c>
      <c r="R158" s="19">
        <f>IF($A158="","",COUNTIFS([1]Products!$G$4:$G$4801,$A158,[1]Products!$L$4:$L$4801,"Yes",[1]Products!$K$4:$K$4801,"Draft"))</f>
        <v>0</v>
      </c>
      <c r="S158" s="19">
        <f>IF($A158="","",COUNTIFS([1]Products!$G$4:$G$4801,$A158,[1]Products!$L$4:$L$4801,"Yes",[1]Products!$K$4:$K$4801,"Package"))</f>
        <v>2</v>
      </c>
      <c r="T158" s="20" t="str" cm="1">
        <f t="array" ref="T158">IF($A158="","",_xlfn.IFS($Q158=0,"NO ACTIVE SKUs",AND($R158&gt;0,$S158&gt;0),"Draft &amp; Package",$R158&gt;0,"Draft only",TRUE,"Package only"))</f>
        <v>Package only</v>
      </c>
    </row>
    <row r="159" spans="1:20" x14ac:dyDescent="0.2">
      <c r="A159" s="9" t="str">
        <v>Leinenkugel</v>
      </c>
      <c r="B159" s="10" t="str">
        <f>IF($A159="","",_xlfn.XLOOKUP($A159,'[1]Brand Family Territory (Enc)'!$A:$A,'[1]Brand Family Territory (Enc)'!$B:$B,"** NO TERRITORY SET **"))</f>
        <v>Core Market</v>
      </c>
      <c r="C159" s="11" t="str">
        <f>IF($A159="","",_xlfn.LET(_xlpm.t,MATCH($B159,'[1]Territory Definitions'!$B$5:$B$14,0),IF(ISNA(_xlpm.t),"NO TERRITORY",IF(INDEX('[1]Territory Definitions'!$D$5:$M$14,_xlpm.t,MATCH(C$4,'[1]Territory Definitions'!$D$4:$M$4,0))&lt;&gt;1,"NOT IN TERRITORY",IF(COUNTIFS('[1]Blackout Brand Fam Areas (Enc)'!$B$6:$B$998,$A159,'[1]Blackout Brand Fam Areas (Enc)'!$C$6:$C$998,C$4,'[1]Blackout Brand Fam Areas (Enc)'!$D$6:$D$998,"Inactive")&gt;0,"BLOCKED","CAN SELL")))))</f>
        <v>CAN SELL</v>
      </c>
      <c r="D159" s="11" t="str">
        <f>IF($A159="","",_xlfn.LET(_xlpm.t,MATCH($B159,'[1]Territory Definitions'!$B$5:$B$14,0),IF(ISNA(_xlpm.t),"NO TERRITORY",IF(INDEX('[1]Territory Definitions'!$D$5:$M$14,_xlpm.t,MATCH(D$4,'[1]Territory Definitions'!$D$4:$M$4,0))&lt;&gt;1,"NOT IN TERRITORY",IF(COUNTIFS('[1]Blackout Brand Fam Areas (Enc)'!$B$6:$B$998,$A159,'[1]Blackout Brand Fam Areas (Enc)'!$C$6:$C$998,D$4,'[1]Blackout Brand Fam Areas (Enc)'!$D$6:$D$998,"Inactive")&gt;0,"BLOCKED","CAN SELL")))))</f>
        <v>CAN SELL</v>
      </c>
      <c r="E159" s="11" t="str">
        <f>IF($A159="","",_xlfn.LET(_xlpm.t,MATCH($B159,'[1]Territory Definitions'!$B$5:$B$14,0),IF(ISNA(_xlpm.t),"NO TERRITORY",IF(INDEX('[1]Territory Definitions'!$D$5:$M$14,_xlpm.t,MATCH(E$4,'[1]Territory Definitions'!$D$4:$M$4,0))&lt;&gt;1,"NOT IN TERRITORY",IF(COUNTIFS('[1]Blackout Brand Fam Areas (Enc)'!$B$6:$B$998,$A159,'[1]Blackout Brand Fam Areas (Enc)'!$C$6:$C$998,E$4,'[1]Blackout Brand Fam Areas (Enc)'!$D$6:$D$998,"Inactive")&gt;0,"BLOCKED","CAN SELL")))))</f>
        <v>CAN SELL</v>
      </c>
      <c r="F159" s="11" t="str">
        <f>IF($A159="","",_xlfn.LET(_xlpm.t,MATCH($B159,'[1]Territory Definitions'!$B$5:$B$14,0),IF(ISNA(_xlpm.t),"NO TERRITORY",IF(INDEX('[1]Territory Definitions'!$D$5:$M$14,_xlpm.t,MATCH(F$4,'[1]Territory Definitions'!$D$4:$M$4,0))&lt;&gt;1,"NOT IN TERRITORY",IF(COUNTIFS('[1]Blackout Brand Fam Areas (Enc)'!$B$6:$B$998,$A159,'[1]Blackout Brand Fam Areas (Enc)'!$C$6:$C$998,F$4,'[1]Blackout Brand Fam Areas (Enc)'!$D$6:$D$998,"Inactive")&gt;0,"BLOCKED","CAN SELL")))))</f>
        <v>NOT IN TERRITORY</v>
      </c>
      <c r="G159" s="11" t="str">
        <f>IF($A159="","",_xlfn.LET(_xlpm.t,MATCH($B159,'[1]Territory Definitions'!$B$5:$B$14,0),IF(ISNA(_xlpm.t),"NO TERRITORY",IF(INDEX('[1]Territory Definitions'!$D$5:$M$14,_xlpm.t,MATCH(G$4,'[1]Territory Definitions'!$D$4:$M$4,0))&lt;&gt;1,"NOT IN TERRITORY",IF(COUNTIFS('[1]Blackout Brand Fam Areas (Enc)'!$B$6:$B$998,$A159,'[1]Blackout Brand Fam Areas (Enc)'!$C$6:$C$998,G$4,'[1]Blackout Brand Fam Areas (Enc)'!$D$6:$D$998,"Inactive")&gt;0,"BLOCKED","CAN SELL")))))</f>
        <v>NOT IN TERRITORY</v>
      </c>
      <c r="H159" s="11" t="str">
        <f>IF($A159="","",_xlfn.LET(_xlpm.t,MATCH($B159,'[1]Territory Definitions'!$B$5:$B$14,0),IF(ISNA(_xlpm.t),"NO TERRITORY",IF(INDEX('[1]Territory Definitions'!$D$5:$M$14,_xlpm.t,MATCH(H$4,'[1]Territory Definitions'!$D$4:$M$4,0))&lt;&gt;1,"NOT IN TERRITORY",IF(COUNTIFS('[1]Blackout Brand Fam Areas (Enc)'!$B$6:$B$998,$A159,'[1]Blackout Brand Fam Areas (Enc)'!$C$6:$C$998,H$4,'[1]Blackout Brand Fam Areas (Enc)'!$D$6:$D$998,"Inactive")&gt;0,"BLOCKED","CAN SELL")))))</f>
        <v>NOT IN TERRITORY</v>
      </c>
      <c r="I159" s="11" t="str">
        <f>IF($A159="","",_xlfn.LET(_xlpm.t,MATCH($B159,'[1]Territory Definitions'!$B$5:$B$14,0),IF(ISNA(_xlpm.t),"NO TERRITORY",IF(INDEX('[1]Territory Definitions'!$D$5:$M$14,_xlpm.t,MATCH(I$4,'[1]Territory Definitions'!$D$4:$M$4,0))&lt;&gt;1,"NOT IN TERRITORY",IF(COUNTIFS('[1]Blackout Brand Fam Areas (Enc)'!$B$6:$B$998,$A159,'[1]Blackout Brand Fam Areas (Enc)'!$C$6:$C$998,I$4,'[1]Blackout Brand Fam Areas (Enc)'!$D$6:$D$998,"Inactive")&gt;0,"BLOCKED","CAN SELL")))))</f>
        <v>CAN SELL</v>
      </c>
      <c r="J159" s="11" t="str">
        <f>IF($A159="","",_xlfn.LET(_xlpm.t,MATCH($B159,'[1]Territory Definitions'!$B$5:$B$14,0),IF(ISNA(_xlpm.t),"NO TERRITORY",IF(INDEX('[1]Territory Definitions'!$D$5:$M$14,_xlpm.t,MATCH(J$4,'[1]Territory Definitions'!$D$4:$M$4,0))&lt;&gt;1,"NOT IN TERRITORY",IF(COUNTIFS('[1]Blackout Brand Fam Areas (Enc)'!$B$6:$B$998,$A159,'[1]Blackout Brand Fam Areas (Enc)'!$C$6:$C$998,J$4,'[1]Blackout Brand Fam Areas (Enc)'!$D$6:$D$998,"Inactive")&gt;0,"BLOCKED","CAN SELL")))))</f>
        <v>CAN SELL</v>
      </c>
      <c r="K159" s="11" t="str">
        <f>IF($A159="","",_xlfn.LET(_xlpm.t,MATCH($B159,'[1]Territory Definitions'!$B$5:$B$14,0),IF(ISNA(_xlpm.t),"NO TERRITORY",IF(INDEX('[1]Territory Definitions'!$D$5:$M$14,_xlpm.t,MATCH(K$4,'[1]Territory Definitions'!$D$4:$M$4,0))&lt;&gt;1,"NOT IN TERRITORY",IF(COUNTIFS('[1]Blackout Brand Fam Areas (Enc)'!$B$6:$B$998,$A159,'[1]Blackout Brand Fam Areas (Enc)'!$C$6:$C$998,K$4,'[1]Blackout Brand Fam Areas (Enc)'!$D$6:$D$998,"Inactive")&gt;0,"BLOCKED","CAN SELL")))))</f>
        <v>NOT IN TERRITORY</v>
      </c>
      <c r="L159" s="11" t="str">
        <f>IF($A159="","",_xlfn.LET(_xlpm.t,MATCH($B159,'[1]Territory Definitions'!$B$5:$B$14,0),IF(ISNA(_xlpm.t),"NO TERRITORY",IF(INDEX('[1]Territory Definitions'!$D$5:$M$14,_xlpm.t,MATCH(L$4,'[1]Territory Definitions'!$D$4:$M$4,0))&lt;&gt;1,"NOT IN TERRITORY",IF(COUNTIFS('[1]Blackout Brand Fam Areas (Enc)'!$B$6:$B$998,$A159,'[1]Blackout Brand Fam Areas (Enc)'!$C$6:$C$998,L$4,'[1]Blackout Brand Fam Areas (Enc)'!$D$6:$D$998,"Inactive")&gt;0,"BLOCKED","CAN SELL")))))</f>
        <v>CAN SELL</v>
      </c>
      <c r="M159" s="12">
        <f>IF($A159="","",COUNTIF($C159:$L159,"CAN SELL"))</f>
        <v>6</v>
      </c>
      <c r="N159" s="13" cm="1">
        <f t="array" ref="N159">IF($A159="","",SUMPRODUCT(($C159:$L159="CAN SELL")*$C$3:$L$3))</f>
        <v>1596</v>
      </c>
      <c r="O159" s="14" t="str">
        <f>IF($A159="","",IF(COUNTIF($A$5:$A$299,$A159)&gt;1,"DUPLICATE - two different territories assigned",IF($B159="** NO TERRITORY SET **","No territory on Brand Family Territory (Enc)","")))</f>
        <v/>
      </c>
      <c r="P159" s="18" t="str">
        <f>IF($A159="","",IFERROR(INDEX([1]Products!$H$4:$H$4801,MATCH($A159,[1]Products!$G$4:$G$4801,0)),"(no products)"))</f>
        <v>MolsonCoors Beverage Company</v>
      </c>
      <c r="Q159" s="19">
        <f>IF($A159="","",COUNTIFS([1]Products!$G$4:$G$4801,$A159,[1]Products!$L$4:$L$4801,"Yes"))</f>
        <v>12</v>
      </c>
      <c r="R159" s="19">
        <f>IF($A159="","",COUNTIFS([1]Products!$G$4:$G$4801,$A159,[1]Products!$L$4:$L$4801,"Yes",[1]Products!$K$4:$K$4801,"Draft"))</f>
        <v>2</v>
      </c>
      <c r="S159" s="19">
        <f>IF($A159="","",COUNTIFS([1]Products!$G$4:$G$4801,$A159,[1]Products!$L$4:$L$4801,"Yes",[1]Products!$K$4:$K$4801,"Package"))</f>
        <v>10</v>
      </c>
      <c r="T159" s="20" t="str" cm="1">
        <f t="array" ref="T159">IF($A159="","",_xlfn.IFS($Q159=0,"NO ACTIVE SKUs",AND($R159&gt;0,$S159&gt;0),"Draft &amp; Package",$R159&gt;0,"Draft only",TRUE,"Package only"))</f>
        <v>Draft &amp; Package</v>
      </c>
    </row>
    <row r="160" spans="1:20" x14ac:dyDescent="0.2">
      <c r="A160" s="9" t="str">
        <v>Lightstrike</v>
      </c>
      <c r="B160" s="10" t="str">
        <f>IF($A160="","",_xlfn.XLOOKUP($A160,'[1]Brand Family Territory (Enc)'!$A:$A,'[1]Brand Family Territory (Enc)'!$B:$B,"** NO TERRITORY SET **"))</f>
        <v>Core Market</v>
      </c>
      <c r="C160" s="11" t="str">
        <f>IF($A160="","",_xlfn.LET(_xlpm.t,MATCH($B160,'[1]Territory Definitions'!$B$5:$B$14,0),IF(ISNA(_xlpm.t),"NO TERRITORY",IF(INDEX('[1]Territory Definitions'!$D$5:$M$14,_xlpm.t,MATCH(C$4,'[1]Territory Definitions'!$D$4:$M$4,0))&lt;&gt;1,"NOT IN TERRITORY",IF(COUNTIFS('[1]Blackout Brand Fam Areas (Enc)'!$B$6:$B$998,$A160,'[1]Blackout Brand Fam Areas (Enc)'!$C$6:$C$998,C$4,'[1]Blackout Brand Fam Areas (Enc)'!$D$6:$D$998,"Inactive")&gt;0,"BLOCKED","CAN SELL")))))</f>
        <v>CAN SELL</v>
      </c>
      <c r="D160" s="11" t="str">
        <f>IF($A160="","",_xlfn.LET(_xlpm.t,MATCH($B160,'[1]Territory Definitions'!$B$5:$B$14,0),IF(ISNA(_xlpm.t),"NO TERRITORY",IF(INDEX('[1]Territory Definitions'!$D$5:$M$14,_xlpm.t,MATCH(D$4,'[1]Territory Definitions'!$D$4:$M$4,0))&lt;&gt;1,"NOT IN TERRITORY",IF(COUNTIFS('[1]Blackout Brand Fam Areas (Enc)'!$B$6:$B$998,$A160,'[1]Blackout Brand Fam Areas (Enc)'!$C$6:$C$998,D$4,'[1]Blackout Brand Fam Areas (Enc)'!$D$6:$D$998,"Inactive")&gt;0,"BLOCKED","CAN SELL")))))</f>
        <v>CAN SELL</v>
      </c>
      <c r="E160" s="11" t="str">
        <f>IF($A160="","",_xlfn.LET(_xlpm.t,MATCH($B160,'[1]Territory Definitions'!$B$5:$B$14,0),IF(ISNA(_xlpm.t),"NO TERRITORY",IF(INDEX('[1]Territory Definitions'!$D$5:$M$14,_xlpm.t,MATCH(E$4,'[1]Territory Definitions'!$D$4:$M$4,0))&lt;&gt;1,"NOT IN TERRITORY",IF(COUNTIFS('[1]Blackout Brand Fam Areas (Enc)'!$B$6:$B$998,$A160,'[1]Blackout Brand Fam Areas (Enc)'!$C$6:$C$998,E$4,'[1]Blackout Brand Fam Areas (Enc)'!$D$6:$D$998,"Inactive")&gt;0,"BLOCKED","CAN SELL")))))</f>
        <v>CAN SELL</v>
      </c>
      <c r="F160" s="11" t="str">
        <f>IF($A160="","",_xlfn.LET(_xlpm.t,MATCH($B160,'[1]Territory Definitions'!$B$5:$B$14,0),IF(ISNA(_xlpm.t),"NO TERRITORY",IF(INDEX('[1]Territory Definitions'!$D$5:$M$14,_xlpm.t,MATCH(F$4,'[1]Territory Definitions'!$D$4:$M$4,0))&lt;&gt;1,"NOT IN TERRITORY",IF(COUNTIFS('[1]Blackout Brand Fam Areas (Enc)'!$B$6:$B$998,$A160,'[1]Blackout Brand Fam Areas (Enc)'!$C$6:$C$998,F$4,'[1]Blackout Brand Fam Areas (Enc)'!$D$6:$D$998,"Inactive")&gt;0,"BLOCKED","CAN SELL")))))</f>
        <v>NOT IN TERRITORY</v>
      </c>
      <c r="G160" s="11" t="str">
        <f>IF($A160="","",_xlfn.LET(_xlpm.t,MATCH($B160,'[1]Territory Definitions'!$B$5:$B$14,0),IF(ISNA(_xlpm.t),"NO TERRITORY",IF(INDEX('[1]Territory Definitions'!$D$5:$M$14,_xlpm.t,MATCH(G$4,'[1]Territory Definitions'!$D$4:$M$4,0))&lt;&gt;1,"NOT IN TERRITORY",IF(COUNTIFS('[1]Blackout Brand Fam Areas (Enc)'!$B$6:$B$998,$A160,'[1]Blackout Brand Fam Areas (Enc)'!$C$6:$C$998,G$4,'[1]Blackout Brand Fam Areas (Enc)'!$D$6:$D$998,"Inactive")&gt;0,"BLOCKED","CAN SELL")))))</f>
        <v>NOT IN TERRITORY</v>
      </c>
      <c r="H160" s="11" t="str">
        <f>IF($A160="","",_xlfn.LET(_xlpm.t,MATCH($B160,'[1]Territory Definitions'!$B$5:$B$14,0),IF(ISNA(_xlpm.t),"NO TERRITORY",IF(INDEX('[1]Territory Definitions'!$D$5:$M$14,_xlpm.t,MATCH(H$4,'[1]Territory Definitions'!$D$4:$M$4,0))&lt;&gt;1,"NOT IN TERRITORY",IF(COUNTIFS('[1]Blackout Brand Fam Areas (Enc)'!$B$6:$B$998,$A160,'[1]Blackout Brand Fam Areas (Enc)'!$C$6:$C$998,H$4,'[1]Blackout Brand Fam Areas (Enc)'!$D$6:$D$998,"Inactive")&gt;0,"BLOCKED","CAN SELL")))))</f>
        <v>NOT IN TERRITORY</v>
      </c>
      <c r="I160" s="11" t="str">
        <f>IF($A160="","",_xlfn.LET(_xlpm.t,MATCH($B160,'[1]Territory Definitions'!$B$5:$B$14,0),IF(ISNA(_xlpm.t),"NO TERRITORY",IF(INDEX('[1]Territory Definitions'!$D$5:$M$14,_xlpm.t,MATCH(I$4,'[1]Territory Definitions'!$D$4:$M$4,0))&lt;&gt;1,"NOT IN TERRITORY",IF(COUNTIFS('[1]Blackout Brand Fam Areas (Enc)'!$B$6:$B$998,$A160,'[1]Blackout Brand Fam Areas (Enc)'!$C$6:$C$998,I$4,'[1]Blackout Brand Fam Areas (Enc)'!$D$6:$D$998,"Inactive")&gt;0,"BLOCKED","CAN SELL")))))</f>
        <v>CAN SELL</v>
      </c>
      <c r="J160" s="11" t="str">
        <f>IF($A160="","",_xlfn.LET(_xlpm.t,MATCH($B160,'[1]Territory Definitions'!$B$5:$B$14,0),IF(ISNA(_xlpm.t),"NO TERRITORY",IF(INDEX('[1]Territory Definitions'!$D$5:$M$14,_xlpm.t,MATCH(J$4,'[1]Territory Definitions'!$D$4:$M$4,0))&lt;&gt;1,"NOT IN TERRITORY",IF(COUNTIFS('[1]Blackout Brand Fam Areas (Enc)'!$B$6:$B$998,$A160,'[1]Blackout Brand Fam Areas (Enc)'!$C$6:$C$998,J$4,'[1]Blackout Brand Fam Areas (Enc)'!$D$6:$D$998,"Inactive")&gt;0,"BLOCKED","CAN SELL")))))</f>
        <v>CAN SELL</v>
      </c>
      <c r="K160" s="11" t="str">
        <f>IF($A160="","",_xlfn.LET(_xlpm.t,MATCH($B160,'[1]Territory Definitions'!$B$5:$B$14,0),IF(ISNA(_xlpm.t),"NO TERRITORY",IF(INDEX('[1]Territory Definitions'!$D$5:$M$14,_xlpm.t,MATCH(K$4,'[1]Territory Definitions'!$D$4:$M$4,0))&lt;&gt;1,"NOT IN TERRITORY",IF(COUNTIFS('[1]Blackout Brand Fam Areas (Enc)'!$B$6:$B$998,$A160,'[1]Blackout Brand Fam Areas (Enc)'!$C$6:$C$998,K$4,'[1]Blackout Brand Fam Areas (Enc)'!$D$6:$D$998,"Inactive")&gt;0,"BLOCKED","CAN SELL")))))</f>
        <v>NOT IN TERRITORY</v>
      </c>
      <c r="L160" s="11" t="str">
        <f>IF($A160="","",_xlfn.LET(_xlpm.t,MATCH($B160,'[1]Territory Definitions'!$B$5:$B$14,0),IF(ISNA(_xlpm.t),"NO TERRITORY",IF(INDEX('[1]Territory Definitions'!$D$5:$M$14,_xlpm.t,MATCH(L$4,'[1]Territory Definitions'!$D$4:$M$4,0))&lt;&gt;1,"NOT IN TERRITORY",IF(COUNTIFS('[1]Blackout Brand Fam Areas (Enc)'!$B$6:$B$998,$A160,'[1]Blackout Brand Fam Areas (Enc)'!$C$6:$C$998,L$4,'[1]Blackout Brand Fam Areas (Enc)'!$D$6:$D$998,"Inactive")&gt;0,"BLOCKED","CAN SELL")))))</f>
        <v>CAN SELL</v>
      </c>
      <c r="M160" s="12">
        <f>IF($A160="","",COUNTIF($C160:$L160,"CAN SELL"))</f>
        <v>6</v>
      </c>
      <c r="N160" s="13" cm="1">
        <f t="array" ref="N160">IF($A160="","",SUMPRODUCT(($C160:$L160="CAN SELL")*$C$3:$L$3))</f>
        <v>1596</v>
      </c>
      <c r="O160" s="14" t="str">
        <f>IF($A160="","",IF(COUNTIF($A$5:$A$299,$A160)&gt;1,"DUPLICATE - two different territories assigned",IF($B160="** NO TERRITORY SET **","No territory on Brand Family Territory (Enc)","")))</f>
        <v/>
      </c>
      <c r="P160" s="18" t="str">
        <f>IF($A160="","",IFERROR(INDEX([1]Products!$H$4:$H$4801,MATCH($A160,[1]Products!$G$4:$G$4801,0)),"(no products)"))</f>
        <v>New Belgium Brewing Company</v>
      </c>
      <c r="Q160" s="19">
        <f>IF($A160="","",COUNTIFS([1]Products!$G$4:$G$4801,$A160,[1]Products!$L$4:$L$4801,"Yes"))</f>
        <v>3</v>
      </c>
      <c r="R160" s="19">
        <f>IF($A160="","",COUNTIFS([1]Products!$G$4:$G$4801,$A160,[1]Products!$L$4:$L$4801,"Yes",[1]Products!$K$4:$K$4801,"Draft"))</f>
        <v>0</v>
      </c>
      <c r="S160" s="19">
        <f>IF($A160="","",COUNTIFS([1]Products!$G$4:$G$4801,$A160,[1]Products!$L$4:$L$4801,"Yes",[1]Products!$K$4:$K$4801,"Package"))</f>
        <v>3</v>
      </c>
      <c r="T160" s="20" t="str" cm="1">
        <f t="array" ref="T160">IF($A160="","",_xlfn.IFS($Q160=0,"NO ACTIVE SKUs",AND($R160&gt;0,$S160&gt;0),"Draft &amp; Package",$R160&gt;0,"Draft only",TRUE,"Package only"))</f>
        <v>Package only</v>
      </c>
    </row>
    <row r="161" spans="1:20" x14ac:dyDescent="0.2">
      <c r="A161" s="9" t="str">
        <v>Lite</v>
      </c>
      <c r="B161" s="10" t="str">
        <f>IF($A161="","",_xlfn.XLOOKUP($A161,'[1]Brand Family Territory (Enc)'!$A:$A,'[1]Brand Family Territory (Enc)'!$B:$B,"** NO TERRITORY SET **"))</f>
        <v>Core Market</v>
      </c>
      <c r="C161" s="11" t="str">
        <f>IF($A161="","",_xlfn.LET(_xlpm.t,MATCH($B161,'[1]Territory Definitions'!$B$5:$B$14,0),IF(ISNA(_xlpm.t),"NO TERRITORY",IF(INDEX('[1]Territory Definitions'!$D$5:$M$14,_xlpm.t,MATCH(C$4,'[1]Territory Definitions'!$D$4:$M$4,0))&lt;&gt;1,"NOT IN TERRITORY",IF(COUNTIFS('[1]Blackout Brand Fam Areas (Enc)'!$B$6:$B$998,$A161,'[1]Blackout Brand Fam Areas (Enc)'!$C$6:$C$998,C$4,'[1]Blackout Brand Fam Areas (Enc)'!$D$6:$D$998,"Inactive")&gt;0,"BLOCKED","CAN SELL")))))</f>
        <v>CAN SELL</v>
      </c>
      <c r="D161" s="11" t="str">
        <f>IF($A161="","",_xlfn.LET(_xlpm.t,MATCH($B161,'[1]Territory Definitions'!$B$5:$B$14,0),IF(ISNA(_xlpm.t),"NO TERRITORY",IF(INDEX('[1]Territory Definitions'!$D$5:$M$14,_xlpm.t,MATCH(D$4,'[1]Territory Definitions'!$D$4:$M$4,0))&lt;&gt;1,"NOT IN TERRITORY",IF(COUNTIFS('[1]Blackout Brand Fam Areas (Enc)'!$B$6:$B$998,$A161,'[1]Blackout Brand Fam Areas (Enc)'!$C$6:$C$998,D$4,'[1]Blackout Brand Fam Areas (Enc)'!$D$6:$D$998,"Inactive")&gt;0,"BLOCKED","CAN SELL")))))</f>
        <v>CAN SELL</v>
      </c>
      <c r="E161" s="11" t="str">
        <f>IF($A161="","",_xlfn.LET(_xlpm.t,MATCH($B161,'[1]Territory Definitions'!$B$5:$B$14,0),IF(ISNA(_xlpm.t),"NO TERRITORY",IF(INDEX('[1]Territory Definitions'!$D$5:$M$14,_xlpm.t,MATCH(E$4,'[1]Territory Definitions'!$D$4:$M$4,0))&lt;&gt;1,"NOT IN TERRITORY",IF(COUNTIFS('[1]Blackout Brand Fam Areas (Enc)'!$B$6:$B$998,$A161,'[1]Blackout Brand Fam Areas (Enc)'!$C$6:$C$998,E$4,'[1]Blackout Brand Fam Areas (Enc)'!$D$6:$D$998,"Inactive")&gt;0,"BLOCKED","CAN SELL")))))</f>
        <v>CAN SELL</v>
      </c>
      <c r="F161" s="11" t="str">
        <f>IF($A161="","",_xlfn.LET(_xlpm.t,MATCH($B161,'[1]Territory Definitions'!$B$5:$B$14,0),IF(ISNA(_xlpm.t),"NO TERRITORY",IF(INDEX('[1]Territory Definitions'!$D$5:$M$14,_xlpm.t,MATCH(F$4,'[1]Territory Definitions'!$D$4:$M$4,0))&lt;&gt;1,"NOT IN TERRITORY",IF(COUNTIFS('[1]Blackout Brand Fam Areas (Enc)'!$B$6:$B$998,$A161,'[1]Blackout Brand Fam Areas (Enc)'!$C$6:$C$998,F$4,'[1]Blackout Brand Fam Areas (Enc)'!$D$6:$D$998,"Inactive")&gt;0,"BLOCKED","CAN SELL")))))</f>
        <v>NOT IN TERRITORY</v>
      </c>
      <c r="G161" s="11" t="str">
        <f>IF($A161="","",_xlfn.LET(_xlpm.t,MATCH($B161,'[1]Territory Definitions'!$B$5:$B$14,0),IF(ISNA(_xlpm.t),"NO TERRITORY",IF(INDEX('[1]Territory Definitions'!$D$5:$M$14,_xlpm.t,MATCH(G$4,'[1]Territory Definitions'!$D$4:$M$4,0))&lt;&gt;1,"NOT IN TERRITORY",IF(COUNTIFS('[1]Blackout Brand Fam Areas (Enc)'!$B$6:$B$998,$A161,'[1]Blackout Brand Fam Areas (Enc)'!$C$6:$C$998,G$4,'[1]Blackout Brand Fam Areas (Enc)'!$D$6:$D$998,"Inactive")&gt;0,"BLOCKED","CAN SELL")))))</f>
        <v>NOT IN TERRITORY</v>
      </c>
      <c r="H161" s="11" t="str">
        <f>IF($A161="","",_xlfn.LET(_xlpm.t,MATCH($B161,'[1]Territory Definitions'!$B$5:$B$14,0),IF(ISNA(_xlpm.t),"NO TERRITORY",IF(INDEX('[1]Territory Definitions'!$D$5:$M$14,_xlpm.t,MATCH(H$4,'[1]Territory Definitions'!$D$4:$M$4,0))&lt;&gt;1,"NOT IN TERRITORY",IF(COUNTIFS('[1]Blackout Brand Fam Areas (Enc)'!$B$6:$B$998,$A161,'[1]Blackout Brand Fam Areas (Enc)'!$C$6:$C$998,H$4,'[1]Blackout Brand Fam Areas (Enc)'!$D$6:$D$998,"Inactive")&gt;0,"BLOCKED","CAN SELL")))))</f>
        <v>NOT IN TERRITORY</v>
      </c>
      <c r="I161" s="11" t="str">
        <f>IF($A161="","",_xlfn.LET(_xlpm.t,MATCH($B161,'[1]Territory Definitions'!$B$5:$B$14,0),IF(ISNA(_xlpm.t),"NO TERRITORY",IF(INDEX('[1]Territory Definitions'!$D$5:$M$14,_xlpm.t,MATCH(I$4,'[1]Territory Definitions'!$D$4:$M$4,0))&lt;&gt;1,"NOT IN TERRITORY",IF(COUNTIFS('[1]Blackout Brand Fam Areas (Enc)'!$B$6:$B$998,$A161,'[1]Blackout Brand Fam Areas (Enc)'!$C$6:$C$998,I$4,'[1]Blackout Brand Fam Areas (Enc)'!$D$6:$D$998,"Inactive")&gt;0,"BLOCKED","CAN SELL")))))</f>
        <v>CAN SELL</v>
      </c>
      <c r="J161" s="11" t="str">
        <f>IF($A161="","",_xlfn.LET(_xlpm.t,MATCH($B161,'[1]Territory Definitions'!$B$5:$B$14,0),IF(ISNA(_xlpm.t),"NO TERRITORY",IF(INDEX('[1]Territory Definitions'!$D$5:$M$14,_xlpm.t,MATCH(J$4,'[1]Territory Definitions'!$D$4:$M$4,0))&lt;&gt;1,"NOT IN TERRITORY",IF(COUNTIFS('[1]Blackout Brand Fam Areas (Enc)'!$B$6:$B$998,$A161,'[1]Blackout Brand Fam Areas (Enc)'!$C$6:$C$998,J$4,'[1]Blackout Brand Fam Areas (Enc)'!$D$6:$D$998,"Inactive")&gt;0,"BLOCKED","CAN SELL")))))</f>
        <v>CAN SELL</v>
      </c>
      <c r="K161" s="11" t="str">
        <f>IF($A161="","",_xlfn.LET(_xlpm.t,MATCH($B161,'[1]Territory Definitions'!$B$5:$B$14,0),IF(ISNA(_xlpm.t),"NO TERRITORY",IF(INDEX('[1]Territory Definitions'!$D$5:$M$14,_xlpm.t,MATCH(K$4,'[1]Territory Definitions'!$D$4:$M$4,0))&lt;&gt;1,"NOT IN TERRITORY",IF(COUNTIFS('[1]Blackout Brand Fam Areas (Enc)'!$B$6:$B$998,$A161,'[1]Blackout Brand Fam Areas (Enc)'!$C$6:$C$998,K$4,'[1]Blackout Brand Fam Areas (Enc)'!$D$6:$D$998,"Inactive")&gt;0,"BLOCKED","CAN SELL")))))</f>
        <v>NOT IN TERRITORY</v>
      </c>
      <c r="L161" s="11" t="str">
        <f>IF($A161="","",_xlfn.LET(_xlpm.t,MATCH($B161,'[1]Territory Definitions'!$B$5:$B$14,0),IF(ISNA(_xlpm.t),"NO TERRITORY",IF(INDEX('[1]Territory Definitions'!$D$5:$M$14,_xlpm.t,MATCH(L$4,'[1]Territory Definitions'!$D$4:$M$4,0))&lt;&gt;1,"NOT IN TERRITORY",IF(COUNTIFS('[1]Blackout Brand Fam Areas (Enc)'!$B$6:$B$998,$A161,'[1]Blackout Brand Fam Areas (Enc)'!$C$6:$C$998,L$4,'[1]Blackout Brand Fam Areas (Enc)'!$D$6:$D$998,"Inactive")&gt;0,"BLOCKED","CAN SELL")))))</f>
        <v>CAN SELL</v>
      </c>
      <c r="M161" s="12">
        <f>IF($A161="","",COUNTIF($C161:$L161,"CAN SELL"))</f>
        <v>6</v>
      </c>
      <c r="N161" s="13" cm="1">
        <f t="array" ref="N161">IF($A161="","",SUMPRODUCT(($C161:$L161="CAN SELL")*$C$3:$L$3))</f>
        <v>1596</v>
      </c>
      <c r="O161" s="14" t="str">
        <f>IF($A161="","",IF(COUNTIF($A$5:$A$299,$A161)&gt;1,"DUPLICATE - two different territories assigned",IF($B161="** NO TERRITORY SET **","No territory on Brand Family Territory (Enc)","")))</f>
        <v/>
      </c>
      <c r="P161" s="18" t="str">
        <f>IF($A161="","",IFERROR(INDEX([1]Products!$H$4:$H$4801,MATCH($A161,[1]Products!$G$4:$G$4801,0)),"(no products)"))</f>
        <v>MolsonCoors Beverage Company</v>
      </c>
      <c r="Q161" s="19">
        <f>IF($A161="","",COUNTIFS([1]Products!$G$4:$G$4801,$A161,[1]Products!$L$4:$L$4801,"Yes"))</f>
        <v>21</v>
      </c>
      <c r="R161" s="19">
        <f>IF($A161="","",COUNTIFS([1]Products!$G$4:$G$4801,$A161,[1]Products!$L$4:$L$4801,"Yes",[1]Products!$K$4:$K$4801,"Draft"))</f>
        <v>2</v>
      </c>
      <c r="S161" s="19">
        <f>IF($A161="","",COUNTIFS([1]Products!$G$4:$G$4801,$A161,[1]Products!$L$4:$L$4801,"Yes",[1]Products!$K$4:$K$4801,"Package"))</f>
        <v>19</v>
      </c>
      <c r="T161" s="20" t="str" cm="1">
        <f t="array" ref="T161">IF($A161="","",_xlfn.IFS($Q161=0,"NO ACTIVE SKUs",AND($R161&gt;0,$S161&gt;0),"Draft &amp; Package",$R161&gt;0,"Draft only",TRUE,"Package only"))</f>
        <v>Draft &amp; Package</v>
      </c>
    </row>
    <row r="162" spans="1:20" x14ac:dyDescent="0.2">
      <c r="A162" s="9" t="str">
        <v>Lock Stock &amp; Barrel</v>
      </c>
      <c r="B162" s="10" t="str">
        <f>IF($A162="","",_xlfn.XLOOKUP($A162,'[1]Brand Family Territory (Enc)'!$A:$A,'[1]Brand Family Territory (Enc)'!$B:$B,"** NO TERRITORY SET **"))</f>
        <v>Core Market</v>
      </c>
      <c r="C162" s="11" t="str">
        <f>IF($A162="","",_xlfn.LET(_xlpm.t,MATCH($B162,'[1]Territory Definitions'!$B$5:$B$14,0),IF(ISNA(_xlpm.t),"NO TERRITORY",IF(INDEX('[1]Territory Definitions'!$D$5:$M$14,_xlpm.t,MATCH(C$4,'[1]Territory Definitions'!$D$4:$M$4,0))&lt;&gt;1,"NOT IN TERRITORY",IF(COUNTIFS('[1]Blackout Brand Fam Areas (Enc)'!$B$6:$B$998,$A162,'[1]Blackout Brand Fam Areas (Enc)'!$C$6:$C$998,C$4,'[1]Blackout Brand Fam Areas (Enc)'!$D$6:$D$998,"Inactive")&gt;0,"BLOCKED","CAN SELL")))))</f>
        <v>CAN SELL</v>
      </c>
      <c r="D162" s="11" t="str">
        <f>IF($A162="","",_xlfn.LET(_xlpm.t,MATCH($B162,'[1]Territory Definitions'!$B$5:$B$14,0),IF(ISNA(_xlpm.t),"NO TERRITORY",IF(INDEX('[1]Territory Definitions'!$D$5:$M$14,_xlpm.t,MATCH(D$4,'[1]Territory Definitions'!$D$4:$M$4,0))&lt;&gt;1,"NOT IN TERRITORY",IF(COUNTIFS('[1]Blackout Brand Fam Areas (Enc)'!$B$6:$B$998,$A162,'[1]Blackout Brand Fam Areas (Enc)'!$C$6:$C$998,D$4,'[1]Blackout Brand Fam Areas (Enc)'!$D$6:$D$998,"Inactive")&gt;0,"BLOCKED","CAN SELL")))))</f>
        <v>CAN SELL</v>
      </c>
      <c r="E162" s="11" t="str">
        <f>IF($A162="","",_xlfn.LET(_xlpm.t,MATCH($B162,'[1]Territory Definitions'!$B$5:$B$14,0),IF(ISNA(_xlpm.t),"NO TERRITORY",IF(INDEX('[1]Territory Definitions'!$D$5:$M$14,_xlpm.t,MATCH(E$4,'[1]Territory Definitions'!$D$4:$M$4,0))&lt;&gt;1,"NOT IN TERRITORY",IF(COUNTIFS('[1]Blackout Brand Fam Areas (Enc)'!$B$6:$B$998,$A162,'[1]Blackout Brand Fam Areas (Enc)'!$C$6:$C$998,E$4,'[1]Blackout Brand Fam Areas (Enc)'!$D$6:$D$998,"Inactive")&gt;0,"BLOCKED","CAN SELL")))))</f>
        <v>CAN SELL</v>
      </c>
      <c r="F162" s="11" t="str">
        <f>IF($A162="","",_xlfn.LET(_xlpm.t,MATCH($B162,'[1]Territory Definitions'!$B$5:$B$14,0),IF(ISNA(_xlpm.t),"NO TERRITORY",IF(INDEX('[1]Territory Definitions'!$D$5:$M$14,_xlpm.t,MATCH(F$4,'[1]Territory Definitions'!$D$4:$M$4,0))&lt;&gt;1,"NOT IN TERRITORY",IF(COUNTIFS('[1]Blackout Brand Fam Areas (Enc)'!$B$6:$B$998,$A162,'[1]Blackout Brand Fam Areas (Enc)'!$C$6:$C$998,F$4,'[1]Blackout Brand Fam Areas (Enc)'!$D$6:$D$998,"Inactive")&gt;0,"BLOCKED","CAN SELL")))))</f>
        <v>NOT IN TERRITORY</v>
      </c>
      <c r="G162" s="11" t="str">
        <f>IF($A162="","",_xlfn.LET(_xlpm.t,MATCH($B162,'[1]Territory Definitions'!$B$5:$B$14,0),IF(ISNA(_xlpm.t),"NO TERRITORY",IF(INDEX('[1]Territory Definitions'!$D$5:$M$14,_xlpm.t,MATCH(G$4,'[1]Territory Definitions'!$D$4:$M$4,0))&lt;&gt;1,"NOT IN TERRITORY",IF(COUNTIFS('[1]Blackout Brand Fam Areas (Enc)'!$B$6:$B$998,$A162,'[1]Blackout Brand Fam Areas (Enc)'!$C$6:$C$998,G$4,'[1]Blackout Brand Fam Areas (Enc)'!$D$6:$D$998,"Inactive")&gt;0,"BLOCKED","CAN SELL")))))</f>
        <v>NOT IN TERRITORY</v>
      </c>
      <c r="H162" s="11" t="str">
        <f>IF($A162="","",_xlfn.LET(_xlpm.t,MATCH($B162,'[1]Territory Definitions'!$B$5:$B$14,0),IF(ISNA(_xlpm.t),"NO TERRITORY",IF(INDEX('[1]Territory Definitions'!$D$5:$M$14,_xlpm.t,MATCH(H$4,'[1]Territory Definitions'!$D$4:$M$4,0))&lt;&gt;1,"NOT IN TERRITORY",IF(COUNTIFS('[1]Blackout Brand Fam Areas (Enc)'!$B$6:$B$998,$A162,'[1]Blackout Brand Fam Areas (Enc)'!$C$6:$C$998,H$4,'[1]Blackout Brand Fam Areas (Enc)'!$D$6:$D$998,"Inactive")&gt;0,"BLOCKED","CAN SELL")))))</f>
        <v>NOT IN TERRITORY</v>
      </c>
      <c r="I162" s="11" t="str">
        <f>IF($A162="","",_xlfn.LET(_xlpm.t,MATCH($B162,'[1]Territory Definitions'!$B$5:$B$14,0),IF(ISNA(_xlpm.t),"NO TERRITORY",IF(INDEX('[1]Territory Definitions'!$D$5:$M$14,_xlpm.t,MATCH(I$4,'[1]Territory Definitions'!$D$4:$M$4,0))&lt;&gt;1,"NOT IN TERRITORY",IF(COUNTIFS('[1]Blackout Brand Fam Areas (Enc)'!$B$6:$B$998,$A162,'[1]Blackout Brand Fam Areas (Enc)'!$C$6:$C$998,I$4,'[1]Blackout Brand Fam Areas (Enc)'!$D$6:$D$998,"Inactive")&gt;0,"BLOCKED","CAN SELL")))))</f>
        <v>CAN SELL</v>
      </c>
      <c r="J162" s="11" t="str">
        <f>IF($A162="","",_xlfn.LET(_xlpm.t,MATCH($B162,'[1]Territory Definitions'!$B$5:$B$14,0),IF(ISNA(_xlpm.t),"NO TERRITORY",IF(INDEX('[1]Territory Definitions'!$D$5:$M$14,_xlpm.t,MATCH(J$4,'[1]Territory Definitions'!$D$4:$M$4,0))&lt;&gt;1,"NOT IN TERRITORY",IF(COUNTIFS('[1]Blackout Brand Fam Areas (Enc)'!$B$6:$B$998,$A162,'[1]Blackout Brand Fam Areas (Enc)'!$C$6:$C$998,J$4,'[1]Blackout Brand Fam Areas (Enc)'!$D$6:$D$998,"Inactive")&gt;0,"BLOCKED","CAN SELL")))))</f>
        <v>CAN SELL</v>
      </c>
      <c r="K162" s="11" t="str">
        <f>IF($A162="","",_xlfn.LET(_xlpm.t,MATCH($B162,'[1]Territory Definitions'!$B$5:$B$14,0),IF(ISNA(_xlpm.t),"NO TERRITORY",IF(INDEX('[1]Territory Definitions'!$D$5:$M$14,_xlpm.t,MATCH(K$4,'[1]Territory Definitions'!$D$4:$M$4,0))&lt;&gt;1,"NOT IN TERRITORY",IF(COUNTIFS('[1]Blackout Brand Fam Areas (Enc)'!$B$6:$B$998,$A162,'[1]Blackout Brand Fam Areas (Enc)'!$C$6:$C$998,K$4,'[1]Blackout Brand Fam Areas (Enc)'!$D$6:$D$998,"Inactive")&gt;0,"BLOCKED","CAN SELL")))))</f>
        <v>NOT IN TERRITORY</v>
      </c>
      <c r="L162" s="11" t="str">
        <f>IF($A162="","",_xlfn.LET(_xlpm.t,MATCH($B162,'[1]Territory Definitions'!$B$5:$B$14,0),IF(ISNA(_xlpm.t),"NO TERRITORY",IF(INDEX('[1]Territory Definitions'!$D$5:$M$14,_xlpm.t,MATCH(L$4,'[1]Territory Definitions'!$D$4:$M$4,0))&lt;&gt;1,"NOT IN TERRITORY",IF(COUNTIFS('[1]Blackout Brand Fam Areas (Enc)'!$B$6:$B$998,$A162,'[1]Blackout Brand Fam Areas (Enc)'!$C$6:$C$998,L$4,'[1]Blackout Brand Fam Areas (Enc)'!$D$6:$D$998,"Inactive")&gt;0,"BLOCKED","CAN SELL")))))</f>
        <v>CAN SELL</v>
      </c>
      <c r="M162" s="12">
        <f>IF($A162="","",COUNTIF($C162:$L162,"CAN SELL"))</f>
        <v>6</v>
      </c>
      <c r="N162" s="13" cm="1">
        <f t="array" ref="N162">IF($A162="","",SUMPRODUCT(($C162:$L162="CAN SELL")*$C$3:$L$3))</f>
        <v>1596</v>
      </c>
      <c r="O162" s="14" t="str">
        <f>IF($A162="","",IF(COUNTIF($A$5:$A$299,$A162)&gt;1,"DUPLICATE - two different territories assigned",IF($B162="** NO TERRITORY SET **","No territory on Brand Family Territory (Enc)","")))</f>
        <v/>
      </c>
      <c r="P162" s="18" t="str">
        <f>IF($A162="","",IFERROR(INDEX([1]Products!$H$4:$H$4801,MATCH($A162,[1]Products!$G$4:$G$4801,0)),"(no products)"))</f>
        <v>Cooper Spirits</v>
      </c>
      <c r="Q162" s="19">
        <f>IF($A162="","",COUNTIFS([1]Products!$G$4:$G$4801,$A162,[1]Products!$L$4:$L$4801,"Yes"))</f>
        <v>2</v>
      </c>
      <c r="R162" s="19">
        <f>IF($A162="","",COUNTIFS([1]Products!$G$4:$G$4801,$A162,[1]Products!$L$4:$L$4801,"Yes",[1]Products!$K$4:$K$4801,"Draft"))</f>
        <v>0</v>
      </c>
      <c r="S162" s="19">
        <f>IF($A162="","",COUNTIFS([1]Products!$G$4:$G$4801,$A162,[1]Products!$L$4:$L$4801,"Yes",[1]Products!$K$4:$K$4801,"Package"))</f>
        <v>0</v>
      </c>
      <c r="T162" s="20" t="str" cm="1">
        <f t="array" ref="T162">IF($A162="","",_xlfn.IFS($Q162=0,"NO ACTIVE SKUs",AND($R162&gt;0,$S162&gt;0),"Draft &amp; Package",$R162&gt;0,"Draft only",TRUE,"Package only"))</f>
        <v>Package only</v>
      </c>
    </row>
    <row r="163" spans="1:20" x14ac:dyDescent="0.2">
      <c r="A163" s="9" t="str">
        <v>Lone Star</v>
      </c>
      <c r="B163" s="10" t="str">
        <f>IF($A163="","",_xlfn.XLOOKUP($A163,'[1]Brand Family Territory (Enc)'!$A:$A,'[1]Brand Family Territory (Enc)'!$B:$B,"** NO TERRITORY SET **"))</f>
        <v>All Counties</v>
      </c>
      <c r="C163" s="11" t="str">
        <f>IF($A163="","",_xlfn.LET(_xlpm.t,MATCH($B163,'[1]Territory Definitions'!$B$5:$B$14,0),IF(ISNA(_xlpm.t),"NO TERRITORY",IF(INDEX('[1]Territory Definitions'!$D$5:$M$14,_xlpm.t,MATCH(C$4,'[1]Territory Definitions'!$D$4:$M$4,0))&lt;&gt;1,"NOT IN TERRITORY",IF(COUNTIFS('[1]Blackout Brand Fam Areas (Enc)'!$B$6:$B$998,$A163,'[1]Blackout Brand Fam Areas (Enc)'!$C$6:$C$998,C$4,'[1]Blackout Brand Fam Areas (Enc)'!$D$6:$D$998,"Inactive")&gt;0,"BLOCKED","CAN SELL")))))</f>
        <v>CAN SELL</v>
      </c>
      <c r="D163" s="11" t="str">
        <f>IF($A163="","",_xlfn.LET(_xlpm.t,MATCH($B163,'[1]Territory Definitions'!$B$5:$B$14,0),IF(ISNA(_xlpm.t),"NO TERRITORY",IF(INDEX('[1]Territory Definitions'!$D$5:$M$14,_xlpm.t,MATCH(D$4,'[1]Territory Definitions'!$D$4:$M$4,0))&lt;&gt;1,"NOT IN TERRITORY",IF(COUNTIFS('[1]Blackout Brand Fam Areas (Enc)'!$B$6:$B$998,$A163,'[1]Blackout Brand Fam Areas (Enc)'!$C$6:$C$998,D$4,'[1]Blackout Brand Fam Areas (Enc)'!$D$6:$D$998,"Inactive")&gt;0,"BLOCKED","CAN SELL")))))</f>
        <v>CAN SELL</v>
      </c>
      <c r="E163" s="11" t="str">
        <f>IF($A163="","",_xlfn.LET(_xlpm.t,MATCH($B163,'[1]Territory Definitions'!$B$5:$B$14,0),IF(ISNA(_xlpm.t),"NO TERRITORY",IF(INDEX('[1]Territory Definitions'!$D$5:$M$14,_xlpm.t,MATCH(E$4,'[1]Territory Definitions'!$D$4:$M$4,0))&lt;&gt;1,"NOT IN TERRITORY",IF(COUNTIFS('[1]Blackout Brand Fam Areas (Enc)'!$B$6:$B$998,$A163,'[1]Blackout Brand Fam Areas (Enc)'!$C$6:$C$998,E$4,'[1]Blackout Brand Fam Areas (Enc)'!$D$6:$D$998,"Inactive")&gt;0,"BLOCKED","CAN SELL")))))</f>
        <v>CAN SELL</v>
      </c>
      <c r="F163" s="11" t="str">
        <f>IF($A163="","",_xlfn.LET(_xlpm.t,MATCH($B163,'[1]Territory Definitions'!$B$5:$B$14,0),IF(ISNA(_xlpm.t),"NO TERRITORY",IF(INDEX('[1]Territory Definitions'!$D$5:$M$14,_xlpm.t,MATCH(F$4,'[1]Territory Definitions'!$D$4:$M$4,0))&lt;&gt;1,"NOT IN TERRITORY",IF(COUNTIFS('[1]Blackout Brand Fam Areas (Enc)'!$B$6:$B$998,$A163,'[1]Blackout Brand Fam Areas (Enc)'!$C$6:$C$998,F$4,'[1]Blackout Brand Fam Areas (Enc)'!$D$6:$D$998,"Inactive")&gt;0,"BLOCKED","CAN SELL")))))</f>
        <v>CAN SELL</v>
      </c>
      <c r="G163" s="11" t="str">
        <f>IF($A163="","",_xlfn.LET(_xlpm.t,MATCH($B163,'[1]Territory Definitions'!$B$5:$B$14,0),IF(ISNA(_xlpm.t),"NO TERRITORY",IF(INDEX('[1]Territory Definitions'!$D$5:$M$14,_xlpm.t,MATCH(G$4,'[1]Territory Definitions'!$D$4:$M$4,0))&lt;&gt;1,"NOT IN TERRITORY",IF(COUNTIFS('[1]Blackout Brand Fam Areas (Enc)'!$B$6:$B$998,$A163,'[1]Blackout Brand Fam Areas (Enc)'!$C$6:$C$998,G$4,'[1]Blackout Brand Fam Areas (Enc)'!$D$6:$D$998,"Inactive")&gt;0,"BLOCKED","CAN SELL")))))</f>
        <v>CAN SELL</v>
      </c>
      <c r="H163" s="11" t="str">
        <f>IF($A163="","",_xlfn.LET(_xlpm.t,MATCH($B163,'[1]Territory Definitions'!$B$5:$B$14,0),IF(ISNA(_xlpm.t),"NO TERRITORY",IF(INDEX('[1]Territory Definitions'!$D$5:$M$14,_xlpm.t,MATCH(H$4,'[1]Territory Definitions'!$D$4:$M$4,0))&lt;&gt;1,"NOT IN TERRITORY",IF(COUNTIFS('[1]Blackout Brand Fam Areas (Enc)'!$B$6:$B$998,$A163,'[1]Blackout Brand Fam Areas (Enc)'!$C$6:$C$998,H$4,'[1]Blackout Brand Fam Areas (Enc)'!$D$6:$D$998,"Inactive")&gt;0,"BLOCKED","CAN SELL")))))</f>
        <v>CAN SELL</v>
      </c>
      <c r="I163" s="11" t="str">
        <f>IF($A163="","",_xlfn.LET(_xlpm.t,MATCH($B163,'[1]Territory Definitions'!$B$5:$B$14,0),IF(ISNA(_xlpm.t),"NO TERRITORY",IF(INDEX('[1]Territory Definitions'!$D$5:$M$14,_xlpm.t,MATCH(I$4,'[1]Territory Definitions'!$D$4:$M$4,0))&lt;&gt;1,"NOT IN TERRITORY",IF(COUNTIFS('[1]Blackout Brand Fam Areas (Enc)'!$B$6:$B$998,$A163,'[1]Blackout Brand Fam Areas (Enc)'!$C$6:$C$998,I$4,'[1]Blackout Brand Fam Areas (Enc)'!$D$6:$D$998,"Inactive")&gt;0,"BLOCKED","CAN SELL")))))</f>
        <v>CAN SELL</v>
      </c>
      <c r="J163" s="11" t="str">
        <f>IF($A163="","",_xlfn.LET(_xlpm.t,MATCH($B163,'[1]Territory Definitions'!$B$5:$B$14,0),IF(ISNA(_xlpm.t),"NO TERRITORY",IF(INDEX('[1]Territory Definitions'!$D$5:$M$14,_xlpm.t,MATCH(J$4,'[1]Territory Definitions'!$D$4:$M$4,0))&lt;&gt;1,"NOT IN TERRITORY",IF(COUNTIFS('[1]Blackout Brand Fam Areas (Enc)'!$B$6:$B$998,$A163,'[1]Blackout Brand Fam Areas (Enc)'!$C$6:$C$998,J$4,'[1]Blackout Brand Fam Areas (Enc)'!$D$6:$D$998,"Inactive")&gt;0,"BLOCKED","CAN SELL")))))</f>
        <v>CAN SELL</v>
      </c>
      <c r="K163" s="11" t="str">
        <f>IF($A163="","",_xlfn.LET(_xlpm.t,MATCH($B163,'[1]Territory Definitions'!$B$5:$B$14,0),IF(ISNA(_xlpm.t),"NO TERRITORY",IF(INDEX('[1]Territory Definitions'!$D$5:$M$14,_xlpm.t,MATCH(K$4,'[1]Territory Definitions'!$D$4:$M$4,0))&lt;&gt;1,"NOT IN TERRITORY",IF(COUNTIFS('[1]Blackout Brand Fam Areas (Enc)'!$B$6:$B$998,$A163,'[1]Blackout Brand Fam Areas (Enc)'!$C$6:$C$998,K$4,'[1]Blackout Brand Fam Areas (Enc)'!$D$6:$D$998,"Inactive")&gt;0,"BLOCKED","CAN SELL")))))</f>
        <v>CAN SELL</v>
      </c>
      <c r="L163" s="11" t="str">
        <f>IF($A163="","",_xlfn.LET(_xlpm.t,MATCH($B163,'[1]Territory Definitions'!$B$5:$B$14,0),IF(ISNA(_xlpm.t),"NO TERRITORY",IF(INDEX('[1]Territory Definitions'!$D$5:$M$14,_xlpm.t,MATCH(L$4,'[1]Territory Definitions'!$D$4:$M$4,0))&lt;&gt;1,"NOT IN TERRITORY",IF(COUNTIFS('[1]Blackout Brand Fam Areas (Enc)'!$B$6:$B$998,$A163,'[1]Blackout Brand Fam Areas (Enc)'!$C$6:$C$998,L$4,'[1]Blackout Brand Fam Areas (Enc)'!$D$6:$D$998,"Inactive")&gt;0,"BLOCKED","CAN SELL")))))</f>
        <v>CAN SELL</v>
      </c>
      <c r="M163" s="12">
        <f>IF($A163="","",COUNTIF($C163:$L163,"CAN SELL"))</f>
        <v>10</v>
      </c>
      <c r="N163" s="13" cm="1">
        <f t="array" ref="N163">IF($A163="","",SUMPRODUCT(($C163:$L163="CAN SELL")*$C$3:$L$3))</f>
        <v>2306</v>
      </c>
      <c r="O163" s="14" t="str">
        <f>IF($A163="","",IF(COUNTIF($A$5:$A$299,$A163)&gt;1,"DUPLICATE - two different territories assigned",IF($B163="** NO TERRITORY SET **","No territory on Brand Family Territory (Enc)","")))</f>
        <v/>
      </c>
      <c r="P163" s="18" t="str">
        <f>IF($A163="","",IFERROR(INDEX([1]Products!$H$4:$H$4801,MATCH($A163,[1]Products!$G$4:$G$4801,0)),"(no products)"))</f>
        <v>Pabst Brewing Company</v>
      </c>
      <c r="Q163" s="19">
        <f>IF($A163="","",COUNTIFS([1]Products!$G$4:$G$4801,$A163,[1]Products!$L$4:$L$4801,"Yes"))</f>
        <v>1</v>
      </c>
      <c r="R163" s="19">
        <f>IF($A163="","",COUNTIFS([1]Products!$G$4:$G$4801,$A163,[1]Products!$L$4:$L$4801,"Yes",[1]Products!$K$4:$K$4801,"Draft"))</f>
        <v>0</v>
      </c>
      <c r="S163" s="19">
        <f>IF($A163="","",COUNTIFS([1]Products!$G$4:$G$4801,$A163,[1]Products!$L$4:$L$4801,"Yes",[1]Products!$K$4:$K$4801,"Package"))</f>
        <v>1</v>
      </c>
      <c r="T163" s="20" t="str" cm="1">
        <f t="array" ref="T163">IF($A163="","",_xlfn.IFS($Q163=0,"NO ACTIVE SKUs",AND($R163&gt;0,$S163&gt;0),"Draft &amp; Package",$R163&gt;0,"Draft only",TRUE,"Package only"))</f>
        <v>Package only</v>
      </c>
    </row>
    <row r="164" spans="1:20" x14ac:dyDescent="0.2">
      <c r="A164" s="9" t="str">
        <v>Long Trail</v>
      </c>
      <c r="B164" s="10" t="str">
        <f>IF($A164="","",_xlfn.XLOOKUP($A164,'[1]Brand Family Territory (Enc)'!$A:$A,'[1]Brand Family Territory (Enc)'!$B:$B,"** NO TERRITORY SET **"))</f>
        <v>All Counties</v>
      </c>
      <c r="C164" s="11" t="str">
        <f>IF($A164="","",_xlfn.LET(_xlpm.t,MATCH($B164,'[1]Territory Definitions'!$B$5:$B$14,0),IF(ISNA(_xlpm.t),"NO TERRITORY",IF(INDEX('[1]Territory Definitions'!$D$5:$M$14,_xlpm.t,MATCH(C$4,'[1]Territory Definitions'!$D$4:$M$4,0))&lt;&gt;1,"NOT IN TERRITORY",IF(COUNTIFS('[1]Blackout Brand Fam Areas (Enc)'!$B$6:$B$998,$A164,'[1]Blackout Brand Fam Areas (Enc)'!$C$6:$C$998,C$4,'[1]Blackout Brand Fam Areas (Enc)'!$D$6:$D$998,"Inactive")&gt;0,"BLOCKED","CAN SELL")))))</f>
        <v>CAN SELL</v>
      </c>
      <c r="D164" s="11" t="str">
        <f>IF($A164="","",_xlfn.LET(_xlpm.t,MATCH($B164,'[1]Territory Definitions'!$B$5:$B$14,0),IF(ISNA(_xlpm.t),"NO TERRITORY",IF(INDEX('[1]Territory Definitions'!$D$5:$M$14,_xlpm.t,MATCH(D$4,'[1]Territory Definitions'!$D$4:$M$4,0))&lt;&gt;1,"NOT IN TERRITORY",IF(COUNTIFS('[1]Blackout Brand Fam Areas (Enc)'!$B$6:$B$998,$A164,'[1]Blackout Brand Fam Areas (Enc)'!$C$6:$C$998,D$4,'[1]Blackout Brand Fam Areas (Enc)'!$D$6:$D$998,"Inactive")&gt;0,"BLOCKED","CAN SELL")))))</f>
        <v>CAN SELL</v>
      </c>
      <c r="E164" s="11" t="str">
        <f>IF($A164="","",_xlfn.LET(_xlpm.t,MATCH($B164,'[1]Territory Definitions'!$B$5:$B$14,0),IF(ISNA(_xlpm.t),"NO TERRITORY",IF(INDEX('[1]Territory Definitions'!$D$5:$M$14,_xlpm.t,MATCH(E$4,'[1]Territory Definitions'!$D$4:$M$4,0))&lt;&gt;1,"NOT IN TERRITORY",IF(COUNTIFS('[1]Blackout Brand Fam Areas (Enc)'!$B$6:$B$998,$A164,'[1]Blackout Brand Fam Areas (Enc)'!$C$6:$C$998,E$4,'[1]Blackout Brand Fam Areas (Enc)'!$D$6:$D$998,"Inactive")&gt;0,"BLOCKED","CAN SELL")))))</f>
        <v>CAN SELL</v>
      </c>
      <c r="F164" s="11" t="str">
        <f>IF($A164="","",_xlfn.LET(_xlpm.t,MATCH($B164,'[1]Territory Definitions'!$B$5:$B$14,0),IF(ISNA(_xlpm.t),"NO TERRITORY",IF(INDEX('[1]Territory Definitions'!$D$5:$M$14,_xlpm.t,MATCH(F$4,'[1]Territory Definitions'!$D$4:$M$4,0))&lt;&gt;1,"NOT IN TERRITORY",IF(COUNTIFS('[1]Blackout Brand Fam Areas (Enc)'!$B$6:$B$998,$A164,'[1]Blackout Brand Fam Areas (Enc)'!$C$6:$C$998,F$4,'[1]Blackout Brand Fam Areas (Enc)'!$D$6:$D$998,"Inactive")&gt;0,"BLOCKED","CAN SELL")))))</f>
        <v>CAN SELL</v>
      </c>
      <c r="G164" s="11" t="str">
        <f>IF($A164="","",_xlfn.LET(_xlpm.t,MATCH($B164,'[1]Territory Definitions'!$B$5:$B$14,0),IF(ISNA(_xlpm.t),"NO TERRITORY",IF(INDEX('[1]Territory Definitions'!$D$5:$M$14,_xlpm.t,MATCH(G$4,'[1]Territory Definitions'!$D$4:$M$4,0))&lt;&gt;1,"NOT IN TERRITORY",IF(COUNTIFS('[1]Blackout Brand Fam Areas (Enc)'!$B$6:$B$998,$A164,'[1]Blackout Brand Fam Areas (Enc)'!$C$6:$C$998,G$4,'[1]Blackout Brand Fam Areas (Enc)'!$D$6:$D$998,"Inactive")&gt;0,"BLOCKED","CAN SELL")))))</f>
        <v>CAN SELL</v>
      </c>
      <c r="H164" s="11" t="str">
        <f>IF($A164="","",_xlfn.LET(_xlpm.t,MATCH($B164,'[1]Territory Definitions'!$B$5:$B$14,0),IF(ISNA(_xlpm.t),"NO TERRITORY",IF(INDEX('[1]Territory Definitions'!$D$5:$M$14,_xlpm.t,MATCH(H$4,'[1]Territory Definitions'!$D$4:$M$4,0))&lt;&gt;1,"NOT IN TERRITORY",IF(COUNTIFS('[1]Blackout Brand Fam Areas (Enc)'!$B$6:$B$998,$A164,'[1]Blackout Brand Fam Areas (Enc)'!$C$6:$C$998,H$4,'[1]Blackout Brand Fam Areas (Enc)'!$D$6:$D$998,"Inactive")&gt;0,"BLOCKED","CAN SELL")))))</f>
        <v>CAN SELL</v>
      </c>
      <c r="I164" s="11" t="str">
        <f>IF($A164="","",_xlfn.LET(_xlpm.t,MATCH($B164,'[1]Territory Definitions'!$B$5:$B$14,0),IF(ISNA(_xlpm.t),"NO TERRITORY",IF(INDEX('[1]Territory Definitions'!$D$5:$M$14,_xlpm.t,MATCH(I$4,'[1]Territory Definitions'!$D$4:$M$4,0))&lt;&gt;1,"NOT IN TERRITORY",IF(COUNTIFS('[1]Blackout Brand Fam Areas (Enc)'!$B$6:$B$998,$A164,'[1]Blackout Brand Fam Areas (Enc)'!$C$6:$C$998,I$4,'[1]Blackout Brand Fam Areas (Enc)'!$D$6:$D$998,"Inactive")&gt;0,"BLOCKED","CAN SELL")))))</f>
        <v>CAN SELL</v>
      </c>
      <c r="J164" s="11" t="str">
        <f>IF($A164="","",_xlfn.LET(_xlpm.t,MATCH($B164,'[1]Territory Definitions'!$B$5:$B$14,0),IF(ISNA(_xlpm.t),"NO TERRITORY",IF(INDEX('[1]Territory Definitions'!$D$5:$M$14,_xlpm.t,MATCH(J$4,'[1]Territory Definitions'!$D$4:$M$4,0))&lt;&gt;1,"NOT IN TERRITORY",IF(COUNTIFS('[1]Blackout Brand Fam Areas (Enc)'!$B$6:$B$998,$A164,'[1]Blackout Brand Fam Areas (Enc)'!$C$6:$C$998,J$4,'[1]Blackout Brand Fam Areas (Enc)'!$D$6:$D$998,"Inactive")&gt;0,"BLOCKED","CAN SELL")))))</f>
        <v>CAN SELL</v>
      </c>
      <c r="K164" s="11" t="str">
        <f>IF($A164="","",_xlfn.LET(_xlpm.t,MATCH($B164,'[1]Territory Definitions'!$B$5:$B$14,0),IF(ISNA(_xlpm.t),"NO TERRITORY",IF(INDEX('[1]Territory Definitions'!$D$5:$M$14,_xlpm.t,MATCH(K$4,'[1]Territory Definitions'!$D$4:$M$4,0))&lt;&gt;1,"NOT IN TERRITORY",IF(COUNTIFS('[1]Blackout Brand Fam Areas (Enc)'!$B$6:$B$998,$A164,'[1]Blackout Brand Fam Areas (Enc)'!$C$6:$C$998,K$4,'[1]Blackout Brand Fam Areas (Enc)'!$D$6:$D$998,"Inactive")&gt;0,"BLOCKED","CAN SELL")))))</f>
        <v>CAN SELL</v>
      </c>
      <c r="L164" s="11" t="str">
        <f>IF($A164="","",_xlfn.LET(_xlpm.t,MATCH($B164,'[1]Territory Definitions'!$B$5:$B$14,0),IF(ISNA(_xlpm.t),"NO TERRITORY",IF(INDEX('[1]Territory Definitions'!$D$5:$M$14,_xlpm.t,MATCH(L$4,'[1]Territory Definitions'!$D$4:$M$4,0))&lt;&gt;1,"NOT IN TERRITORY",IF(COUNTIFS('[1]Blackout Brand Fam Areas (Enc)'!$B$6:$B$998,$A164,'[1]Blackout Brand Fam Areas (Enc)'!$C$6:$C$998,L$4,'[1]Blackout Brand Fam Areas (Enc)'!$D$6:$D$998,"Inactive")&gt;0,"BLOCKED","CAN SELL")))))</f>
        <v>CAN SELL</v>
      </c>
      <c r="M164" s="12">
        <f>IF($A164="","",COUNTIF($C164:$L164,"CAN SELL"))</f>
        <v>10</v>
      </c>
      <c r="N164" s="13" cm="1">
        <f t="array" ref="N164">IF($A164="","",SUMPRODUCT(($C164:$L164="CAN SELL")*$C$3:$L$3))</f>
        <v>2306</v>
      </c>
      <c r="O164" s="14" t="str">
        <f>IF($A164="","",IF(COUNTIF($A$5:$A$299,$A164)&gt;1,"DUPLICATE - two different territories assigned",IF($B164="** NO TERRITORY SET **","No territory on Brand Family Territory (Enc)","")))</f>
        <v/>
      </c>
      <c r="P164" s="18" t="str">
        <f>IF($A164="","",IFERROR(INDEX([1]Products!$H$4:$H$4801,MATCH($A164,[1]Products!$G$4:$G$4801,0)),"(no products)"))</f>
        <v>Harpoon Brewery</v>
      </c>
      <c r="Q164" s="19">
        <f>IF($A164="","",COUNTIFS([1]Products!$G$4:$G$4801,$A164,[1]Products!$L$4:$L$4801,"Yes"))</f>
        <v>34</v>
      </c>
      <c r="R164" s="19">
        <f>IF($A164="","",COUNTIFS([1]Products!$G$4:$G$4801,$A164,[1]Products!$L$4:$L$4801,"Yes",[1]Products!$K$4:$K$4801,"Draft"))</f>
        <v>13</v>
      </c>
      <c r="S164" s="19">
        <f>IF($A164="","",COUNTIFS([1]Products!$G$4:$G$4801,$A164,[1]Products!$L$4:$L$4801,"Yes",[1]Products!$K$4:$K$4801,"Package"))</f>
        <v>21</v>
      </c>
      <c r="T164" s="20" t="str" cm="1">
        <f t="array" ref="T164">IF($A164="","",_xlfn.IFS($Q164=0,"NO ACTIVE SKUs",AND($R164&gt;0,$S164&gt;0),"Draft &amp; Package",$R164&gt;0,"Draft only",TRUE,"Package only"))</f>
        <v>Draft &amp; Package</v>
      </c>
    </row>
    <row r="165" spans="1:20" x14ac:dyDescent="0.2">
      <c r="A165" s="9" t="str">
        <v>Mackeson</v>
      </c>
      <c r="B165" s="10" t="str">
        <f>IF($A165="","",_xlfn.XLOOKUP($A165,'[1]Brand Family Territory (Enc)'!$A:$A,'[1]Brand Family Territory (Enc)'!$B:$B,"** NO TERRITORY SET **"))</f>
        <v>All Counties</v>
      </c>
      <c r="C165" s="11" t="str">
        <f>IF($A165="","",_xlfn.LET(_xlpm.t,MATCH($B165,'[1]Territory Definitions'!$B$5:$B$14,0),IF(ISNA(_xlpm.t),"NO TERRITORY",IF(INDEX('[1]Territory Definitions'!$D$5:$M$14,_xlpm.t,MATCH(C$4,'[1]Territory Definitions'!$D$4:$M$4,0))&lt;&gt;1,"NOT IN TERRITORY",IF(COUNTIFS('[1]Blackout Brand Fam Areas (Enc)'!$B$6:$B$998,$A165,'[1]Blackout Brand Fam Areas (Enc)'!$C$6:$C$998,C$4,'[1]Blackout Brand Fam Areas (Enc)'!$D$6:$D$998,"Inactive")&gt;0,"BLOCKED","CAN SELL")))))</f>
        <v>CAN SELL</v>
      </c>
      <c r="D165" s="11" t="str">
        <f>IF($A165="","",_xlfn.LET(_xlpm.t,MATCH($B165,'[1]Territory Definitions'!$B$5:$B$14,0),IF(ISNA(_xlpm.t),"NO TERRITORY",IF(INDEX('[1]Territory Definitions'!$D$5:$M$14,_xlpm.t,MATCH(D$4,'[1]Territory Definitions'!$D$4:$M$4,0))&lt;&gt;1,"NOT IN TERRITORY",IF(COUNTIFS('[1]Blackout Brand Fam Areas (Enc)'!$B$6:$B$998,$A165,'[1]Blackout Brand Fam Areas (Enc)'!$C$6:$C$998,D$4,'[1]Blackout Brand Fam Areas (Enc)'!$D$6:$D$998,"Inactive")&gt;0,"BLOCKED","CAN SELL")))))</f>
        <v>CAN SELL</v>
      </c>
      <c r="E165" s="11" t="str">
        <f>IF($A165="","",_xlfn.LET(_xlpm.t,MATCH($B165,'[1]Territory Definitions'!$B$5:$B$14,0),IF(ISNA(_xlpm.t),"NO TERRITORY",IF(INDEX('[1]Territory Definitions'!$D$5:$M$14,_xlpm.t,MATCH(E$4,'[1]Territory Definitions'!$D$4:$M$4,0))&lt;&gt;1,"NOT IN TERRITORY",IF(COUNTIFS('[1]Blackout Brand Fam Areas (Enc)'!$B$6:$B$998,$A165,'[1]Blackout Brand Fam Areas (Enc)'!$C$6:$C$998,E$4,'[1]Blackout Brand Fam Areas (Enc)'!$D$6:$D$998,"Inactive")&gt;0,"BLOCKED","CAN SELL")))))</f>
        <v>CAN SELL</v>
      </c>
      <c r="F165" s="11" t="str">
        <f>IF($A165="","",_xlfn.LET(_xlpm.t,MATCH($B165,'[1]Territory Definitions'!$B$5:$B$14,0),IF(ISNA(_xlpm.t),"NO TERRITORY",IF(INDEX('[1]Territory Definitions'!$D$5:$M$14,_xlpm.t,MATCH(F$4,'[1]Territory Definitions'!$D$4:$M$4,0))&lt;&gt;1,"NOT IN TERRITORY",IF(COUNTIFS('[1]Blackout Brand Fam Areas (Enc)'!$B$6:$B$998,$A165,'[1]Blackout Brand Fam Areas (Enc)'!$C$6:$C$998,F$4,'[1]Blackout Brand Fam Areas (Enc)'!$D$6:$D$998,"Inactive")&gt;0,"BLOCKED","CAN SELL")))))</f>
        <v>CAN SELL</v>
      </c>
      <c r="G165" s="11" t="str">
        <f>IF($A165="","",_xlfn.LET(_xlpm.t,MATCH($B165,'[1]Territory Definitions'!$B$5:$B$14,0),IF(ISNA(_xlpm.t),"NO TERRITORY",IF(INDEX('[1]Territory Definitions'!$D$5:$M$14,_xlpm.t,MATCH(G$4,'[1]Territory Definitions'!$D$4:$M$4,0))&lt;&gt;1,"NOT IN TERRITORY",IF(COUNTIFS('[1]Blackout Brand Fam Areas (Enc)'!$B$6:$B$998,$A165,'[1]Blackout Brand Fam Areas (Enc)'!$C$6:$C$998,G$4,'[1]Blackout Brand Fam Areas (Enc)'!$D$6:$D$998,"Inactive")&gt;0,"BLOCKED","CAN SELL")))))</f>
        <v>CAN SELL</v>
      </c>
      <c r="H165" s="11" t="str">
        <f>IF($A165="","",_xlfn.LET(_xlpm.t,MATCH($B165,'[1]Territory Definitions'!$B$5:$B$14,0),IF(ISNA(_xlpm.t),"NO TERRITORY",IF(INDEX('[1]Territory Definitions'!$D$5:$M$14,_xlpm.t,MATCH(H$4,'[1]Territory Definitions'!$D$4:$M$4,0))&lt;&gt;1,"NOT IN TERRITORY",IF(COUNTIFS('[1]Blackout Brand Fam Areas (Enc)'!$B$6:$B$998,$A165,'[1]Blackout Brand Fam Areas (Enc)'!$C$6:$C$998,H$4,'[1]Blackout Brand Fam Areas (Enc)'!$D$6:$D$998,"Inactive")&gt;0,"BLOCKED","CAN SELL")))))</f>
        <v>CAN SELL</v>
      </c>
      <c r="I165" s="11" t="str">
        <f>IF($A165="","",_xlfn.LET(_xlpm.t,MATCH($B165,'[1]Territory Definitions'!$B$5:$B$14,0),IF(ISNA(_xlpm.t),"NO TERRITORY",IF(INDEX('[1]Territory Definitions'!$D$5:$M$14,_xlpm.t,MATCH(I$4,'[1]Territory Definitions'!$D$4:$M$4,0))&lt;&gt;1,"NOT IN TERRITORY",IF(COUNTIFS('[1]Blackout Brand Fam Areas (Enc)'!$B$6:$B$998,$A165,'[1]Blackout Brand Fam Areas (Enc)'!$C$6:$C$998,I$4,'[1]Blackout Brand Fam Areas (Enc)'!$D$6:$D$998,"Inactive")&gt;0,"BLOCKED","CAN SELL")))))</f>
        <v>CAN SELL</v>
      </c>
      <c r="J165" s="11" t="str">
        <f>IF($A165="","",_xlfn.LET(_xlpm.t,MATCH($B165,'[1]Territory Definitions'!$B$5:$B$14,0),IF(ISNA(_xlpm.t),"NO TERRITORY",IF(INDEX('[1]Territory Definitions'!$D$5:$M$14,_xlpm.t,MATCH(J$4,'[1]Territory Definitions'!$D$4:$M$4,0))&lt;&gt;1,"NOT IN TERRITORY",IF(COUNTIFS('[1]Blackout Brand Fam Areas (Enc)'!$B$6:$B$998,$A165,'[1]Blackout Brand Fam Areas (Enc)'!$C$6:$C$998,J$4,'[1]Blackout Brand Fam Areas (Enc)'!$D$6:$D$998,"Inactive")&gt;0,"BLOCKED","CAN SELL")))))</f>
        <v>CAN SELL</v>
      </c>
      <c r="K165" s="11" t="str">
        <f>IF($A165="","",_xlfn.LET(_xlpm.t,MATCH($B165,'[1]Territory Definitions'!$B$5:$B$14,0),IF(ISNA(_xlpm.t),"NO TERRITORY",IF(INDEX('[1]Territory Definitions'!$D$5:$M$14,_xlpm.t,MATCH(K$4,'[1]Territory Definitions'!$D$4:$M$4,0))&lt;&gt;1,"NOT IN TERRITORY",IF(COUNTIFS('[1]Blackout Brand Fam Areas (Enc)'!$B$6:$B$998,$A165,'[1]Blackout Brand Fam Areas (Enc)'!$C$6:$C$998,K$4,'[1]Blackout Brand Fam Areas (Enc)'!$D$6:$D$998,"Inactive")&gt;0,"BLOCKED","CAN SELL")))))</f>
        <v>CAN SELL</v>
      </c>
      <c r="L165" s="11" t="str">
        <f>IF($A165="","",_xlfn.LET(_xlpm.t,MATCH($B165,'[1]Territory Definitions'!$B$5:$B$14,0),IF(ISNA(_xlpm.t),"NO TERRITORY",IF(INDEX('[1]Territory Definitions'!$D$5:$M$14,_xlpm.t,MATCH(L$4,'[1]Territory Definitions'!$D$4:$M$4,0))&lt;&gt;1,"NOT IN TERRITORY",IF(COUNTIFS('[1]Blackout Brand Fam Areas (Enc)'!$B$6:$B$998,$A165,'[1]Blackout Brand Fam Areas (Enc)'!$C$6:$C$998,L$4,'[1]Blackout Brand Fam Areas (Enc)'!$D$6:$D$998,"Inactive")&gt;0,"BLOCKED","CAN SELL")))))</f>
        <v>CAN SELL</v>
      </c>
      <c r="M165" s="12">
        <f>IF($A165="","",COUNTIF($C165:$L165,"CAN SELL"))</f>
        <v>10</v>
      </c>
      <c r="N165" s="13" cm="1">
        <f t="array" ref="N165">IF($A165="","",SUMPRODUCT(($C165:$L165="CAN SELL")*$C$3:$L$3))</f>
        <v>2306</v>
      </c>
      <c r="O165" s="14" t="str">
        <f>IF($A165="","",IF(COUNTIF($A$5:$A$299,$A165)&gt;1,"DUPLICATE - two different territories assigned",IF($B165="** NO TERRITORY SET **","No territory on Brand Family Territory (Enc)","")))</f>
        <v/>
      </c>
      <c r="P165" s="18" t="str">
        <f>IF($A165="","",IFERROR(INDEX([1]Products!$H$4:$H$4801,MATCH($A165,[1]Products!$G$4:$G$4801,0)),"(no products)"))</f>
        <v>Total Beverage Solutions</v>
      </c>
      <c r="Q165" s="19">
        <f>IF($A165="","",COUNTIFS([1]Products!$G$4:$G$4801,$A165,[1]Products!$L$4:$L$4801,"Yes"))</f>
        <v>1</v>
      </c>
      <c r="R165" s="19">
        <f>IF($A165="","",COUNTIFS([1]Products!$G$4:$G$4801,$A165,[1]Products!$L$4:$L$4801,"Yes",[1]Products!$K$4:$K$4801,"Draft"))</f>
        <v>0</v>
      </c>
      <c r="S165" s="19">
        <f>IF($A165="","",COUNTIFS([1]Products!$G$4:$G$4801,$A165,[1]Products!$L$4:$L$4801,"Yes",[1]Products!$K$4:$K$4801,"Package"))</f>
        <v>1</v>
      </c>
      <c r="T165" s="20" t="str" cm="1">
        <f t="array" ref="T165">IF($A165="","",_xlfn.IFS($Q165=0,"NO ACTIVE SKUs",AND($R165&gt;0,$S165&gt;0),"Draft &amp; Package",$R165&gt;0,"Draft only",TRUE,"Package only"))</f>
        <v>Package only</v>
      </c>
    </row>
    <row r="166" spans="1:20" x14ac:dyDescent="0.2">
      <c r="A166" s="9" t="str">
        <v>Magners</v>
      </c>
      <c r="B166" s="10" t="str">
        <f>IF($A166="","",_xlfn.XLOOKUP($A166,'[1]Brand Family Territory (Enc)'!$A:$A,'[1]Brand Family Territory (Enc)'!$B:$B,"** NO TERRITORY SET **"))</f>
        <v>All Counties</v>
      </c>
      <c r="C166" s="11" t="str">
        <f>IF($A166="","",_xlfn.LET(_xlpm.t,MATCH($B166,'[1]Territory Definitions'!$B$5:$B$14,0),IF(ISNA(_xlpm.t),"NO TERRITORY",IF(INDEX('[1]Territory Definitions'!$D$5:$M$14,_xlpm.t,MATCH(C$4,'[1]Territory Definitions'!$D$4:$M$4,0))&lt;&gt;1,"NOT IN TERRITORY",IF(COUNTIFS('[1]Blackout Brand Fam Areas (Enc)'!$B$6:$B$998,$A166,'[1]Blackout Brand Fam Areas (Enc)'!$C$6:$C$998,C$4,'[1]Blackout Brand Fam Areas (Enc)'!$D$6:$D$998,"Inactive")&gt;0,"BLOCKED","CAN SELL")))))</f>
        <v>CAN SELL</v>
      </c>
      <c r="D166" s="11" t="str">
        <f>IF($A166="","",_xlfn.LET(_xlpm.t,MATCH($B166,'[1]Territory Definitions'!$B$5:$B$14,0),IF(ISNA(_xlpm.t),"NO TERRITORY",IF(INDEX('[1]Territory Definitions'!$D$5:$M$14,_xlpm.t,MATCH(D$4,'[1]Territory Definitions'!$D$4:$M$4,0))&lt;&gt;1,"NOT IN TERRITORY",IF(COUNTIFS('[1]Blackout Brand Fam Areas (Enc)'!$B$6:$B$998,$A166,'[1]Blackout Brand Fam Areas (Enc)'!$C$6:$C$998,D$4,'[1]Blackout Brand Fam Areas (Enc)'!$D$6:$D$998,"Inactive")&gt;0,"BLOCKED","CAN SELL")))))</f>
        <v>CAN SELL</v>
      </c>
      <c r="E166" s="11" t="str">
        <f>IF($A166="","",_xlfn.LET(_xlpm.t,MATCH($B166,'[1]Territory Definitions'!$B$5:$B$14,0),IF(ISNA(_xlpm.t),"NO TERRITORY",IF(INDEX('[1]Territory Definitions'!$D$5:$M$14,_xlpm.t,MATCH(E$4,'[1]Territory Definitions'!$D$4:$M$4,0))&lt;&gt;1,"NOT IN TERRITORY",IF(COUNTIFS('[1]Blackout Brand Fam Areas (Enc)'!$B$6:$B$998,$A166,'[1]Blackout Brand Fam Areas (Enc)'!$C$6:$C$998,E$4,'[1]Blackout Brand Fam Areas (Enc)'!$D$6:$D$998,"Inactive")&gt;0,"BLOCKED","CAN SELL")))))</f>
        <v>CAN SELL</v>
      </c>
      <c r="F166" s="11" t="str">
        <f>IF($A166="","",_xlfn.LET(_xlpm.t,MATCH($B166,'[1]Territory Definitions'!$B$5:$B$14,0),IF(ISNA(_xlpm.t),"NO TERRITORY",IF(INDEX('[1]Territory Definitions'!$D$5:$M$14,_xlpm.t,MATCH(F$4,'[1]Territory Definitions'!$D$4:$M$4,0))&lt;&gt;1,"NOT IN TERRITORY",IF(COUNTIFS('[1]Blackout Brand Fam Areas (Enc)'!$B$6:$B$998,$A166,'[1]Blackout Brand Fam Areas (Enc)'!$C$6:$C$998,F$4,'[1]Blackout Brand Fam Areas (Enc)'!$D$6:$D$998,"Inactive")&gt;0,"BLOCKED","CAN SELL")))))</f>
        <v>CAN SELL</v>
      </c>
      <c r="G166" s="11" t="str">
        <f>IF($A166="","",_xlfn.LET(_xlpm.t,MATCH($B166,'[1]Territory Definitions'!$B$5:$B$14,0),IF(ISNA(_xlpm.t),"NO TERRITORY",IF(INDEX('[1]Territory Definitions'!$D$5:$M$14,_xlpm.t,MATCH(G$4,'[1]Territory Definitions'!$D$4:$M$4,0))&lt;&gt;1,"NOT IN TERRITORY",IF(COUNTIFS('[1]Blackout Brand Fam Areas (Enc)'!$B$6:$B$998,$A166,'[1]Blackout Brand Fam Areas (Enc)'!$C$6:$C$998,G$4,'[1]Blackout Brand Fam Areas (Enc)'!$D$6:$D$998,"Inactive")&gt;0,"BLOCKED","CAN SELL")))))</f>
        <v>CAN SELL</v>
      </c>
      <c r="H166" s="11" t="str">
        <f>IF($A166="","",_xlfn.LET(_xlpm.t,MATCH($B166,'[1]Territory Definitions'!$B$5:$B$14,0),IF(ISNA(_xlpm.t),"NO TERRITORY",IF(INDEX('[1]Territory Definitions'!$D$5:$M$14,_xlpm.t,MATCH(H$4,'[1]Territory Definitions'!$D$4:$M$4,0))&lt;&gt;1,"NOT IN TERRITORY",IF(COUNTIFS('[1]Blackout Brand Fam Areas (Enc)'!$B$6:$B$998,$A166,'[1]Blackout Brand Fam Areas (Enc)'!$C$6:$C$998,H$4,'[1]Blackout Brand Fam Areas (Enc)'!$D$6:$D$998,"Inactive")&gt;0,"BLOCKED","CAN SELL")))))</f>
        <v>CAN SELL</v>
      </c>
      <c r="I166" s="11" t="str">
        <f>IF($A166="","",_xlfn.LET(_xlpm.t,MATCH($B166,'[1]Territory Definitions'!$B$5:$B$14,0),IF(ISNA(_xlpm.t),"NO TERRITORY",IF(INDEX('[1]Territory Definitions'!$D$5:$M$14,_xlpm.t,MATCH(I$4,'[1]Territory Definitions'!$D$4:$M$4,0))&lt;&gt;1,"NOT IN TERRITORY",IF(COUNTIFS('[1]Blackout Brand Fam Areas (Enc)'!$B$6:$B$998,$A166,'[1]Blackout Brand Fam Areas (Enc)'!$C$6:$C$998,I$4,'[1]Blackout Brand Fam Areas (Enc)'!$D$6:$D$998,"Inactive")&gt;0,"BLOCKED","CAN SELL")))))</f>
        <v>CAN SELL</v>
      </c>
      <c r="J166" s="11" t="str">
        <f>IF($A166="","",_xlfn.LET(_xlpm.t,MATCH($B166,'[1]Territory Definitions'!$B$5:$B$14,0),IF(ISNA(_xlpm.t),"NO TERRITORY",IF(INDEX('[1]Territory Definitions'!$D$5:$M$14,_xlpm.t,MATCH(J$4,'[1]Territory Definitions'!$D$4:$M$4,0))&lt;&gt;1,"NOT IN TERRITORY",IF(COUNTIFS('[1]Blackout Brand Fam Areas (Enc)'!$B$6:$B$998,$A166,'[1]Blackout Brand Fam Areas (Enc)'!$C$6:$C$998,J$4,'[1]Blackout Brand Fam Areas (Enc)'!$D$6:$D$998,"Inactive")&gt;0,"BLOCKED","CAN SELL")))))</f>
        <v>CAN SELL</v>
      </c>
      <c r="K166" s="11" t="str">
        <f>IF($A166="","",_xlfn.LET(_xlpm.t,MATCH($B166,'[1]Territory Definitions'!$B$5:$B$14,0),IF(ISNA(_xlpm.t),"NO TERRITORY",IF(INDEX('[1]Territory Definitions'!$D$5:$M$14,_xlpm.t,MATCH(K$4,'[1]Territory Definitions'!$D$4:$M$4,0))&lt;&gt;1,"NOT IN TERRITORY",IF(COUNTIFS('[1]Blackout Brand Fam Areas (Enc)'!$B$6:$B$998,$A166,'[1]Blackout Brand Fam Areas (Enc)'!$C$6:$C$998,K$4,'[1]Blackout Brand Fam Areas (Enc)'!$D$6:$D$998,"Inactive")&gt;0,"BLOCKED","CAN SELL")))))</f>
        <v>CAN SELL</v>
      </c>
      <c r="L166" s="11" t="str">
        <f>IF($A166="","",_xlfn.LET(_xlpm.t,MATCH($B166,'[1]Territory Definitions'!$B$5:$B$14,0),IF(ISNA(_xlpm.t),"NO TERRITORY",IF(INDEX('[1]Territory Definitions'!$D$5:$M$14,_xlpm.t,MATCH(L$4,'[1]Territory Definitions'!$D$4:$M$4,0))&lt;&gt;1,"NOT IN TERRITORY",IF(COUNTIFS('[1]Blackout Brand Fam Areas (Enc)'!$B$6:$B$998,$A166,'[1]Blackout Brand Fam Areas (Enc)'!$C$6:$C$998,L$4,'[1]Blackout Brand Fam Areas (Enc)'!$D$6:$D$998,"Inactive")&gt;0,"BLOCKED","CAN SELL")))))</f>
        <v>CAN SELL</v>
      </c>
      <c r="M166" s="12">
        <f>IF($A166="","",COUNTIF($C166:$L166,"CAN SELL"))</f>
        <v>10</v>
      </c>
      <c r="N166" s="13" cm="1">
        <f t="array" ref="N166">IF($A166="","",SUMPRODUCT(($C166:$L166="CAN SELL")*$C$3:$L$3))</f>
        <v>2306</v>
      </c>
      <c r="O166" s="14" t="str">
        <f>IF($A166="","",IF(COUNTIF($A$5:$A$299,$A166)&gt;1,"DUPLICATE - two different territories assigned",IF($B166="** NO TERRITORY SET **","No territory on Brand Family Territory (Enc)","")))</f>
        <v/>
      </c>
      <c r="P166" s="18" t="str">
        <f>IF($A166="","",IFERROR(INDEX([1]Products!$H$4:$H$4801,MATCH($A166,[1]Products!$G$4:$G$4801,0)),"(no products)"))</f>
        <v>Total Beverage Solutions</v>
      </c>
      <c r="Q166" s="19">
        <f>IF($A166="","",COUNTIFS([1]Products!$G$4:$G$4801,$A166,[1]Products!$L$4:$L$4801,"Yes"))</f>
        <v>5</v>
      </c>
      <c r="R166" s="19">
        <f>IF($A166="","",COUNTIFS([1]Products!$G$4:$G$4801,$A166,[1]Products!$L$4:$L$4801,"Yes",[1]Products!$K$4:$K$4801,"Draft"))</f>
        <v>1</v>
      </c>
      <c r="S166" s="19">
        <f>IF($A166="","",COUNTIFS([1]Products!$G$4:$G$4801,$A166,[1]Products!$L$4:$L$4801,"Yes",[1]Products!$K$4:$K$4801,"Package"))</f>
        <v>4</v>
      </c>
      <c r="T166" s="20" t="str" cm="1">
        <f t="array" ref="T166">IF($A166="","",_xlfn.IFS($Q166=0,"NO ACTIVE SKUs",AND($R166&gt;0,$S166&gt;0),"Draft &amp; Package",$R166&gt;0,"Draft only",TRUE,"Package only"))</f>
        <v>Draft &amp; Package</v>
      </c>
    </row>
    <row r="167" spans="1:20" x14ac:dyDescent="0.2">
      <c r="A167" s="9" t="str">
        <v>Malibu Splash</v>
      </c>
      <c r="B167" s="10" t="str">
        <f>IF($A167="","",_xlfn.XLOOKUP($A167,'[1]Brand Family Territory (Enc)'!$A:$A,'[1]Brand Family Territory (Enc)'!$B:$B,"** NO TERRITORY SET **"))</f>
        <v>All Counties</v>
      </c>
      <c r="C167" s="11" t="str">
        <f>IF($A167="","",_xlfn.LET(_xlpm.t,MATCH($B167,'[1]Territory Definitions'!$B$5:$B$14,0),IF(ISNA(_xlpm.t),"NO TERRITORY",IF(INDEX('[1]Territory Definitions'!$D$5:$M$14,_xlpm.t,MATCH(C$4,'[1]Territory Definitions'!$D$4:$M$4,0))&lt;&gt;1,"NOT IN TERRITORY",IF(COUNTIFS('[1]Blackout Brand Fam Areas (Enc)'!$B$6:$B$998,$A167,'[1]Blackout Brand Fam Areas (Enc)'!$C$6:$C$998,C$4,'[1]Blackout Brand Fam Areas (Enc)'!$D$6:$D$998,"Inactive")&gt;0,"BLOCKED","CAN SELL")))))</f>
        <v>CAN SELL</v>
      </c>
      <c r="D167" s="11" t="str">
        <f>IF($A167="","",_xlfn.LET(_xlpm.t,MATCH($B167,'[1]Territory Definitions'!$B$5:$B$14,0),IF(ISNA(_xlpm.t),"NO TERRITORY",IF(INDEX('[1]Territory Definitions'!$D$5:$M$14,_xlpm.t,MATCH(D$4,'[1]Territory Definitions'!$D$4:$M$4,0))&lt;&gt;1,"NOT IN TERRITORY",IF(COUNTIFS('[1]Blackout Brand Fam Areas (Enc)'!$B$6:$B$998,$A167,'[1]Blackout Brand Fam Areas (Enc)'!$C$6:$C$998,D$4,'[1]Blackout Brand Fam Areas (Enc)'!$D$6:$D$998,"Inactive")&gt;0,"BLOCKED","CAN SELL")))))</f>
        <v>CAN SELL</v>
      </c>
      <c r="E167" s="11" t="str">
        <f>IF($A167="","",_xlfn.LET(_xlpm.t,MATCH($B167,'[1]Territory Definitions'!$B$5:$B$14,0),IF(ISNA(_xlpm.t),"NO TERRITORY",IF(INDEX('[1]Territory Definitions'!$D$5:$M$14,_xlpm.t,MATCH(E$4,'[1]Territory Definitions'!$D$4:$M$4,0))&lt;&gt;1,"NOT IN TERRITORY",IF(COUNTIFS('[1]Blackout Brand Fam Areas (Enc)'!$B$6:$B$998,$A167,'[1]Blackout Brand Fam Areas (Enc)'!$C$6:$C$998,E$4,'[1]Blackout Brand Fam Areas (Enc)'!$D$6:$D$998,"Inactive")&gt;0,"BLOCKED","CAN SELL")))))</f>
        <v>CAN SELL</v>
      </c>
      <c r="F167" s="11" t="str">
        <f>IF($A167="","",_xlfn.LET(_xlpm.t,MATCH($B167,'[1]Territory Definitions'!$B$5:$B$14,0),IF(ISNA(_xlpm.t),"NO TERRITORY",IF(INDEX('[1]Territory Definitions'!$D$5:$M$14,_xlpm.t,MATCH(F$4,'[1]Territory Definitions'!$D$4:$M$4,0))&lt;&gt;1,"NOT IN TERRITORY",IF(COUNTIFS('[1]Blackout Brand Fam Areas (Enc)'!$B$6:$B$998,$A167,'[1]Blackout Brand Fam Areas (Enc)'!$C$6:$C$998,F$4,'[1]Blackout Brand Fam Areas (Enc)'!$D$6:$D$998,"Inactive")&gt;0,"BLOCKED","CAN SELL")))))</f>
        <v>CAN SELL</v>
      </c>
      <c r="G167" s="11" t="str">
        <f>IF($A167="","",_xlfn.LET(_xlpm.t,MATCH($B167,'[1]Territory Definitions'!$B$5:$B$14,0),IF(ISNA(_xlpm.t),"NO TERRITORY",IF(INDEX('[1]Territory Definitions'!$D$5:$M$14,_xlpm.t,MATCH(G$4,'[1]Territory Definitions'!$D$4:$M$4,0))&lt;&gt;1,"NOT IN TERRITORY",IF(COUNTIFS('[1]Blackout Brand Fam Areas (Enc)'!$B$6:$B$998,$A167,'[1]Blackout Brand Fam Areas (Enc)'!$C$6:$C$998,G$4,'[1]Blackout Brand Fam Areas (Enc)'!$D$6:$D$998,"Inactive")&gt;0,"BLOCKED","CAN SELL")))))</f>
        <v>CAN SELL</v>
      </c>
      <c r="H167" s="11" t="str">
        <f>IF($A167="","",_xlfn.LET(_xlpm.t,MATCH($B167,'[1]Territory Definitions'!$B$5:$B$14,0),IF(ISNA(_xlpm.t),"NO TERRITORY",IF(INDEX('[1]Territory Definitions'!$D$5:$M$14,_xlpm.t,MATCH(H$4,'[1]Territory Definitions'!$D$4:$M$4,0))&lt;&gt;1,"NOT IN TERRITORY",IF(COUNTIFS('[1]Blackout Brand Fam Areas (Enc)'!$B$6:$B$998,$A167,'[1]Blackout Brand Fam Areas (Enc)'!$C$6:$C$998,H$4,'[1]Blackout Brand Fam Areas (Enc)'!$D$6:$D$998,"Inactive")&gt;0,"BLOCKED","CAN SELL")))))</f>
        <v>CAN SELL</v>
      </c>
      <c r="I167" s="11" t="str">
        <f>IF($A167="","",_xlfn.LET(_xlpm.t,MATCH($B167,'[1]Territory Definitions'!$B$5:$B$14,0),IF(ISNA(_xlpm.t),"NO TERRITORY",IF(INDEX('[1]Territory Definitions'!$D$5:$M$14,_xlpm.t,MATCH(I$4,'[1]Territory Definitions'!$D$4:$M$4,0))&lt;&gt;1,"NOT IN TERRITORY",IF(COUNTIFS('[1]Blackout Brand Fam Areas (Enc)'!$B$6:$B$998,$A167,'[1]Blackout Brand Fam Areas (Enc)'!$C$6:$C$998,I$4,'[1]Blackout Brand Fam Areas (Enc)'!$D$6:$D$998,"Inactive")&gt;0,"BLOCKED","CAN SELL")))))</f>
        <v>CAN SELL</v>
      </c>
      <c r="J167" s="11" t="str">
        <f>IF($A167="","",_xlfn.LET(_xlpm.t,MATCH($B167,'[1]Territory Definitions'!$B$5:$B$14,0),IF(ISNA(_xlpm.t),"NO TERRITORY",IF(INDEX('[1]Territory Definitions'!$D$5:$M$14,_xlpm.t,MATCH(J$4,'[1]Territory Definitions'!$D$4:$M$4,0))&lt;&gt;1,"NOT IN TERRITORY",IF(COUNTIFS('[1]Blackout Brand Fam Areas (Enc)'!$B$6:$B$998,$A167,'[1]Blackout Brand Fam Areas (Enc)'!$C$6:$C$998,J$4,'[1]Blackout Brand Fam Areas (Enc)'!$D$6:$D$998,"Inactive")&gt;0,"BLOCKED","CAN SELL")))))</f>
        <v>CAN SELL</v>
      </c>
      <c r="K167" s="11" t="str">
        <f>IF($A167="","",_xlfn.LET(_xlpm.t,MATCH($B167,'[1]Territory Definitions'!$B$5:$B$14,0),IF(ISNA(_xlpm.t),"NO TERRITORY",IF(INDEX('[1]Territory Definitions'!$D$5:$M$14,_xlpm.t,MATCH(K$4,'[1]Territory Definitions'!$D$4:$M$4,0))&lt;&gt;1,"NOT IN TERRITORY",IF(COUNTIFS('[1]Blackout Brand Fam Areas (Enc)'!$B$6:$B$998,$A167,'[1]Blackout Brand Fam Areas (Enc)'!$C$6:$C$998,K$4,'[1]Blackout Brand Fam Areas (Enc)'!$D$6:$D$998,"Inactive")&gt;0,"BLOCKED","CAN SELL")))))</f>
        <v>CAN SELL</v>
      </c>
      <c r="L167" s="11" t="str">
        <f>IF($A167="","",_xlfn.LET(_xlpm.t,MATCH($B167,'[1]Territory Definitions'!$B$5:$B$14,0),IF(ISNA(_xlpm.t),"NO TERRITORY",IF(INDEX('[1]Territory Definitions'!$D$5:$M$14,_xlpm.t,MATCH(L$4,'[1]Territory Definitions'!$D$4:$M$4,0))&lt;&gt;1,"NOT IN TERRITORY",IF(COUNTIFS('[1]Blackout Brand Fam Areas (Enc)'!$B$6:$B$998,$A167,'[1]Blackout Brand Fam Areas (Enc)'!$C$6:$C$998,L$4,'[1]Blackout Brand Fam Areas (Enc)'!$D$6:$D$998,"Inactive")&gt;0,"BLOCKED","CAN SELL")))))</f>
        <v>CAN SELL</v>
      </c>
      <c r="M167" s="12">
        <f>IF($A167="","",COUNTIF($C167:$L167,"CAN SELL"))</f>
        <v>10</v>
      </c>
      <c r="N167" s="13" cm="1">
        <f t="array" ref="N167">IF($A167="","",SUMPRODUCT(($C167:$L167="CAN SELL")*$C$3:$L$3))</f>
        <v>2306</v>
      </c>
      <c r="O167" s="14" t="str">
        <f>IF($A167="","",IF(COUNTIF($A$5:$A$299,$A167)&gt;1,"DUPLICATE - two different territories assigned",IF($B167="** NO TERRITORY SET **","No territory on Brand Family Territory (Enc)","")))</f>
        <v/>
      </c>
      <c r="P167" s="18" t="str">
        <f>IF($A167="","",IFERROR(INDEX([1]Products!$H$4:$H$4801,MATCH($A167,[1]Products!$G$4:$G$4801,0)),"(no products)"))</f>
        <v>(no products)</v>
      </c>
      <c r="Q167" s="19">
        <f>IF($A167="","",COUNTIFS([1]Products!$G$4:$G$4801,$A167,[1]Products!$L$4:$L$4801,"Yes"))</f>
        <v>0</v>
      </c>
      <c r="R167" s="19">
        <f>IF($A167="","",COUNTIFS([1]Products!$G$4:$G$4801,$A167,[1]Products!$L$4:$L$4801,"Yes",[1]Products!$K$4:$K$4801,"Draft"))</f>
        <v>0</v>
      </c>
      <c r="S167" s="19">
        <f>IF($A167="","",COUNTIFS([1]Products!$G$4:$G$4801,$A167,[1]Products!$L$4:$L$4801,"Yes",[1]Products!$K$4:$K$4801,"Package"))</f>
        <v>0</v>
      </c>
      <c r="T167" s="20" t="str" cm="1">
        <f t="array" ref="T167">IF($A167="","",_xlfn.IFS($Q167=0,"NO ACTIVE SKUs",AND($R167&gt;0,$S167&gt;0),"Draft &amp; Package",$R167&gt;0,"Draft only",TRUE,"Package only"))</f>
        <v>NO ACTIVE SKUs</v>
      </c>
    </row>
    <row r="168" spans="1:20" x14ac:dyDescent="0.2">
      <c r="A168" s="9" t="str">
        <v>Mamita's</v>
      </c>
      <c r="B168" s="10" t="str">
        <f>IF($A168="","",_xlfn.XLOOKUP($A168,'[1]Brand Family Territory (Enc)'!$A:$A,'[1]Brand Family Territory (Enc)'!$B:$B,"** NO TERRITORY SET **"))</f>
        <v>Core Less Essex (Alt)</v>
      </c>
      <c r="C168" s="11" t="str">
        <f>IF($A168="","",_xlfn.LET(_xlpm.t,MATCH($B168,'[1]Territory Definitions'!$B$5:$B$14,0),IF(ISNA(_xlpm.t),"NO TERRITORY",IF(INDEX('[1]Territory Definitions'!$D$5:$M$14,_xlpm.t,MATCH(C$4,'[1]Territory Definitions'!$D$4:$M$4,0))&lt;&gt;1,"NOT IN TERRITORY",IF(COUNTIFS('[1]Blackout Brand Fam Areas (Enc)'!$B$6:$B$998,$A168,'[1]Blackout Brand Fam Areas (Enc)'!$C$6:$C$998,C$4,'[1]Blackout Brand Fam Areas (Enc)'!$D$6:$D$998,"Inactive")&gt;0,"BLOCKED","CAN SELL")))))</f>
        <v>CAN SELL</v>
      </c>
      <c r="D168" s="11" t="str">
        <f>IF($A168="","",_xlfn.LET(_xlpm.t,MATCH($B168,'[1]Territory Definitions'!$B$5:$B$14,0),IF(ISNA(_xlpm.t),"NO TERRITORY",IF(INDEX('[1]Territory Definitions'!$D$5:$M$14,_xlpm.t,MATCH(D$4,'[1]Territory Definitions'!$D$4:$M$4,0))&lt;&gt;1,"NOT IN TERRITORY",IF(COUNTIFS('[1]Blackout Brand Fam Areas (Enc)'!$B$6:$B$998,$A168,'[1]Blackout Brand Fam Areas (Enc)'!$C$6:$C$998,D$4,'[1]Blackout Brand Fam Areas (Enc)'!$D$6:$D$998,"Inactive")&gt;0,"BLOCKED","CAN SELL")))))</f>
        <v>CAN SELL</v>
      </c>
      <c r="E168" s="11" t="str">
        <f>IF($A168="","",_xlfn.LET(_xlpm.t,MATCH($B168,'[1]Territory Definitions'!$B$5:$B$14,0),IF(ISNA(_xlpm.t),"NO TERRITORY",IF(INDEX('[1]Territory Definitions'!$D$5:$M$14,_xlpm.t,MATCH(E$4,'[1]Territory Definitions'!$D$4:$M$4,0))&lt;&gt;1,"NOT IN TERRITORY",IF(COUNTIFS('[1]Blackout Brand Fam Areas (Enc)'!$B$6:$B$998,$A168,'[1]Blackout Brand Fam Areas (Enc)'!$C$6:$C$998,E$4,'[1]Blackout Brand Fam Areas (Enc)'!$D$6:$D$998,"Inactive")&gt;0,"BLOCKED","CAN SELL")))))</f>
        <v>CAN SELL</v>
      </c>
      <c r="F168" s="11" t="str">
        <f>IF($A168="","",_xlfn.LET(_xlpm.t,MATCH($B168,'[1]Territory Definitions'!$B$5:$B$14,0),IF(ISNA(_xlpm.t),"NO TERRITORY",IF(INDEX('[1]Territory Definitions'!$D$5:$M$14,_xlpm.t,MATCH(F$4,'[1]Territory Definitions'!$D$4:$M$4,0))&lt;&gt;1,"NOT IN TERRITORY",IF(COUNTIFS('[1]Blackout Brand Fam Areas (Enc)'!$B$6:$B$998,$A168,'[1]Blackout Brand Fam Areas (Enc)'!$C$6:$C$998,F$4,'[1]Blackout Brand Fam Areas (Enc)'!$D$6:$D$998,"Inactive")&gt;0,"BLOCKED","CAN SELL")))))</f>
        <v>NOT IN TERRITORY</v>
      </c>
      <c r="G168" s="11" t="str">
        <f>IF($A168="","",_xlfn.LET(_xlpm.t,MATCH($B168,'[1]Territory Definitions'!$B$5:$B$14,0),IF(ISNA(_xlpm.t),"NO TERRITORY",IF(INDEX('[1]Territory Definitions'!$D$5:$M$14,_xlpm.t,MATCH(G$4,'[1]Territory Definitions'!$D$4:$M$4,0))&lt;&gt;1,"NOT IN TERRITORY",IF(COUNTIFS('[1]Blackout Brand Fam Areas (Enc)'!$B$6:$B$998,$A168,'[1]Blackout Brand Fam Areas (Enc)'!$C$6:$C$998,G$4,'[1]Blackout Brand Fam Areas (Enc)'!$D$6:$D$998,"Inactive")&gt;0,"BLOCKED","CAN SELL")))))</f>
        <v>CAN SELL</v>
      </c>
      <c r="H168" s="11" t="str">
        <f>IF($A168="","",_xlfn.LET(_xlpm.t,MATCH($B168,'[1]Territory Definitions'!$B$5:$B$14,0),IF(ISNA(_xlpm.t),"NO TERRITORY",IF(INDEX('[1]Territory Definitions'!$D$5:$M$14,_xlpm.t,MATCH(H$4,'[1]Territory Definitions'!$D$4:$M$4,0))&lt;&gt;1,"NOT IN TERRITORY",IF(COUNTIFS('[1]Blackout Brand Fam Areas (Enc)'!$B$6:$B$998,$A168,'[1]Blackout Brand Fam Areas (Enc)'!$C$6:$C$998,H$4,'[1]Blackout Brand Fam Areas (Enc)'!$D$6:$D$998,"Inactive")&gt;0,"BLOCKED","CAN SELL")))))</f>
        <v>NOT IN TERRITORY</v>
      </c>
      <c r="I168" s="11" t="str">
        <f>IF($A168="","",_xlfn.LET(_xlpm.t,MATCH($B168,'[1]Territory Definitions'!$B$5:$B$14,0),IF(ISNA(_xlpm.t),"NO TERRITORY",IF(INDEX('[1]Territory Definitions'!$D$5:$M$14,_xlpm.t,MATCH(I$4,'[1]Territory Definitions'!$D$4:$M$4,0))&lt;&gt;1,"NOT IN TERRITORY",IF(COUNTIFS('[1]Blackout Brand Fam Areas (Enc)'!$B$6:$B$998,$A168,'[1]Blackout Brand Fam Areas (Enc)'!$C$6:$C$998,I$4,'[1]Blackout Brand Fam Areas (Enc)'!$D$6:$D$998,"Inactive")&gt;0,"BLOCKED","CAN SELL")))))</f>
        <v>CAN SELL</v>
      </c>
      <c r="J168" s="11" t="str">
        <f>IF($A168="","",_xlfn.LET(_xlpm.t,MATCH($B168,'[1]Territory Definitions'!$B$5:$B$14,0),IF(ISNA(_xlpm.t),"NO TERRITORY",IF(INDEX('[1]Territory Definitions'!$D$5:$M$14,_xlpm.t,MATCH(J$4,'[1]Territory Definitions'!$D$4:$M$4,0))&lt;&gt;1,"NOT IN TERRITORY",IF(COUNTIFS('[1]Blackout Brand Fam Areas (Enc)'!$B$6:$B$998,$A168,'[1]Blackout Brand Fam Areas (Enc)'!$C$6:$C$998,J$4,'[1]Blackout Brand Fam Areas (Enc)'!$D$6:$D$998,"Inactive")&gt;0,"BLOCKED","CAN SELL")))))</f>
        <v>CAN SELL</v>
      </c>
      <c r="K168" s="11" t="str">
        <f>IF($A168="","",_xlfn.LET(_xlpm.t,MATCH($B168,'[1]Territory Definitions'!$B$5:$B$14,0),IF(ISNA(_xlpm.t),"NO TERRITORY",IF(INDEX('[1]Territory Definitions'!$D$5:$M$14,_xlpm.t,MATCH(K$4,'[1]Territory Definitions'!$D$4:$M$4,0))&lt;&gt;1,"NOT IN TERRITORY",IF(COUNTIFS('[1]Blackout Brand Fam Areas (Enc)'!$B$6:$B$998,$A168,'[1]Blackout Brand Fam Areas (Enc)'!$C$6:$C$998,K$4,'[1]Blackout Brand Fam Areas (Enc)'!$D$6:$D$998,"Inactive")&gt;0,"BLOCKED","CAN SELL")))))</f>
        <v>NOT IN TERRITORY</v>
      </c>
      <c r="L168" s="11" t="str">
        <f>IF($A168="","",_xlfn.LET(_xlpm.t,MATCH($B168,'[1]Territory Definitions'!$B$5:$B$14,0),IF(ISNA(_xlpm.t),"NO TERRITORY",IF(INDEX('[1]Territory Definitions'!$D$5:$M$14,_xlpm.t,MATCH(L$4,'[1]Territory Definitions'!$D$4:$M$4,0))&lt;&gt;1,"NOT IN TERRITORY",IF(COUNTIFS('[1]Blackout Brand Fam Areas (Enc)'!$B$6:$B$998,$A168,'[1]Blackout Brand Fam Areas (Enc)'!$C$6:$C$998,L$4,'[1]Blackout Brand Fam Areas (Enc)'!$D$6:$D$998,"Inactive")&gt;0,"BLOCKED","CAN SELL")))))</f>
        <v>CAN SELL</v>
      </c>
      <c r="M168" s="12">
        <f>IF($A168="","",COUNTIF($C168:$L168,"CAN SELL"))</f>
        <v>7</v>
      </c>
      <c r="N168" s="13" cm="1">
        <f t="array" ref="N168">IF($A168="","",SUMPRODUCT(($C168:$L168="CAN SELL")*$C$3:$L$3))</f>
        <v>1924</v>
      </c>
      <c r="O168" s="14" t="str">
        <f>IF($A168="","",IF(COUNTIF($A$5:$A$299,$A168)&gt;1,"DUPLICATE - two different territories assigned",IF($B168="** NO TERRITORY SET **","No territory on Brand Family Territory (Enc)","")))</f>
        <v/>
      </c>
      <c r="P168" s="18" t="str">
        <f>IF($A168="","",IFERROR(INDEX([1]Products!$H$4:$H$4801,MATCH($A168,[1]Products!$G$4:$G$4801,0)),"(no products)"))</f>
        <v>Phusion Projects</v>
      </c>
      <c r="Q168" s="19">
        <f>IF($A168="","",COUNTIFS([1]Products!$G$4:$G$4801,$A168,[1]Products!$L$4:$L$4801,"Yes"))</f>
        <v>3</v>
      </c>
      <c r="R168" s="19">
        <f>IF($A168="","",COUNTIFS([1]Products!$G$4:$G$4801,$A168,[1]Products!$L$4:$L$4801,"Yes",[1]Products!$K$4:$K$4801,"Draft"))</f>
        <v>0</v>
      </c>
      <c r="S168" s="19">
        <f>IF($A168="","",COUNTIFS([1]Products!$G$4:$G$4801,$A168,[1]Products!$L$4:$L$4801,"Yes",[1]Products!$K$4:$K$4801,"Package"))</f>
        <v>0</v>
      </c>
      <c r="T168" s="20" t="str" cm="1">
        <f t="array" ref="T168">IF($A168="","",_xlfn.IFS($Q168=0,"NO ACTIVE SKUs",AND($R168&gt;0,$S168&gt;0),"Draft &amp; Package",$R168&gt;0,"Draft only",TRUE,"Package only"))</f>
        <v>Package only</v>
      </c>
    </row>
    <row r="169" spans="1:20" x14ac:dyDescent="0.2">
      <c r="A169" s="9" t="str">
        <v>Mckenzie's</v>
      </c>
      <c r="B169" s="10" t="str">
        <f>IF($A169="","",_xlfn.XLOOKUP($A169,'[1]Brand Family Territory (Enc)'!$A:$A,'[1]Brand Family Territory (Enc)'!$B:$B,"** NO TERRITORY SET **"))</f>
        <v>All Counties</v>
      </c>
      <c r="C169" s="11" t="str">
        <f>IF($A169="","",_xlfn.LET(_xlpm.t,MATCH($B169,'[1]Territory Definitions'!$B$5:$B$14,0),IF(ISNA(_xlpm.t),"NO TERRITORY",IF(INDEX('[1]Territory Definitions'!$D$5:$M$14,_xlpm.t,MATCH(C$4,'[1]Territory Definitions'!$D$4:$M$4,0))&lt;&gt;1,"NOT IN TERRITORY",IF(COUNTIFS('[1]Blackout Brand Fam Areas (Enc)'!$B$6:$B$998,$A169,'[1]Blackout Brand Fam Areas (Enc)'!$C$6:$C$998,C$4,'[1]Blackout Brand Fam Areas (Enc)'!$D$6:$D$998,"Inactive")&gt;0,"BLOCKED","CAN SELL")))))</f>
        <v>CAN SELL</v>
      </c>
      <c r="D169" s="11" t="str">
        <f>IF($A169="","",_xlfn.LET(_xlpm.t,MATCH($B169,'[1]Territory Definitions'!$B$5:$B$14,0),IF(ISNA(_xlpm.t),"NO TERRITORY",IF(INDEX('[1]Territory Definitions'!$D$5:$M$14,_xlpm.t,MATCH(D$4,'[1]Territory Definitions'!$D$4:$M$4,0))&lt;&gt;1,"NOT IN TERRITORY",IF(COUNTIFS('[1]Blackout Brand Fam Areas (Enc)'!$B$6:$B$998,$A169,'[1]Blackout Brand Fam Areas (Enc)'!$C$6:$C$998,D$4,'[1]Blackout Brand Fam Areas (Enc)'!$D$6:$D$998,"Inactive")&gt;0,"BLOCKED","CAN SELL")))))</f>
        <v>CAN SELL</v>
      </c>
      <c r="E169" s="11" t="str">
        <f>IF($A169="","",_xlfn.LET(_xlpm.t,MATCH($B169,'[1]Territory Definitions'!$B$5:$B$14,0),IF(ISNA(_xlpm.t),"NO TERRITORY",IF(INDEX('[1]Territory Definitions'!$D$5:$M$14,_xlpm.t,MATCH(E$4,'[1]Territory Definitions'!$D$4:$M$4,0))&lt;&gt;1,"NOT IN TERRITORY",IF(COUNTIFS('[1]Blackout Brand Fam Areas (Enc)'!$B$6:$B$998,$A169,'[1]Blackout Brand Fam Areas (Enc)'!$C$6:$C$998,E$4,'[1]Blackout Brand Fam Areas (Enc)'!$D$6:$D$998,"Inactive")&gt;0,"BLOCKED","CAN SELL")))))</f>
        <v>CAN SELL</v>
      </c>
      <c r="F169" s="11" t="str">
        <f>IF($A169="","",_xlfn.LET(_xlpm.t,MATCH($B169,'[1]Territory Definitions'!$B$5:$B$14,0),IF(ISNA(_xlpm.t),"NO TERRITORY",IF(INDEX('[1]Territory Definitions'!$D$5:$M$14,_xlpm.t,MATCH(F$4,'[1]Territory Definitions'!$D$4:$M$4,0))&lt;&gt;1,"NOT IN TERRITORY",IF(COUNTIFS('[1]Blackout Brand Fam Areas (Enc)'!$B$6:$B$998,$A169,'[1]Blackout Brand Fam Areas (Enc)'!$C$6:$C$998,F$4,'[1]Blackout Brand Fam Areas (Enc)'!$D$6:$D$998,"Inactive")&gt;0,"BLOCKED","CAN SELL")))))</f>
        <v>CAN SELL</v>
      </c>
      <c r="G169" s="11" t="str">
        <f>IF($A169="","",_xlfn.LET(_xlpm.t,MATCH($B169,'[1]Territory Definitions'!$B$5:$B$14,0),IF(ISNA(_xlpm.t),"NO TERRITORY",IF(INDEX('[1]Territory Definitions'!$D$5:$M$14,_xlpm.t,MATCH(G$4,'[1]Territory Definitions'!$D$4:$M$4,0))&lt;&gt;1,"NOT IN TERRITORY",IF(COUNTIFS('[1]Blackout Brand Fam Areas (Enc)'!$B$6:$B$998,$A169,'[1]Blackout Brand Fam Areas (Enc)'!$C$6:$C$998,G$4,'[1]Blackout Brand Fam Areas (Enc)'!$D$6:$D$998,"Inactive")&gt;0,"BLOCKED","CAN SELL")))))</f>
        <v>CAN SELL</v>
      </c>
      <c r="H169" s="11" t="str">
        <f>IF($A169="","",_xlfn.LET(_xlpm.t,MATCH($B169,'[1]Territory Definitions'!$B$5:$B$14,0),IF(ISNA(_xlpm.t),"NO TERRITORY",IF(INDEX('[1]Territory Definitions'!$D$5:$M$14,_xlpm.t,MATCH(H$4,'[1]Territory Definitions'!$D$4:$M$4,0))&lt;&gt;1,"NOT IN TERRITORY",IF(COUNTIFS('[1]Blackout Brand Fam Areas (Enc)'!$B$6:$B$998,$A169,'[1]Blackout Brand Fam Areas (Enc)'!$C$6:$C$998,H$4,'[1]Blackout Brand Fam Areas (Enc)'!$D$6:$D$998,"Inactive")&gt;0,"BLOCKED","CAN SELL")))))</f>
        <v>BLOCKED</v>
      </c>
      <c r="I169" s="11" t="str">
        <f>IF($A169="","",_xlfn.LET(_xlpm.t,MATCH($B169,'[1]Territory Definitions'!$B$5:$B$14,0),IF(ISNA(_xlpm.t),"NO TERRITORY",IF(INDEX('[1]Territory Definitions'!$D$5:$M$14,_xlpm.t,MATCH(I$4,'[1]Territory Definitions'!$D$4:$M$4,0))&lt;&gt;1,"NOT IN TERRITORY",IF(COUNTIFS('[1]Blackout Brand Fam Areas (Enc)'!$B$6:$B$998,$A169,'[1]Blackout Brand Fam Areas (Enc)'!$C$6:$C$998,I$4,'[1]Blackout Brand Fam Areas (Enc)'!$D$6:$D$998,"Inactive")&gt;0,"BLOCKED","CAN SELL")))))</f>
        <v>BLOCKED</v>
      </c>
      <c r="J169" s="11" t="str">
        <f>IF($A169="","",_xlfn.LET(_xlpm.t,MATCH($B169,'[1]Territory Definitions'!$B$5:$B$14,0),IF(ISNA(_xlpm.t),"NO TERRITORY",IF(INDEX('[1]Territory Definitions'!$D$5:$M$14,_xlpm.t,MATCH(J$4,'[1]Territory Definitions'!$D$4:$M$4,0))&lt;&gt;1,"NOT IN TERRITORY",IF(COUNTIFS('[1]Blackout Brand Fam Areas (Enc)'!$B$6:$B$998,$A169,'[1]Blackout Brand Fam Areas (Enc)'!$C$6:$C$998,J$4,'[1]Blackout Brand Fam Areas (Enc)'!$D$6:$D$998,"Inactive")&gt;0,"BLOCKED","CAN SELL")))))</f>
        <v>BLOCKED</v>
      </c>
      <c r="K169" s="11" t="str">
        <f>IF($A169="","",_xlfn.LET(_xlpm.t,MATCH($B169,'[1]Territory Definitions'!$B$5:$B$14,0),IF(ISNA(_xlpm.t),"NO TERRITORY",IF(INDEX('[1]Territory Definitions'!$D$5:$M$14,_xlpm.t,MATCH(K$4,'[1]Territory Definitions'!$D$4:$M$4,0))&lt;&gt;1,"NOT IN TERRITORY",IF(COUNTIFS('[1]Blackout Brand Fam Areas (Enc)'!$B$6:$B$998,$A169,'[1]Blackout Brand Fam Areas (Enc)'!$C$6:$C$998,K$4,'[1]Blackout Brand Fam Areas (Enc)'!$D$6:$D$998,"Inactive")&gt;0,"BLOCKED","CAN SELL")))))</f>
        <v>BLOCKED</v>
      </c>
      <c r="L169" s="11" t="str">
        <f>IF($A169="","",_xlfn.LET(_xlpm.t,MATCH($B169,'[1]Territory Definitions'!$B$5:$B$14,0),IF(ISNA(_xlpm.t),"NO TERRITORY",IF(INDEX('[1]Territory Definitions'!$D$5:$M$14,_xlpm.t,MATCH(L$4,'[1]Territory Definitions'!$D$4:$M$4,0))&lt;&gt;1,"NOT IN TERRITORY",IF(COUNTIFS('[1]Blackout Brand Fam Areas (Enc)'!$B$6:$B$998,$A169,'[1]Blackout Brand Fam Areas (Enc)'!$C$6:$C$998,L$4,'[1]Blackout Brand Fam Areas (Enc)'!$D$6:$D$998,"Inactive")&gt;0,"BLOCKED","CAN SELL")))))</f>
        <v>BLOCKED</v>
      </c>
      <c r="M169" s="12">
        <f>IF($A169="","",COUNTIF($C169:$L169,"CAN SELL"))</f>
        <v>5</v>
      </c>
      <c r="N169" s="13" cm="1">
        <f t="array" ref="N169">IF($A169="","",SUMPRODUCT(($C169:$L169="CAN SELL")*$C$3:$L$3))</f>
        <v>1859</v>
      </c>
      <c r="O169" s="14" t="str">
        <f>IF($A169="","",IF(COUNTIF($A$5:$A$299,$A169)&gt;1,"DUPLICATE - two different territories assigned",IF($B169="** NO TERRITORY SET **","No territory on Brand Family Territory (Enc)","")))</f>
        <v>DUPLICATE - two different territories assigned</v>
      </c>
      <c r="P169" s="18" t="str">
        <f>IF($A169="","",IFERROR(INDEX([1]Products!$H$4:$H$4801,MATCH($A169,[1]Products!$G$4:$G$4801,0)),"(no products)"))</f>
        <v>FX Matt</v>
      </c>
      <c r="Q169" s="19">
        <f>IF($A169="","",COUNTIFS([1]Products!$G$4:$G$4801,$A169,[1]Products!$L$4:$L$4801,"Yes"))</f>
        <v>3</v>
      </c>
      <c r="R169" s="19">
        <f>IF($A169="","",COUNTIFS([1]Products!$G$4:$G$4801,$A169,[1]Products!$L$4:$L$4801,"Yes",[1]Products!$K$4:$K$4801,"Draft"))</f>
        <v>0</v>
      </c>
      <c r="S169" s="19">
        <f>IF($A169="","",COUNTIFS([1]Products!$G$4:$G$4801,$A169,[1]Products!$L$4:$L$4801,"Yes",[1]Products!$K$4:$K$4801,"Package"))</f>
        <v>3</v>
      </c>
      <c r="T169" s="20" t="str" cm="1">
        <f t="array" ref="T169">IF($A169="","",_xlfn.IFS($Q169=0,"NO ACTIVE SKUs",AND($R169&gt;0,$S169&gt;0),"Draft &amp; Package",$R169&gt;0,"Draft only",TRUE,"Package only"))</f>
        <v>Package only</v>
      </c>
    </row>
    <row r="170" spans="1:20" x14ac:dyDescent="0.2">
      <c r="A170" s="9" t="str">
        <v>Mckenzie's</v>
      </c>
      <c r="B170" s="10" t="str">
        <f>IF($A170="","",_xlfn.XLOOKUP($A170,'[1]Brand Family Territory (Enc)'!$A:$A,'[1]Brand Family Territory (Enc)'!$B:$B,"** NO TERRITORY SET **"))</f>
        <v>All Counties</v>
      </c>
      <c r="C170" s="11" t="str">
        <f>IF($A170="","",_xlfn.LET(_xlpm.t,MATCH($B170,'[1]Territory Definitions'!$B$5:$B$14,0),IF(ISNA(_xlpm.t),"NO TERRITORY",IF(INDEX('[1]Territory Definitions'!$D$5:$M$14,_xlpm.t,MATCH(C$4,'[1]Territory Definitions'!$D$4:$M$4,0))&lt;&gt;1,"NOT IN TERRITORY",IF(COUNTIFS('[1]Blackout Brand Fam Areas (Enc)'!$B$6:$B$998,$A170,'[1]Blackout Brand Fam Areas (Enc)'!$C$6:$C$998,C$4,'[1]Blackout Brand Fam Areas (Enc)'!$D$6:$D$998,"Inactive")&gt;0,"BLOCKED","CAN SELL")))))</f>
        <v>CAN SELL</v>
      </c>
      <c r="D170" s="11" t="str">
        <f>IF($A170="","",_xlfn.LET(_xlpm.t,MATCH($B170,'[1]Territory Definitions'!$B$5:$B$14,0),IF(ISNA(_xlpm.t),"NO TERRITORY",IF(INDEX('[1]Territory Definitions'!$D$5:$M$14,_xlpm.t,MATCH(D$4,'[1]Territory Definitions'!$D$4:$M$4,0))&lt;&gt;1,"NOT IN TERRITORY",IF(COUNTIFS('[1]Blackout Brand Fam Areas (Enc)'!$B$6:$B$998,$A170,'[1]Blackout Brand Fam Areas (Enc)'!$C$6:$C$998,D$4,'[1]Blackout Brand Fam Areas (Enc)'!$D$6:$D$998,"Inactive")&gt;0,"BLOCKED","CAN SELL")))))</f>
        <v>CAN SELL</v>
      </c>
      <c r="E170" s="11" t="str">
        <f>IF($A170="","",_xlfn.LET(_xlpm.t,MATCH($B170,'[1]Territory Definitions'!$B$5:$B$14,0),IF(ISNA(_xlpm.t),"NO TERRITORY",IF(INDEX('[1]Territory Definitions'!$D$5:$M$14,_xlpm.t,MATCH(E$4,'[1]Territory Definitions'!$D$4:$M$4,0))&lt;&gt;1,"NOT IN TERRITORY",IF(COUNTIFS('[1]Blackout Brand Fam Areas (Enc)'!$B$6:$B$998,$A170,'[1]Blackout Brand Fam Areas (Enc)'!$C$6:$C$998,E$4,'[1]Blackout Brand Fam Areas (Enc)'!$D$6:$D$998,"Inactive")&gt;0,"BLOCKED","CAN SELL")))))</f>
        <v>CAN SELL</v>
      </c>
      <c r="F170" s="11" t="str">
        <f>IF($A170="","",_xlfn.LET(_xlpm.t,MATCH($B170,'[1]Territory Definitions'!$B$5:$B$14,0),IF(ISNA(_xlpm.t),"NO TERRITORY",IF(INDEX('[1]Territory Definitions'!$D$5:$M$14,_xlpm.t,MATCH(F$4,'[1]Territory Definitions'!$D$4:$M$4,0))&lt;&gt;1,"NOT IN TERRITORY",IF(COUNTIFS('[1]Blackout Brand Fam Areas (Enc)'!$B$6:$B$998,$A170,'[1]Blackout Brand Fam Areas (Enc)'!$C$6:$C$998,F$4,'[1]Blackout Brand Fam Areas (Enc)'!$D$6:$D$998,"Inactive")&gt;0,"BLOCKED","CAN SELL")))))</f>
        <v>CAN SELL</v>
      </c>
      <c r="G170" s="11" t="str">
        <f>IF($A170="","",_xlfn.LET(_xlpm.t,MATCH($B170,'[1]Territory Definitions'!$B$5:$B$14,0),IF(ISNA(_xlpm.t),"NO TERRITORY",IF(INDEX('[1]Territory Definitions'!$D$5:$M$14,_xlpm.t,MATCH(G$4,'[1]Territory Definitions'!$D$4:$M$4,0))&lt;&gt;1,"NOT IN TERRITORY",IF(COUNTIFS('[1]Blackout Brand Fam Areas (Enc)'!$B$6:$B$998,$A170,'[1]Blackout Brand Fam Areas (Enc)'!$C$6:$C$998,G$4,'[1]Blackout Brand Fam Areas (Enc)'!$D$6:$D$998,"Inactive")&gt;0,"BLOCKED","CAN SELL")))))</f>
        <v>CAN SELL</v>
      </c>
      <c r="H170" s="11" t="str">
        <f>IF($A170="","",_xlfn.LET(_xlpm.t,MATCH($B170,'[1]Territory Definitions'!$B$5:$B$14,0),IF(ISNA(_xlpm.t),"NO TERRITORY",IF(INDEX('[1]Territory Definitions'!$D$5:$M$14,_xlpm.t,MATCH(H$4,'[1]Territory Definitions'!$D$4:$M$4,0))&lt;&gt;1,"NOT IN TERRITORY",IF(COUNTIFS('[1]Blackout Brand Fam Areas (Enc)'!$B$6:$B$998,$A170,'[1]Blackout Brand Fam Areas (Enc)'!$C$6:$C$998,H$4,'[1]Blackout Brand Fam Areas (Enc)'!$D$6:$D$998,"Inactive")&gt;0,"BLOCKED","CAN SELL")))))</f>
        <v>BLOCKED</v>
      </c>
      <c r="I170" s="11" t="str">
        <f>IF($A170="","",_xlfn.LET(_xlpm.t,MATCH($B170,'[1]Territory Definitions'!$B$5:$B$14,0),IF(ISNA(_xlpm.t),"NO TERRITORY",IF(INDEX('[1]Territory Definitions'!$D$5:$M$14,_xlpm.t,MATCH(I$4,'[1]Territory Definitions'!$D$4:$M$4,0))&lt;&gt;1,"NOT IN TERRITORY",IF(COUNTIFS('[1]Blackout Brand Fam Areas (Enc)'!$B$6:$B$998,$A170,'[1]Blackout Brand Fam Areas (Enc)'!$C$6:$C$998,I$4,'[1]Blackout Brand Fam Areas (Enc)'!$D$6:$D$998,"Inactive")&gt;0,"BLOCKED","CAN SELL")))))</f>
        <v>BLOCKED</v>
      </c>
      <c r="J170" s="11" t="str">
        <f>IF($A170="","",_xlfn.LET(_xlpm.t,MATCH($B170,'[1]Territory Definitions'!$B$5:$B$14,0),IF(ISNA(_xlpm.t),"NO TERRITORY",IF(INDEX('[1]Territory Definitions'!$D$5:$M$14,_xlpm.t,MATCH(J$4,'[1]Territory Definitions'!$D$4:$M$4,0))&lt;&gt;1,"NOT IN TERRITORY",IF(COUNTIFS('[1]Blackout Brand Fam Areas (Enc)'!$B$6:$B$998,$A170,'[1]Blackout Brand Fam Areas (Enc)'!$C$6:$C$998,J$4,'[1]Blackout Brand Fam Areas (Enc)'!$D$6:$D$998,"Inactive")&gt;0,"BLOCKED","CAN SELL")))))</f>
        <v>BLOCKED</v>
      </c>
      <c r="K170" s="11" t="str">
        <f>IF($A170="","",_xlfn.LET(_xlpm.t,MATCH($B170,'[1]Territory Definitions'!$B$5:$B$14,0),IF(ISNA(_xlpm.t),"NO TERRITORY",IF(INDEX('[1]Territory Definitions'!$D$5:$M$14,_xlpm.t,MATCH(K$4,'[1]Territory Definitions'!$D$4:$M$4,0))&lt;&gt;1,"NOT IN TERRITORY",IF(COUNTIFS('[1]Blackout Brand Fam Areas (Enc)'!$B$6:$B$998,$A170,'[1]Blackout Brand Fam Areas (Enc)'!$C$6:$C$998,K$4,'[1]Blackout Brand Fam Areas (Enc)'!$D$6:$D$998,"Inactive")&gt;0,"BLOCKED","CAN SELL")))))</f>
        <v>BLOCKED</v>
      </c>
      <c r="L170" s="11" t="str">
        <f>IF($A170="","",_xlfn.LET(_xlpm.t,MATCH($B170,'[1]Territory Definitions'!$B$5:$B$14,0),IF(ISNA(_xlpm.t),"NO TERRITORY",IF(INDEX('[1]Territory Definitions'!$D$5:$M$14,_xlpm.t,MATCH(L$4,'[1]Territory Definitions'!$D$4:$M$4,0))&lt;&gt;1,"NOT IN TERRITORY",IF(COUNTIFS('[1]Blackout Brand Fam Areas (Enc)'!$B$6:$B$998,$A170,'[1]Blackout Brand Fam Areas (Enc)'!$C$6:$C$998,L$4,'[1]Blackout Brand Fam Areas (Enc)'!$D$6:$D$998,"Inactive")&gt;0,"BLOCKED","CAN SELL")))))</f>
        <v>BLOCKED</v>
      </c>
      <c r="M170" s="12">
        <f>IF($A170="","",COUNTIF($C170:$L170,"CAN SELL"))</f>
        <v>5</v>
      </c>
      <c r="N170" s="13" cm="1">
        <f t="array" ref="N170">IF($A170="","",SUMPRODUCT(($C170:$L170="CAN SELL")*$C$3:$L$3))</f>
        <v>1859</v>
      </c>
      <c r="O170" s="14" t="str">
        <f>IF($A170="","",IF(COUNTIF($A$5:$A$299,$A170)&gt;1,"DUPLICATE - two different territories assigned",IF($B170="** NO TERRITORY SET **","No territory on Brand Family Territory (Enc)","")))</f>
        <v>DUPLICATE - two different territories assigned</v>
      </c>
      <c r="P170" s="18" t="str">
        <f>IF($A170="","",IFERROR(INDEX([1]Products!$H$4:$H$4801,MATCH($A170,[1]Products!$G$4:$G$4801,0)),"(no products)"))</f>
        <v>FX Matt</v>
      </c>
      <c r="Q170" s="19">
        <f>IF($A170="","",COUNTIFS([1]Products!$G$4:$G$4801,$A170,[1]Products!$L$4:$L$4801,"Yes"))</f>
        <v>3</v>
      </c>
      <c r="R170" s="19">
        <f>IF($A170="","",COUNTIFS([1]Products!$G$4:$G$4801,$A170,[1]Products!$L$4:$L$4801,"Yes",[1]Products!$K$4:$K$4801,"Draft"))</f>
        <v>0</v>
      </c>
      <c r="S170" s="19">
        <f>IF($A170="","",COUNTIFS([1]Products!$G$4:$G$4801,$A170,[1]Products!$L$4:$L$4801,"Yes",[1]Products!$K$4:$K$4801,"Package"))</f>
        <v>3</v>
      </c>
      <c r="T170" s="20" t="str" cm="1">
        <f t="array" ref="T170">IF($A170="","",_xlfn.IFS($Q170=0,"NO ACTIVE SKUs",AND($R170&gt;0,$S170&gt;0),"Draft &amp; Package",$R170&gt;0,"Draft only",TRUE,"Package only"))</f>
        <v>Package only</v>
      </c>
    </row>
    <row r="171" spans="1:20" x14ac:dyDescent="0.2">
      <c r="A171" s="9" t="str">
        <v>Mike's Hard Dirty Lemonade</v>
      </c>
      <c r="B171" s="10" t="str">
        <f>IF($A171="","",_xlfn.XLOOKUP($A171,'[1]Brand Family Territory (Enc)'!$A:$A,'[1]Brand Family Territory (Enc)'!$B:$B,"** NO TERRITORY SET **"))</f>
        <v>Core Market</v>
      </c>
      <c r="C171" s="11" t="str">
        <f>IF($A171="","",_xlfn.LET(_xlpm.t,MATCH($B171,'[1]Territory Definitions'!$B$5:$B$14,0),IF(ISNA(_xlpm.t),"NO TERRITORY",IF(INDEX('[1]Territory Definitions'!$D$5:$M$14,_xlpm.t,MATCH(C$4,'[1]Territory Definitions'!$D$4:$M$4,0))&lt;&gt;1,"NOT IN TERRITORY",IF(COUNTIFS('[1]Blackout Brand Fam Areas (Enc)'!$B$6:$B$998,$A171,'[1]Blackout Brand Fam Areas (Enc)'!$C$6:$C$998,C$4,'[1]Blackout Brand Fam Areas (Enc)'!$D$6:$D$998,"Inactive")&gt;0,"BLOCKED","CAN SELL")))))</f>
        <v>CAN SELL</v>
      </c>
      <c r="D171" s="11" t="str">
        <f>IF($A171="","",_xlfn.LET(_xlpm.t,MATCH($B171,'[1]Territory Definitions'!$B$5:$B$14,0),IF(ISNA(_xlpm.t),"NO TERRITORY",IF(INDEX('[1]Territory Definitions'!$D$5:$M$14,_xlpm.t,MATCH(D$4,'[1]Territory Definitions'!$D$4:$M$4,0))&lt;&gt;1,"NOT IN TERRITORY",IF(COUNTIFS('[1]Blackout Brand Fam Areas (Enc)'!$B$6:$B$998,$A171,'[1]Blackout Brand Fam Areas (Enc)'!$C$6:$C$998,D$4,'[1]Blackout Brand Fam Areas (Enc)'!$D$6:$D$998,"Inactive")&gt;0,"BLOCKED","CAN SELL")))))</f>
        <v>CAN SELL</v>
      </c>
      <c r="E171" s="11" t="str">
        <f>IF($A171="","",_xlfn.LET(_xlpm.t,MATCH($B171,'[1]Territory Definitions'!$B$5:$B$14,0),IF(ISNA(_xlpm.t),"NO TERRITORY",IF(INDEX('[1]Territory Definitions'!$D$5:$M$14,_xlpm.t,MATCH(E$4,'[1]Territory Definitions'!$D$4:$M$4,0))&lt;&gt;1,"NOT IN TERRITORY",IF(COUNTIFS('[1]Blackout Brand Fam Areas (Enc)'!$B$6:$B$998,$A171,'[1]Blackout Brand Fam Areas (Enc)'!$C$6:$C$998,E$4,'[1]Blackout Brand Fam Areas (Enc)'!$D$6:$D$998,"Inactive")&gt;0,"BLOCKED","CAN SELL")))))</f>
        <v>CAN SELL</v>
      </c>
      <c r="F171" s="11" t="str">
        <f>IF($A171="","",_xlfn.LET(_xlpm.t,MATCH($B171,'[1]Territory Definitions'!$B$5:$B$14,0),IF(ISNA(_xlpm.t),"NO TERRITORY",IF(INDEX('[1]Territory Definitions'!$D$5:$M$14,_xlpm.t,MATCH(F$4,'[1]Territory Definitions'!$D$4:$M$4,0))&lt;&gt;1,"NOT IN TERRITORY",IF(COUNTIFS('[1]Blackout Brand Fam Areas (Enc)'!$B$6:$B$998,$A171,'[1]Blackout Brand Fam Areas (Enc)'!$C$6:$C$998,F$4,'[1]Blackout Brand Fam Areas (Enc)'!$D$6:$D$998,"Inactive")&gt;0,"BLOCKED","CAN SELL")))))</f>
        <v>NOT IN TERRITORY</v>
      </c>
      <c r="G171" s="11" t="str">
        <f>IF($A171="","",_xlfn.LET(_xlpm.t,MATCH($B171,'[1]Territory Definitions'!$B$5:$B$14,0),IF(ISNA(_xlpm.t),"NO TERRITORY",IF(INDEX('[1]Territory Definitions'!$D$5:$M$14,_xlpm.t,MATCH(G$4,'[1]Territory Definitions'!$D$4:$M$4,0))&lt;&gt;1,"NOT IN TERRITORY",IF(COUNTIFS('[1]Blackout Brand Fam Areas (Enc)'!$B$6:$B$998,$A171,'[1]Blackout Brand Fam Areas (Enc)'!$C$6:$C$998,G$4,'[1]Blackout Brand Fam Areas (Enc)'!$D$6:$D$998,"Inactive")&gt;0,"BLOCKED","CAN SELL")))))</f>
        <v>NOT IN TERRITORY</v>
      </c>
      <c r="H171" s="11" t="str">
        <f>IF($A171="","",_xlfn.LET(_xlpm.t,MATCH($B171,'[1]Territory Definitions'!$B$5:$B$14,0),IF(ISNA(_xlpm.t),"NO TERRITORY",IF(INDEX('[1]Territory Definitions'!$D$5:$M$14,_xlpm.t,MATCH(H$4,'[1]Territory Definitions'!$D$4:$M$4,0))&lt;&gt;1,"NOT IN TERRITORY",IF(COUNTIFS('[1]Blackout Brand Fam Areas (Enc)'!$B$6:$B$998,$A171,'[1]Blackout Brand Fam Areas (Enc)'!$C$6:$C$998,H$4,'[1]Blackout Brand Fam Areas (Enc)'!$D$6:$D$998,"Inactive")&gt;0,"BLOCKED","CAN SELL")))))</f>
        <v>NOT IN TERRITORY</v>
      </c>
      <c r="I171" s="11" t="str">
        <f>IF($A171="","",_xlfn.LET(_xlpm.t,MATCH($B171,'[1]Territory Definitions'!$B$5:$B$14,0),IF(ISNA(_xlpm.t),"NO TERRITORY",IF(INDEX('[1]Territory Definitions'!$D$5:$M$14,_xlpm.t,MATCH(I$4,'[1]Territory Definitions'!$D$4:$M$4,0))&lt;&gt;1,"NOT IN TERRITORY",IF(COUNTIFS('[1]Blackout Brand Fam Areas (Enc)'!$B$6:$B$998,$A171,'[1]Blackout Brand Fam Areas (Enc)'!$C$6:$C$998,I$4,'[1]Blackout Brand Fam Areas (Enc)'!$D$6:$D$998,"Inactive")&gt;0,"BLOCKED","CAN SELL")))))</f>
        <v>CAN SELL</v>
      </c>
      <c r="J171" s="11" t="str">
        <f>IF($A171="","",_xlfn.LET(_xlpm.t,MATCH($B171,'[1]Territory Definitions'!$B$5:$B$14,0),IF(ISNA(_xlpm.t),"NO TERRITORY",IF(INDEX('[1]Territory Definitions'!$D$5:$M$14,_xlpm.t,MATCH(J$4,'[1]Territory Definitions'!$D$4:$M$4,0))&lt;&gt;1,"NOT IN TERRITORY",IF(COUNTIFS('[1]Blackout Brand Fam Areas (Enc)'!$B$6:$B$998,$A171,'[1]Blackout Brand Fam Areas (Enc)'!$C$6:$C$998,J$4,'[1]Blackout Brand Fam Areas (Enc)'!$D$6:$D$998,"Inactive")&gt;0,"BLOCKED","CAN SELL")))))</f>
        <v>CAN SELL</v>
      </c>
      <c r="K171" s="11" t="str">
        <f>IF($A171="","",_xlfn.LET(_xlpm.t,MATCH($B171,'[1]Territory Definitions'!$B$5:$B$14,0),IF(ISNA(_xlpm.t),"NO TERRITORY",IF(INDEX('[1]Territory Definitions'!$D$5:$M$14,_xlpm.t,MATCH(K$4,'[1]Territory Definitions'!$D$4:$M$4,0))&lt;&gt;1,"NOT IN TERRITORY",IF(COUNTIFS('[1]Blackout Brand Fam Areas (Enc)'!$B$6:$B$998,$A171,'[1]Blackout Brand Fam Areas (Enc)'!$C$6:$C$998,K$4,'[1]Blackout Brand Fam Areas (Enc)'!$D$6:$D$998,"Inactive")&gt;0,"BLOCKED","CAN SELL")))))</f>
        <v>NOT IN TERRITORY</v>
      </c>
      <c r="L171" s="11" t="str">
        <f>IF($A171="","",_xlfn.LET(_xlpm.t,MATCH($B171,'[1]Territory Definitions'!$B$5:$B$14,0),IF(ISNA(_xlpm.t),"NO TERRITORY",IF(INDEX('[1]Territory Definitions'!$D$5:$M$14,_xlpm.t,MATCH(L$4,'[1]Territory Definitions'!$D$4:$M$4,0))&lt;&gt;1,"NOT IN TERRITORY",IF(COUNTIFS('[1]Blackout Brand Fam Areas (Enc)'!$B$6:$B$998,$A171,'[1]Blackout Brand Fam Areas (Enc)'!$C$6:$C$998,L$4,'[1]Blackout Brand Fam Areas (Enc)'!$D$6:$D$998,"Inactive")&gt;0,"BLOCKED","CAN SELL")))))</f>
        <v>CAN SELL</v>
      </c>
      <c r="M171" s="12">
        <f>IF($A171="","",COUNTIF($C171:$L171,"CAN SELL"))</f>
        <v>6</v>
      </c>
      <c r="N171" s="13" cm="1">
        <f t="array" ref="N171">IF($A171="","",SUMPRODUCT(($C171:$L171="CAN SELL")*$C$3:$L$3))</f>
        <v>1596</v>
      </c>
      <c r="O171" s="14" t="str">
        <f>IF($A171="","",IF(COUNTIF($A$5:$A$299,$A171)&gt;1,"DUPLICATE - two different territories assigned",IF($B171="** NO TERRITORY SET **","No territory on Brand Family Territory (Enc)","")))</f>
        <v/>
      </c>
      <c r="P171" s="18" t="str">
        <f>IF($A171="","",IFERROR(INDEX([1]Products!$H$4:$H$4801,MATCH($A171,[1]Products!$G$4:$G$4801,0)),"(no products)"))</f>
        <v>Mark Anthony</v>
      </c>
      <c r="Q171" s="19">
        <f>IF($A171="","",COUNTIFS([1]Products!$G$4:$G$4801,$A171,[1]Products!$L$4:$L$4801,"Yes"))</f>
        <v>3</v>
      </c>
      <c r="R171" s="19">
        <f>IF($A171="","",COUNTIFS([1]Products!$G$4:$G$4801,$A171,[1]Products!$L$4:$L$4801,"Yes",[1]Products!$K$4:$K$4801,"Draft"))</f>
        <v>0</v>
      </c>
      <c r="S171" s="19">
        <f>IF($A171="","",COUNTIFS([1]Products!$G$4:$G$4801,$A171,[1]Products!$L$4:$L$4801,"Yes",[1]Products!$K$4:$K$4801,"Package"))</f>
        <v>3</v>
      </c>
      <c r="T171" s="20" t="str" cm="1">
        <f t="array" ref="T171">IF($A171="","",_xlfn.IFS($Q171=0,"NO ACTIVE SKUs",AND($R171&gt;0,$S171&gt;0),"Draft &amp; Package",$R171&gt;0,"Draft only",TRUE,"Package only"))</f>
        <v>Package only</v>
      </c>
    </row>
    <row r="172" spans="1:20" x14ac:dyDescent="0.2">
      <c r="A172" s="9" t="str">
        <v>Mike's Hard Lemonade</v>
      </c>
      <c r="B172" s="10" t="str">
        <f>IF($A172="","",_xlfn.XLOOKUP($A172,'[1]Brand Family Territory (Enc)'!$A:$A,'[1]Brand Family Territory (Enc)'!$B:$B,"** NO TERRITORY SET **"))</f>
        <v>Core Market</v>
      </c>
      <c r="C172" s="11" t="str">
        <f>IF($A172="","",_xlfn.LET(_xlpm.t,MATCH($B172,'[1]Territory Definitions'!$B$5:$B$14,0),IF(ISNA(_xlpm.t),"NO TERRITORY",IF(INDEX('[1]Territory Definitions'!$D$5:$M$14,_xlpm.t,MATCH(C$4,'[1]Territory Definitions'!$D$4:$M$4,0))&lt;&gt;1,"NOT IN TERRITORY",IF(COUNTIFS('[1]Blackout Brand Fam Areas (Enc)'!$B$6:$B$998,$A172,'[1]Blackout Brand Fam Areas (Enc)'!$C$6:$C$998,C$4,'[1]Blackout Brand Fam Areas (Enc)'!$D$6:$D$998,"Inactive")&gt;0,"BLOCKED","CAN SELL")))))</f>
        <v>CAN SELL</v>
      </c>
      <c r="D172" s="11" t="str">
        <f>IF($A172="","",_xlfn.LET(_xlpm.t,MATCH($B172,'[1]Territory Definitions'!$B$5:$B$14,0),IF(ISNA(_xlpm.t),"NO TERRITORY",IF(INDEX('[1]Territory Definitions'!$D$5:$M$14,_xlpm.t,MATCH(D$4,'[1]Territory Definitions'!$D$4:$M$4,0))&lt;&gt;1,"NOT IN TERRITORY",IF(COUNTIFS('[1]Blackout Brand Fam Areas (Enc)'!$B$6:$B$998,$A172,'[1]Blackout Brand Fam Areas (Enc)'!$C$6:$C$998,D$4,'[1]Blackout Brand Fam Areas (Enc)'!$D$6:$D$998,"Inactive")&gt;0,"BLOCKED","CAN SELL")))))</f>
        <v>CAN SELL</v>
      </c>
      <c r="E172" s="11" t="str">
        <f>IF($A172="","",_xlfn.LET(_xlpm.t,MATCH($B172,'[1]Territory Definitions'!$B$5:$B$14,0),IF(ISNA(_xlpm.t),"NO TERRITORY",IF(INDEX('[1]Territory Definitions'!$D$5:$M$14,_xlpm.t,MATCH(E$4,'[1]Territory Definitions'!$D$4:$M$4,0))&lt;&gt;1,"NOT IN TERRITORY",IF(COUNTIFS('[1]Blackout Brand Fam Areas (Enc)'!$B$6:$B$998,$A172,'[1]Blackout Brand Fam Areas (Enc)'!$C$6:$C$998,E$4,'[1]Blackout Brand Fam Areas (Enc)'!$D$6:$D$998,"Inactive")&gt;0,"BLOCKED","CAN SELL")))))</f>
        <v>CAN SELL</v>
      </c>
      <c r="F172" s="11" t="str">
        <f>IF($A172="","",_xlfn.LET(_xlpm.t,MATCH($B172,'[1]Territory Definitions'!$B$5:$B$14,0),IF(ISNA(_xlpm.t),"NO TERRITORY",IF(INDEX('[1]Territory Definitions'!$D$5:$M$14,_xlpm.t,MATCH(F$4,'[1]Territory Definitions'!$D$4:$M$4,0))&lt;&gt;1,"NOT IN TERRITORY",IF(COUNTIFS('[1]Blackout Brand Fam Areas (Enc)'!$B$6:$B$998,$A172,'[1]Blackout Brand Fam Areas (Enc)'!$C$6:$C$998,F$4,'[1]Blackout Brand Fam Areas (Enc)'!$D$6:$D$998,"Inactive")&gt;0,"BLOCKED","CAN SELL")))))</f>
        <v>NOT IN TERRITORY</v>
      </c>
      <c r="G172" s="11" t="str">
        <f>IF($A172="","",_xlfn.LET(_xlpm.t,MATCH($B172,'[1]Territory Definitions'!$B$5:$B$14,0),IF(ISNA(_xlpm.t),"NO TERRITORY",IF(INDEX('[1]Territory Definitions'!$D$5:$M$14,_xlpm.t,MATCH(G$4,'[1]Territory Definitions'!$D$4:$M$4,0))&lt;&gt;1,"NOT IN TERRITORY",IF(COUNTIFS('[1]Blackout Brand Fam Areas (Enc)'!$B$6:$B$998,$A172,'[1]Blackout Brand Fam Areas (Enc)'!$C$6:$C$998,G$4,'[1]Blackout Brand Fam Areas (Enc)'!$D$6:$D$998,"Inactive")&gt;0,"BLOCKED","CAN SELL")))))</f>
        <v>NOT IN TERRITORY</v>
      </c>
      <c r="H172" s="11" t="str">
        <f>IF($A172="","",_xlfn.LET(_xlpm.t,MATCH($B172,'[1]Territory Definitions'!$B$5:$B$14,0),IF(ISNA(_xlpm.t),"NO TERRITORY",IF(INDEX('[1]Territory Definitions'!$D$5:$M$14,_xlpm.t,MATCH(H$4,'[1]Territory Definitions'!$D$4:$M$4,0))&lt;&gt;1,"NOT IN TERRITORY",IF(COUNTIFS('[1]Blackout Brand Fam Areas (Enc)'!$B$6:$B$998,$A172,'[1]Blackout Brand Fam Areas (Enc)'!$C$6:$C$998,H$4,'[1]Blackout Brand Fam Areas (Enc)'!$D$6:$D$998,"Inactive")&gt;0,"BLOCKED","CAN SELL")))))</f>
        <v>NOT IN TERRITORY</v>
      </c>
      <c r="I172" s="11" t="str">
        <f>IF($A172="","",_xlfn.LET(_xlpm.t,MATCH($B172,'[1]Territory Definitions'!$B$5:$B$14,0),IF(ISNA(_xlpm.t),"NO TERRITORY",IF(INDEX('[1]Territory Definitions'!$D$5:$M$14,_xlpm.t,MATCH(I$4,'[1]Territory Definitions'!$D$4:$M$4,0))&lt;&gt;1,"NOT IN TERRITORY",IF(COUNTIFS('[1]Blackout Brand Fam Areas (Enc)'!$B$6:$B$998,$A172,'[1]Blackout Brand Fam Areas (Enc)'!$C$6:$C$998,I$4,'[1]Blackout Brand Fam Areas (Enc)'!$D$6:$D$998,"Inactive")&gt;0,"BLOCKED","CAN SELL")))))</f>
        <v>CAN SELL</v>
      </c>
      <c r="J172" s="11" t="str">
        <f>IF($A172="","",_xlfn.LET(_xlpm.t,MATCH($B172,'[1]Territory Definitions'!$B$5:$B$14,0),IF(ISNA(_xlpm.t),"NO TERRITORY",IF(INDEX('[1]Territory Definitions'!$D$5:$M$14,_xlpm.t,MATCH(J$4,'[1]Territory Definitions'!$D$4:$M$4,0))&lt;&gt;1,"NOT IN TERRITORY",IF(COUNTIFS('[1]Blackout Brand Fam Areas (Enc)'!$B$6:$B$998,$A172,'[1]Blackout Brand Fam Areas (Enc)'!$C$6:$C$998,J$4,'[1]Blackout Brand Fam Areas (Enc)'!$D$6:$D$998,"Inactive")&gt;0,"BLOCKED","CAN SELL")))))</f>
        <v>CAN SELL</v>
      </c>
      <c r="K172" s="11" t="str">
        <f>IF($A172="","",_xlfn.LET(_xlpm.t,MATCH($B172,'[1]Territory Definitions'!$B$5:$B$14,0),IF(ISNA(_xlpm.t),"NO TERRITORY",IF(INDEX('[1]Territory Definitions'!$D$5:$M$14,_xlpm.t,MATCH(K$4,'[1]Territory Definitions'!$D$4:$M$4,0))&lt;&gt;1,"NOT IN TERRITORY",IF(COUNTIFS('[1]Blackout Brand Fam Areas (Enc)'!$B$6:$B$998,$A172,'[1]Blackout Brand Fam Areas (Enc)'!$C$6:$C$998,K$4,'[1]Blackout Brand Fam Areas (Enc)'!$D$6:$D$998,"Inactive")&gt;0,"BLOCKED","CAN SELL")))))</f>
        <v>NOT IN TERRITORY</v>
      </c>
      <c r="L172" s="11" t="str">
        <f>IF($A172="","",_xlfn.LET(_xlpm.t,MATCH($B172,'[1]Territory Definitions'!$B$5:$B$14,0),IF(ISNA(_xlpm.t),"NO TERRITORY",IF(INDEX('[1]Territory Definitions'!$D$5:$M$14,_xlpm.t,MATCH(L$4,'[1]Territory Definitions'!$D$4:$M$4,0))&lt;&gt;1,"NOT IN TERRITORY",IF(COUNTIFS('[1]Blackout Brand Fam Areas (Enc)'!$B$6:$B$998,$A172,'[1]Blackout Brand Fam Areas (Enc)'!$C$6:$C$998,L$4,'[1]Blackout Brand Fam Areas (Enc)'!$D$6:$D$998,"Inactive")&gt;0,"BLOCKED","CAN SELL")))))</f>
        <v>CAN SELL</v>
      </c>
      <c r="M172" s="12">
        <f>IF($A172="","",COUNTIF($C172:$L172,"CAN SELL"))</f>
        <v>6</v>
      </c>
      <c r="N172" s="13" cm="1">
        <f t="array" ref="N172">IF($A172="","",SUMPRODUCT(($C172:$L172="CAN SELL")*$C$3:$L$3))</f>
        <v>1596</v>
      </c>
      <c r="O172" s="14" t="str">
        <f>IF($A172="","",IF(COUNTIF($A$5:$A$299,$A172)&gt;1,"DUPLICATE - two different territories assigned",IF($B172="** NO TERRITORY SET **","No territory on Brand Family Territory (Enc)","")))</f>
        <v/>
      </c>
      <c r="P172" s="18" t="str">
        <f>IF($A172="","",IFERROR(INDEX([1]Products!$H$4:$H$4801,MATCH($A172,[1]Products!$G$4:$G$4801,0)),"(no products)"))</f>
        <v>Mark Anthony</v>
      </c>
      <c r="Q172" s="19">
        <f>IF($A172="","",COUNTIFS([1]Products!$G$4:$G$4801,$A172,[1]Products!$L$4:$L$4801,"Yes"))</f>
        <v>24</v>
      </c>
      <c r="R172" s="19">
        <f>IF($A172="","",COUNTIFS([1]Products!$G$4:$G$4801,$A172,[1]Products!$L$4:$L$4801,"Yes",[1]Products!$K$4:$K$4801,"Draft"))</f>
        <v>0</v>
      </c>
      <c r="S172" s="19">
        <f>IF($A172="","",COUNTIFS([1]Products!$G$4:$G$4801,$A172,[1]Products!$L$4:$L$4801,"Yes",[1]Products!$K$4:$K$4801,"Package"))</f>
        <v>24</v>
      </c>
      <c r="T172" s="20" t="str" cm="1">
        <f t="array" ref="T172">IF($A172="","",_xlfn.IFS($Q172=0,"NO ACTIVE SKUs",AND($R172&gt;0,$S172&gt;0),"Draft &amp; Package",$R172&gt;0,"Draft only",TRUE,"Package only"))</f>
        <v>Package only</v>
      </c>
    </row>
    <row r="173" spans="1:20" x14ac:dyDescent="0.2">
      <c r="A173" s="9" t="str">
        <v>Mike's Harder</v>
      </c>
      <c r="B173" s="10" t="str">
        <f>IF($A173="","",_xlfn.XLOOKUP($A173,'[1]Brand Family Territory (Enc)'!$A:$A,'[1]Brand Family Territory (Enc)'!$B:$B,"** NO TERRITORY SET **"))</f>
        <v>Core Market</v>
      </c>
      <c r="C173" s="11" t="str">
        <f>IF($A173="","",_xlfn.LET(_xlpm.t,MATCH($B173,'[1]Territory Definitions'!$B$5:$B$14,0),IF(ISNA(_xlpm.t),"NO TERRITORY",IF(INDEX('[1]Territory Definitions'!$D$5:$M$14,_xlpm.t,MATCH(C$4,'[1]Territory Definitions'!$D$4:$M$4,0))&lt;&gt;1,"NOT IN TERRITORY",IF(COUNTIFS('[1]Blackout Brand Fam Areas (Enc)'!$B$6:$B$998,$A173,'[1]Blackout Brand Fam Areas (Enc)'!$C$6:$C$998,C$4,'[1]Blackout Brand Fam Areas (Enc)'!$D$6:$D$998,"Inactive")&gt;0,"BLOCKED","CAN SELL")))))</f>
        <v>CAN SELL</v>
      </c>
      <c r="D173" s="11" t="str">
        <f>IF($A173="","",_xlfn.LET(_xlpm.t,MATCH($B173,'[1]Territory Definitions'!$B$5:$B$14,0),IF(ISNA(_xlpm.t),"NO TERRITORY",IF(INDEX('[1]Territory Definitions'!$D$5:$M$14,_xlpm.t,MATCH(D$4,'[1]Territory Definitions'!$D$4:$M$4,0))&lt;&gt;1,"NOT IN TERRITORY",IF(COUNTIFS('[1]Blackout Brand Fam Areas (Enc)'!$B$6:$B$998,$A173,'[1]Blackout Brand Fam Areas (Enc)'!$C$6:$C$998,D$4,'[1]Blackout Brand Fam Areas (Enc)'!$D$6:$D$998,"Inactive")&gt;0,"BLOCKED","CAN SELL")))))</f>
        <v>CAN SELL</v>
      </c>
      <c r="E173" s="11" t="str">
        <f>IF($A173="","",_xlfn.LET(_xlpm.t,MATCH($B173,'[1]Territory Definitions'!$B$5:$B$14,0),IF(ISNA(_xlpm.t),"NO TERRITORY",IF(INDEX('[1]Territory Definitions'!$D$5:$M$14,_xlpm.t,MATCH(E$4,'[1]Territory Definitions'!$D$4:$M$4,0))&lt;&gt;1,"NOT IN TERRITORY",IF(COUNTIFS('[1]Blackout Brand Fam Areas (Enc)'!$B$6:$B$998,$A173,'[1]Blackout Brand Fam Areas (Enc)'!$C$6:$C$998,E$4,'[1]Blackout Brand Fam Areas (Enc)'!$D$6:$D$998,"Inactive")&gt;0,"BLOCKED","CAN SELL")))))</f>
        <v>CAN SELL</v>
      </c>
      <c r="F173" s="11" t="str">
        <f>IF($A173="","",_xlfn.LET(_xlpm.t,MATCH($B173,'[1]Territory Definitions'!$B$5:$B$14,0),IF(ISNA(_xlpm.t),"NO TERRITORY",IF(INDEX('[1]Territory Definitions'!$D$5:$M$14,_xlpm.t,MATCH(F$4,'[1]Territory Definitions'!$D$4:$M$4,0))&lt;&gt;1,"NOT IN TERRITORY",IF(COUNTIFS('[1]Blackout Brand Fam Areas (Enc)'!$B$6:$B$998,$A173,'[1]Blackout Brand Fam Areas (Enc)'!$C$6:$C$998,F$4,'[1]Blackout Brand Fam Areas (Enc)'!$D$6:$D$998,"Inactive")&gt;0,"BLOCKED","CAN SELL")))))</f>
        <v>NOT IN TERRITORY</v>
      </c>
      <c r="G173" s="11" t="str">
        <f>IF($A173="","",_xlfn.LET(_xlpm.t,MATCH($B173,'[1]Territory Definitions'!$B$5:$B$14,0),IF(ISNA(_xlpm.t),"NO TERRITORY",IF(INDEX('[1]Territory Definitions'!$D$5:$M$14,_xlpm.t,MATCH(G$4,'[1]Territory Definitions'!$D$4:$M$4,0))&lt;&gt;1,"NOT IN TERRITORY",IF(COUNTIFS('[1]Blackout Brand Fam Areas (Enc)'!$B$6:$B$998,$A173,'[1]Blackout Brand Fam Areas (Enc)'!$C$6:$C$998,G$4,'[1]Blackout Brand Fam Areas (Enc)'!$D$6:$D$998,"Inactive")&gt;0,"BLOCKED","CAN SELL")))))</f>
        <v>NOT IN TERRITORY</v>
      </c>
      <c r="H173" s="11" t="str">
        <f>IF($A173="","",_xlfn.LET(_xlpm.t,MATCH($B173,'[1]Territory Definitions'!$B$5:$B$14,0),IF(ISNA(_xlpm.t),"NO TERRITORY",IF(INDEX('[1]Territory Definitions'!$D$5:$M$14,_xlpm.t,MATCH(H$4,'[1]Territory Definitions'!$D$4:$M$4,0))&lt;&gt;1,"NOT IN TERRITORY",IF(COUNTIFS('[1]Blackout Brand Fam Areas (Enc)'!$B$6:$B$998,$A173,'[1]Blackout Brand Fam Areas (Enc)'!$C$6:$C$998,H$4,'[1]Blackout Brand Fam Areas (Enc)'!$D$6:$D$998,"Inactive")&gt;0,"BLOCKED","CAN SELL")))))</f>
        <v>NOT IN TERRITORY</v>
      </c>
      <c r="I173" s="11" t="str">
        <f>IF($A173="","",_xlfn.LET(_xlpm.t,MATCH($B173,'[1]Territory Definitions'!$B$5:$B$14,0),IF(ISNA(_xlpm.t),"NO TERRITORY",IF(INDEX('[1]Territory Definitions'!$D$5:$M$14,_xlpm.t,MATCH(I$4,'[1]Territory Definitions'!$D$4:$M$4,0))&lt;&gt;1,"NOT IN TERRITORY",IF(COUNTIFS('[1]Blackout Brand Fam Areas (Enc)'!$B$6:$B$998,$A173,'[1]Blackout Brand Fam Areas (Enc)'!$C$6:$C$998,I$4,'[1]Blackout Brand Fam Areas (Enc)'!$D$6:$D$998,"Inactive")&gt;0,"BLOCKED","CAN SELL")))))</f>
        <v>CAN SELL</v>
      </c>
      <c r="J173" s="11" t="str">
        <f>IF($A173="","",_xlfn.LET(_xlpm.t,MATCH($B173,'[1]Territory Definitions'!$B$5:$B$14,0),IF(ISNA(_xlpm.t),"NO TERRITORY",IF(INDEX('[1]Territory Definitions'!$D$5:$M$14,_xlpm.t,MATCH(J$4,'[1]Territory Definitions'!$D$4:$M$4,0))&lt;&gt;1,"NOT IN TERRITORY",IF(COUNTIFS('[1]Blackout Brand Fam Areas (Enc)'!$B$6:$B$998,$A173,'[1]Blackout Brand Fam Areas (Enc)'!$C$6:$C$998,J$4,'[1]Blackout Brand Fam Areas (Enc)'!$D$6:$D$998,"Inactive")&gt;0,"BLOCKED","CAN SELL")))))</f>
        <v>CAN SELL</v>
      </c>
      <c r="K173" s="11" t="str">
        <f>IF($A173="","",_xlfn.LET(_xlpm.t,MATCH($B173,'[1]Territory Definitions'!$B$5:$B$14,0),IF(ISNA(_xlpm.t),"NO TERRITORY",IF(INDEX('[1]Territory Definitions'!$D$5:$M$14,_xlpm.t,MATCH(K$4,'[1]Territory Definitions'!$D$4:$M$4,0))&lt;&gt;1,"NOT IN TERRITORY",IF(COUNTIFS('[1]Blackout Brand Fam Areas (Enc)'!$B$6:$B$998,$A173,'[1]Blackout Brand Fam Areas (Enc)'!$C$6:$C$998,K$4,'[1]Blackout Brand Fam Areas (Enc)'!$D$6:$D$998,"Inactive")&gt;0,"BLOCKED","CAN SELL")))))</f>
        <v>NOT IN TERRITORY</v>
      </c>
      <c r="L173" s="11" t="str">
        <f>IF($A173="","",_xlfn.LET(_xlpm.t,MATCH($B173,'[1]Territory Definitions'!$B$5:$B$14,0),IF(ISNA(_xlpm.t),"NO TERRITORY",IF(INDEX('[1]Territory Definitions'!$D$5:$M$14,_xlpm.t,MATCH(L$4,'[1]Territory Definitions'!$D$4:$M$4,0))&lt;&gt;1,"NOT IN TERRITORY",IF(COUNTIFS('[1]Blackout Brand Fam Areas (Enc)'!$B$6:$B$998,$A173,'[1]Blackout Brand Fam Areas (Enc)'!$C$6:$C$998,L$4,'[1]Blackout Brand Fam Areas (Enc)'!$D$6:$D$998,"Inactive")&gt;0,"BLOCKED","CAN SELL")))))</f>
        <v>CAN SELL</v>
      </c>
      <c r="M173" s="12">
        <f>IF($A173="","",COUNTIF($C173:$L173,"CAN SELL"))</f>
        <v>6</v>
      </c>
      <c r="N173" s="13" cm="1">
        <f t="array" ref="N173">IF($A173="","",SUMPRODUCT(($C173:$L173="CAN SELL")*$C$3:$L$3))</f>
        <v>1596</v>
      </c>
      <c r="O173" s="14" t="str">
        <f>IF($A173="","",IF(COUNTIF($A$5:$A$299,$A173)&gt;1,"DUPLICATE - two different territories assigned",IF($B173="** NO TERRITORY SET **","No territory on Brand Family Territory (Enc)","")))</f>
        <v/>
      </c>
      <c r="P173" s="18" t="str">
        <f>IF($A173="","",IFERROR(INDEX([1]Products!$H$4:$H$4801,MATCH($A173,[1]Products!$G$4:$G$4801,0)),"(no products)"))</f>
        <v>Mark Anthony</v>
      </c>
      <c r="Q173" s="19">
        <f>IF($A173="","",COUNTIFS([1]Products!$G$4:$G$4801,$A173,[1]Products!$L$4:$L$4801,"Yes"))</f>
        <v>10</v>
      </c>
      <c r="R173" s="19">
        <f>IF($A173="","",COUNTIFS([1]Products!$G$4:$G$4801,$A173,[1]Products!$L$4:$L$4801,"Yes",[1]Products!$K$4:$K$4801,"Draft"))</f>
        <v>0</v>
      </c>
      <c r="S173" s="19">
        <f>IF($A173="","",COUNTIFS([1]Products!$G$4:$G$4801,$A173,[1]Products!$L$4:$L$4801,"Yes",[1]Products!$K$4:$K$4801,"Package"))</f>
        <v>10</v>
      </c>
      <c r="T173" s="20" t="str" cm="1">
        <f t="array" ref="T173">IF($A173="","",_xlfn.IFS($Q173=0,"NO ACTIVE SKUs",AND($R173&gt;0,$S173&gt;0),"Draft &amp; Package",$R173&gt;0,"Draft only",TRUE,"Package only"))</f>
        <v>Package only</v>
      </c>
    </row>
    <row r="174" spans="1:20" x14ac:dyDescent="0.2">
      <c r="A174" s="9" t="str">
        <v>Miller Extra Light</v>
      </c>
      <c r="B174" s="10" t="str">
        <f>IF($A174="","",_xlfn.XLOOKUP($A174,'[1]Brand Family Territory (Enc)'!$A:$A,'[1]Brand Family Territory (Enc)'!$B:$B,"** NO TERRITORY SET **"))</f>
        <v>Core Market</v>
      </c>
      <c r="C174" s="11" t="str">
        <f>IF($A174="","",_xlfn.LET(_xlpm.t,MATCH($B174,'[1]Territory Definitions'!$B$5:$B$14,0),IF(ISNA(_xlpm.t),"NO TERRITORY",IF(INDEX('[1]Territory Definitions'!$D$5:$M$14,_xlpm.t,MATCH(C$4,'[1]Territory Definitions'!$D$4:$M$4,0))&lt;&gt;1,"NOT IN TERRITORY",IF(COUNTIFS('[1]Blackout Brand Fam Areas (Enc)'!$B$6:$B$998,$A174,'[1]Blackout Brand Fam Areas (Enc)'!$C$6:$C$998,C$4,'[1]Blackout Brand Fam Areas (Enc)'!$D$6:$D$998,"Inactive")&gt;0,"BLOCKED","CAN SELL")))))</f>
        <v>CAN SELL</v>
      </c>
      <c r="D174" s="11" t="str">
        <f>IF($A174="","",_xlfn.LET(_xlpm.t,MATCH($B174,'[1]Territory Definitions'!$B$5:$B$14,0),IF(ISNA(_xlpm.t),"NO TERRITORY",IF(INDEX('[1]Territory Definitions'!$D$5:$M$14,_xlpm.t,MATCH(D$4,'[1]Territory Definitions'!$D$4:$M$4,0))&lt;&gt;1,"NOT IN TERRITORY",IF(COUNTIFS('[1]Blackout Brand Fam Areas (Enc)'!$B$6:$B$998,$A174,'[1]Blackout Brand Fam Areas (Enc)'!$C$6:$C$998,D$4,'[1]Blackout Brand Fam Areas (Enc)'!$D$6:$D$998,"Inactive")&gt;0,"BLOCKED","CAN SELL")))))</f>
        <v>CAN SELL</v>
      </c>
      <c r="E174" s="11" t="str">
        <f>IF($A174="","",_xlfn.LET(_xlpm.t,MATCH($B174,'[1]Territory Definitions'!$B$5:$B$14,0),IF(ISNA(_xlpm.t),"NO TERRITORY",IF(INDEX('[1]Territory Definitions'!$D$5:$M$14,_xlpm.t,MATCH(E$4,'[1]Territory Definitions'!$D$4:$M$4,0))&lt;&gt;1,"NOT IN TERRITORY",IF(COUNTIFS('[1]Blackout Brand Fam Areas (Enc)'!$B$6:$B$998,$A174,'[1]Blackout Brand Fam Areas (Enc)'!$C$6:$C$998,E$4,'[1]Blackout Brand Fam Areas (Enc)'!$D$6:$D$998,"Inactive")&gt;0,"BLOCKED","CAN SELL")))))</f>
        <v>CAN SELL</v>
      </c>
      <c r="F174" s="11" t="str">
        <f>IF($A174="","",_xlfn.LET(_xlpm.t,MATCH($B174,'[1]Territory Definitions'!$B$5:$B$14,0),IF(ISNA(_xlpm.t),"NO TERRITORY",IF(INDEX('[1]Territory Definitions'!$D$5:$M$14,_xlpm.t,MATCH(F$4,'[1]Territory Definitions'!$D$4:$M$4,0))&lt;&gt;1,"NOT IN TERRITORY",IF(COUNTIFS('[1]Blackout Brand Fam Areas (Enc)'!$B$6:$B$998,$A174,'[1]Blackout Brand Fam Areas (Enc)'!$C$6:$C$998,F$4,'[1]Blackout Brand Fam Areas (Enc)'!$D$6:$D$998,"Inactive")&gt;0,"BLOCKED","CAN SELL")))))</f>
        <v>NOT IN TERRITORY</v>
      </c>
      <c r="G174" s="11" t="str">
        <f>IF($A174="","",_xlfn.LET(_xlpm.t,MATCH($B174,'[1]Territory Definitions'!$B$5:$B$14,0),IF(ISNA(_xlpm.t),"NO TERRITORY",IF(INDEX('[1]Territory Definitions'!$D$5:$M$14,_xlpm.t,MATCH(G$4,'[1]Territory Definitions'!$D$4:$M$4,0))&lt;&gt;1,"NOT IN TERRITORY",IF(COUNTIFS('[1]Blackout Brand Fam Areas (Enc)'!$B$6:$B$998,$A174,'[1]Blackout Brand Fam Areas (Enc)'!$C$6:$C$998,G$4,'[1]Blackout Brand Fam Areas (Enc)'!$D$6:$D$998,"Inactive")&gt;0,"BLOCKED","CAN SELL")))))</f>
        <v>NOT IN TERRITORY</v>
      </c>
      <c r="H174" s="11" t="str">
        <f>IF($A174="","",_xlfn.LET(_xlpm.t,MATCH($B174,'[1]Territory Definitions'!$B$5:$B$14,0),IF(ISNA(_xlpm.t),"NO TERRITORY",IF(INDEX('[1]Territory Definitions'!$D$5:$M$14,_xlpm.t,MATCH(H$4,'[1]Territory Definitions'!$D$4:$M$4,0))&lt;&gt;1,"NOT IN TERRITORY",IF(COUNTIFS('[1]Blackout Brand Fam Areas (Enc)'!$B$6:$B$998,$A174,'[1]Blackout Brand Fam Areas (Enc)'!$C$6:$C$998,H$4,'[1]Blackout Brand Fam Areas (Enc)'!$D$6:$D$998,"Inactive")&gt;0,"BLOCKED","CAN SELL")))))</f>
        <v>NOT IN TERRITORY</v>
      </c>
      <c r="I174" s="11" t="str">
        <f>IF($A174="","",_xlfn.LET(_xlpm.t,MATCH($B174,'[1]Territory Definitions'!$B$5:$B$14,0),IF(ISNA(_xlpm.t),"NO TERRITORY",IF(INDEX('[1]Territory Definitions'!$D$5:$M$14,_xlpm.t,MATCH(I$4,'[1]Territory Definitions'!$D$4:$M$4,0))&lt;&gt;1,"NOT IN TERRITORY",IF(COUNTIFS('[1]Blackout Brand Fam Areas (Enc)'!$B$6:$B$998,$A174,'[1]Blackout Brand Fam Areas (Enc)'!$C$6:$C$998,I$4,'[1]Blackout Brand Fam Areas (Enc)'!$D$6:$D$998,"Inactive")&gt;0,"BLOCKED","CAN SELL")))))</f>
        <v>CAN SELL</v>
      </c>
      <c r="J174" s="11" t="str">
        <f>IF($A174="","",_xlfn.LET(_xlpm.t,MATCH($B174,'[1]Territory Definitions'!$B$5:$B$14,0),IF(ISNA(_xlpm.t),"NO TERRITORY",IF(INDEX('[1]Territory Definitions'!$D$5:$M$14,_xlpm.t,MATCH(J$4,'[1]Territory Definitions'!$D$4:$M$4,0))&lt;&gt;1,"NOT IN TERRITORY",IF(COUNTIFS('[1]Blackout Brand Fam Areas (Enc)'!$B$6:$B$998,$A174,'[1]Blackout Brand Fam Areas (Enc)'!$C$6:$C$998,J$4,'[1]Blackout Brand Fam Areas (Enc)'!$D$6:$D$998,"Inactive")&gt;0,"BLOCKED","CAN SELL")))))</f>
        <v>CAN SELL</v>
      </c>
      <c r="K174" s="11" t="str">
        <f>IF($A174="","",_xlfn.LET(_xlpm.t,MATCH($B174,'[1]Territory Definitions'!$B$5:$B$14,0),IF(ISNA(_xlpm.t),"NO TERRITORY",IF(INDEX('[1]Territory Definitions'!$D$5:$M$14,_xlpm.t,MATCH(K$4,'[1]Territory Definitions'!$D$4:$M$4,0))&lt;&gt;1,"NOT IN TERRITORY",IF(COUNTIFS('[1]Blackout Brand Fam Areas (Enc)'!$B$6:$B$998,$A174,'[1]Blackout Brand Fam Areas (Enc)'!$C$6:$C$998,K$4,'[1]Blackout Brand Fam Areas (Enc)'!$D$6:$D$998,"Inactive")&gt;0,"BLOCKED","CAN SELL")))))</f>
        <v>NOT IN TERRITORY</v>
      </c>
      <c r="L174" s="11" t="str">
        <f>IF($A174="","",_xlfn.LET(_xlpm.t,MATCH($B174,'[1]Territory Definitions'!$B$5:$B$14,0),IF(ISNA(_xlpm.t),"NO TERRITORY",IF(INDEX('[1]Territory Definitions'!$D$5:$M$14,_xlpm.t,MATCH(L$4,'[1]Territory Definitions'!$D$4:$M$4,0))&lt;&gt;1,"NOT IN TERRITORY",IF(COUNTIFS('[1]Blackout Brand Fam Areas (Enc)'!$B$6:$B$998,$A174,'[1]Blackout Brand Fam Areas (Enc)'!$C$6:$C$998,L$4,'[1]Blackout Brand Fam Areas (Enc)'!$D$6:$D$998,"Inactive")&gt;0,"BLOCKED","CAN SELL")))))</f>
        <v>CAN SELL</v>
      </c>
      <c r="M174" s="12">
        <f>IF($A174="","",COUNTIF($C174:$L174,"CAN SELL"))</f>
        <v>6</v>
      </c>
      <c r="N174" s="13" cm="1">
        <f t="array" ref="N174">IF($A174="","",SUMPRODUCT(($C174:$L174="CAN SELL")*$C$3:$L$3))</f>
        <v>1596</v>
      </c>
      <c r="O174" s="14" t="str">
        <f>IF($A174="","",IF(COUNTIF($A$5:$A$299,$A174)&gt;1,"DUPLICATE - two different territories assigned",IF($B174="** NO TERRITORY SET **","No territory on Brand Family Territory (Enc)","")))</f>
        <v/>
      </c>
      <c r="P174" s="18" t="str">
        <f>IF($A174="","",IFERROR(INDEX([1]Products!$H$4:$H$4801,MATCH($A174,[1]Products!$G$4:$G$4801,0)),"(no products)"))</f>
        <v>MolsonCoors Beverage Company</v>
      </c>
      <c r="Q174" s="19">
        <f>IF($A174="","",COUNTIFS([1]Products!$G$4:$G$4801,$A174,[1]Products!$L$4:$L$4801,"Yes"))</f>
        <v>4</v>
      </c>
      <c r="R174" s="19">
        <f>IF($A174="","",COUNTIFS([1]Products!$G$4:$G$4801,$A174,[1]Products!$L$4:$L$4801,"Yes",[1]Products!$K$4:$K$4801,"Draft"))</f>
        <v>0</v>
      </c>
      <c r="S174" s="19">
        <f>IF($A174="","",COUNTIFS([1]Products!$G$4:$G$4801,$A174,[1]Products!$L$4:$L$4801,"Yes",[1]Products!$K$4:$K$4801,"Package"))</f>
        <v>4</v>
      </c>
      <c r="T174" s="20" t="str" cm="1">
        <f t="array" ref="T174">IF($A174="","",_xlfn.IFS($Q174=0,"NO ACTIVE SKUs",AND($R174&gt;0,$S174&gt;0),"Draft &amp; Package",$R174&gt;0,"Draft only",TRUE,"Package only"))</f>
        <v>Package only</v>
      </c>
    </row>
    <row r="175" spans="1:20" x14ac:dyDescent="0.2">
      <c r="A175" s="9" t="str">
        <v>Miller Genuine Draft</v>
      </c>
      <c r="B175" s="10" t="str">
        <f>IF($A175="","",_xlfn.XLOOKUP($A175,'[1]Brand Family Territory (Enc)'!$A:$A,'[1]Brand Family Territory (Enc)'!$B:$B,"** NO TERRITORY SET **"))</f>
        <v>Core Market</v>
      </c>
      <c r="C175" s="11" t="str">
        <f>IF($A175="","",_xlfn.LET(_xlpm.t,MATCH($B175,'[1]Territory Definitions'!$B$5:$B$14,0),IF(ISNA(_xlpm.t),"NO TERRITORY",IF(INDEX('[1]Territory Definitions'!$D$5:$M$14,_xlpm.t,MATCH(C$4,'[1]Territory Definitions'!$D$4:$M$4,0))&lt;&gt;1,"NOT IN TERRITORY",IF(COUNTIFS('[1]Blackout Brand Fam Areas (Enc)'!$B$6:$B$998,$A175,'[1]Blackout Brand Fam Areas (Enc)'!$C$6:$C$998,C$4,'[1]Blackout Brand Fam Areas (Enc)'!$D$6:$D$998,"Inactive")&gt;0,"BLOCKED","CAN SELL")))))</f>
        <v>CAN SELL</v>
      </c>
      <c r="D175" s="11" t="str">
        <f>IF($A175="","",_xlfn.LET(_xlpm.t,MATCH($B175,'[1]Territory Definitions'!$B$5:$B$14,0),IF(ISNA(_xlpm.t),"NO TERRITORY",IF(INDEX('[1]Territory Definitions'!$D$5:$M$14,_xlpm.t,MATCH(D$4,'[1]Territory Definitions'!$D$4:$M$4,0))&lt;&gt;1,"NOT IN TERRITORY",IF(COUNTIFS('[1]Blackout Brand Fam Areas (Enc)'!$B$6:$B$998,$A175,'[1]Blackout Brand Fam Areas (Enc)'!$C$6:$C$998,D$4,'[1]Blackout Brand Fam Areas (Enc)'!$D$6:$D$998,"Inactive")&gt;0,"BLOCKED","CAN SELL")))))</f>
        <v>CAN SELL</v>
      </c>
      <c r="E175" s="11" t="str">
        <f>IF($A175="","",_xlfn.LET(_xlpm.t,MATCH($B175,'[1]Territory Definitions'!$B$5:$B$14,0),IF(ISNA(_xlpm.t),"NO TERRITORY",IF(INDEX('[1]Territory Definitions'!$D$5:$M$14,_xlpm.t,MATCH(E$4,'[1]Territory Definitions'!$D$4:$M$4,0))&lt;&gt;1,"NOT IN TERRITORY",IF(COUNTIFS('[1]Blackout Brand Fam Areas (Enc)'!$B$6:$B$998,$A175,'[1]Blackout Brand Fam Areas (Enc)'!$C$6:$C$998,E$4,'[1]Blackout Brand Fam Areas (Enc)'!$D$6:$D$998,"Inactive")&gt;0,"BLOCKED","CAN SELL")))))</f>
        <v>CAN SELL</v>
      </c>
      <c r="F175" s="11" t="str">
        <f>IF($A175="","",_xlfn.LET(_xlpm.t,MATCH($B175,'[1]Territory Definitions'!$B$5:$B$14,0),IF(ISNA(_xlpm.t),"NO TERRITORY",IF(INDEX('[1]Territory Definitions'!$D$5:$M$14,_xlpm.t,MATCH(F$4,'[1]Territory Definitions'!$D$4:$M$4,0))&lt;&gt;1,"NOT IN TERRITORY",IF(COUNTIFS('[1]Blackout Brand Fam Areas (Enc)'!$B$6:$B$998,$A175,'[1]Blackout Brand Fam Areas (Enc)'!$C$6:$C$998,F$4,'[1]Blackout Brand Fam Areas (Enc)'!$D$6:$D$998,"Inactive")&gt;0,"BLOCKED","CAN SELL")))))</f>
        <v>NOT IN TERRITORY</v>
      </c>
      <c r="G175" s="11" t="str">
        <f>IF($A175="","",_xlfn.LET(_xlpm.t,MATCH($B175,'[1]Territory Definitions'!$B$5:$B$14,0),IF(ISNA(_xlpm.t),"NO TERRITORY",IF(INDEX('[1]Territory Definitions'!$D$5:$M$14,_xlpm.t,MATCH(G$4,'[1]Territory Definitions'!$D$4:$M$4,0))&lt;&gt;1,"NOT IN TERRITORY",IF(COUNTIFS('[1]Blackout Brand Fam Areas (Enc)'!$B$6:$B$998,$A175,'[1]Blackout Brand Fam Areas (Enc)'!$C$6:$C$998,G$4,'[1]Blackout Brand Fam Areas (Enc)'!$D$6:$D$998,"Inactive")&gt;0,"BLOCKED","CAN SELL")))))</f>
        <v>NOT IN TERRITORY</v>
      </c>
      <c r="H175" s="11" t="str">
        <f>IF($A175="","",_xlfn.LET(_xlpm.t,MATCH($B175,'[1]Territory Definitions'!$B$5:$B$14,0),IF(ISNA(_xlpm.t),"NO TERRITORY",IF(INDEX('[1]Territory Definitions'!$D$5:$M$14,_xlpm.t,MATCH(H$4,'[1]Territory Definitions'!$D$4:$M$4,0))&lt;&gt;1,"NOT IN TERRITORY",IF(COUNTIFS('[1]Blackout Brand Fam Areas (Enc)'!$B$6:$B$998,$A175,'[1]Blackout Brand Fam Areas (Enc)'!$C$6:$C$998,H$4,'[1]Blackout Brand Fam Areas (Enc)'!$D$6:$D$998,"Inactive")&gt;0,"BLOCKED","CAN SELL")))))</f>
        <v>NOT IN TERRITORY</v>
      </c>
      <c r="I175" s="11" t="str">
        <f>IF($A175="","",_xlfn.LET(_xlpm.t,MATCH($B175,'[1]Territory Definitions'!$B$5:$B$14,0),IF(ISNA(_xlpm.t),"NO TERRITORY",IF(INDEX('[1]Territory Definitions'!$D$5:$M$14,_xlpm.t,MATCH(I$4,'[1]Territory Definitions'!$D$4:$M$4,0))&lt;&gt;1,"NOT IN TERRITORY",IF(COUNTIFS('[1]Blackout Brand Fam Areas (Enc)'!$B$6:$B$998,$A175,'[1]Blackout Brand Fam Areas (Enc)'!$C$6:$C$998,I$4,'[1]Blackout Brand Fam Areas (Enc)'!$D$6:$D$998,"Inactive")&gt;0,"BLOCKED","CAN SELL")))))</f>
        <v>CAN SELL</v>
      </c>
      <c r="J175" s="11" t="str">
        <f>IF($A175="","",_xlfn.LET(_xlpm.t,MATCH($B175,'[1]Territory Definitions'!$B$5:$B$14,0),IF(ISNA(_xlpm.t),"NO TERRITORY",IF(INDEX('[1]Territory Definitions'!$D$5:$M$14,_xlpm.t,MATCH(J$4,'[1]Territory Definitions'!$D$4:$M$4,0))&lt;&gt;1,"NOT IN TERRITORY",IF(COUNTIFS('[1]Blackout Brand Fam Areas (Enc)'!$B$6:$B$998,$A175,'[1]Blackout Brand Fam Areas (Enc)'!$C$6:$C$998,J$4,'[1]Blackout Brand Fam Areas (Enc)'!$D$6:$D$998,"Inactive")&gt;0,"BLOCKED","CAN SELL")))))</f>
        <v>CAN SELL</v>
      </c>
      <c r="K175" s="11" t="str">
        <f>IF($A175="","",_xlfn.LET(_xlpm.t,MATCH($B175,'[1]Territory Definitions'!$B$5:$B$14,0),IF(ISNA(_xlpm.t),"NO TERRITORY",IF(INDEX('[1]Territory Definitions'!$D$5:$M$14,_xlpm.t,MATCH(K$4,'[1]Territory Definitions'!$D$4:$M$4,0))&lt;&gt;1,"NOT IN TERRITORY",IF(COUNTIFS('[1]Blackout Brand Fam Areas (Enc)'!$B$6:$B$998,$A175,'[1]Blackout Brand Fam Areas (Enc)'!$C$6:$C$998,K$4,'[1]Blackout Brand Fam Areas (Enc)'!$D$6:$D$998,"Inactive")&gt;0,"BLOCKED","CAN SELL")))))</f>
        <v>NOT IN TERRITORY</v>
      </c>
      <c r="L175" s="11" t="str">
        <f>IF($A175="","",_xlfn.LET(_xlpm.t,MATCH($B175,'[1]Territory Definitions'!$B$5:$B$14,0),IF(ISNA(_xlpm.t),"NO TERRITORY",IF(INDEX('[1]Territory Definitions'!$D$5:$M$14,_xlpm.t,MATCH(L$4,'[1]Territory Definitions'!$D$4:$M$4,0))&lt;&gt;1,"NOT IN TERRITORY",IF(COUNTIFS('[1]Blackout Brand Fam Areas (Enc)'!$B$6:$B$998,$A175,'[1]Blackout Brand Fam Areas (Enc)'!$C$6:$C$998,L$4,'[1]Blackout Brand Fam Areas (Enc)'!$D$6:$D$998,"Inactive")&gt;0,"BLOCKED","CAN SELL")))))</f>
        <v>CAN SELL</v>
      </c>
      <c r="M175" s="12">
        <f>IF($A175="","",COUNTIF($C175:$L175,"CAN SELL"))</f>
        <v>6</v>
      </c>
      <c r="N175" s="13" cm="1">
        <f t="array" ref="N175">IF($A175="","",SUMPRODUCT(($C175:$L175="CAN SELL")*$C$3:$L$3))</f>
        <v>1596</v>
      </c>
      <c r="O175" s="14" t="str">
        <f>IF($A175="","",IF(COUNTIF($A$5:$A$299,$A175)&gt;1,"DUPLICATE - two different territories assigned",IF($B175="** NO TERRITORY SET **","No territory on Brand Family Territory (Enc)","")))</f>
        <v/>
      </c>
      <c r="P175" s="18" t="str">
        <f>IF($A175="","",IFERROR(INDEX([1]Products!$H$4:$H$4801,MATCH($A175,[1]Products!$G$4:$G$4801,0)),"(no products)"))</f>
        <v>MolsonCoors Beverage Company</v>
      </c>
      <c r="Q175" s="19">
        <f>IF($A175="","",COUNTIFS([1]Products!$G$4:$G$4801,$A175,[1]Products!$L$4:$L$4801,"Yes"))</f>
        <v>6</v>
      </c>
      <c r="R175" s="19">
        <f>IF($A175="","",COUNTIFS([1]Products!$G$4:$G$4801,$A175,[1]Products!$L$4:$L$4801,"Yes",[1]Products!$K$4:$K$4801,"Draft"))</f>
        <v>0</v>
      </c>
      <c r="S175" s="19">
        <f>IF($A175="","",COUNTIFS([1]Products!$G$4:$G$4801,$A175,[1]Products!$L$4:$L$4801,"Yes",[1]Products!$K$4:$K$4801,"Package"))</f>
        <v>6</v>
      </c>
      <c r="T175" s="20" t="str" cm="1">
        <f t="array" ref="T175">IF($A175="","",_xlfn.IFS($Q175=0,"NO ACTIVE SKUs",AND($R175&gt;0,$S175&gt;0),"Draft &amp; Package",$R175&gt;0,"Draft only",TRUE,"Package only"))</f>
        <v>Package only</v>
      </c>
    </row>
    <row r="176" spans="1:20" x14ac:dyDescent="0.2">
      <c r="A176" s="9" t="str">
        <v>Milwaukee's Best Ice</v>
      </c>
      <c r="B176" s="10" t="str">
        <f>IF($A176="","",_xlfn.XLOOKUP($A176,'[1]Brand Family Territory (Enc)'!$A:$A,'[1]Brand Family Territory (Enc)'!$B:$B,"** NO TERRITORY SET **"))</f>
        <v>Core Market</v>
      </c>
      <c r="C176" s="11" t="str">
        <f>IF($A176="","",_xlfn.LET(_xlpm.t,MATCH($B176,'[1]Territory Definitions'!$B$5:$B$14,0),IF(ISNA(_xlpm.t),"NO TERRITORY",IF(INDEX('[1]Territory Definitions'!$D$5:$M$14,_xlpm.t,MATCH(C$4,'[1]Territory Definitions'!$D$4:$M$4,0))&lt;&gt;1,"NOT IN TERRITORY",IF(COUNTIFS('[1]Blackout Brand Fam Areas (Enc)'!$B$6:$B$998,$A176,'[1]Blackout Brand Fam Areas (Enc)'!$C$6:$C$998,C$4,'[1]Blackout Brand Fam Areas (Enc)'!$D$6:$D$998,"Inactive")&gt;0,"BLOCKED","CAN SELL")))))</f>
        <v>CAN SELL</v>
      </c>
      <c r="D176" s="11" t="str">
        <f>IF($A176="","",_xlfn.LET(_xlpm.t,MATCH($B176,'[1]Territory Definitions'!$B$5:$B$14,0),IF(ISNA(_xlpm.t),"NO TERRITORY",IF(INDEX('[1]Territory Definitions'!$D$5:$M$14,_xlpm.t,MATCH(D$4,'[1]Territory Definitions'!$D$4:$M$4,0))&lt;&gt;1,"NOT IN TERRITORY",IF(COUNTIFS('[1]Blackout Brand Fam Areas (Enc)'!$B$6:$B$998,$A176,'[1]Blackout Brand Fam Areas (Enc)'!$C$6:$C$998,D$4,'[1]Blackout Brand Fam Areas (Enc)'!$D$6:$D$998,"Inactive")&gt;0,"BLOCKED","CAN SELL")))))</f>
        <v>CAN SELL</v>
      </c>
      <c r="E176" s="11" t="str">
        <f>IF($A176="","",_xlfn.LET(_xlpm.t,MATCH($B176,'[1]Territory Definitions'!$B$5:$B$14,0),IF(ISNA(_xlpm.t),"NO TERRITORY",IF(INDEX('[1]Territory Definitions'!$D$5:$M$14,_xlpm.t,MATCH(E$4,'[1]Territory Definitions'!$D$4:$M$4,0))&lt;&gt;1,"NOT IN TERRITORY",IF(COUNTIFS('[1]Blackout Brand Fam Areas (Enc)'!$B$6:$B$998,$A176,'[1]Blackout Brand Fam Areas (Enc)'!$C$6:$C$998,E$4,'[1]Blackout Brand Fam Areas (Enc)'!$D$6:$D$998,"Inactive")&gt;0,"BLOCKED","CAN SELL")))))</f>
        <v>CAN SELL</v>
      </c>
      <c r="F176" s="11" t="str">
        <f>IF($A176="","",_xlfn.LET(_xlpm.t,MATCH($B176,'[1]Territory Definitions'!$B$5:$B$14,0),IF(ISNA(_xlpm.t),"NO TERRITORY",IF(INDEX('[1]Territory Definitions'!$D$5:$M$14,_xlpm.t,MATCH(F$4,'[1]Territory Definitions'!$D$4:$M$4,0))&lt;&gt;1,"NOT IN TERRITORY",IF(COUNTIFS('[1]Blackout Brand Fam Areas (Enc)'!$B$6:$B$998,$A176,'[1]Blackout Brand Fam Areas (Enc)'!$C$6:$C$998,F$4,'[1]Blackout Brand Fam Areas (Enc)'!$D$6:$D$998,"Inactive")&gt;0,"BLOCKED","CAN SELL")))))</f>
        <v>NOT IN TERRITORY</v>
      </c>
      <c r="G176" s="11" t="str">
        <f>IF($A176="","",_xlfn.LET(_xlpm.t,MATCH($B176,'[1]Territory Definitions'!$B$5:$B$14,0),IF(ISNA(_xlpm.t),"NO TERRITORY",IF(INDEX('[1]Territory Definitions'!$D$5:$M$14,_xlpm.t,MATCH(G$4,'[1]Territory Definitions'!$D$4:$M$4,0))&lt;&gt;1,"NOT IN TERRITORY",IF(COUNTIFS('[1]Blackout Brand Fam Areas (Enc)'!$B$6:$B$998,$A176,'[1]Blackout Brand Fam Areas (Enc)'!$C$6:$C$998,G$4,'[1]Blackout Brand Fam Areas (Enc)'!$D$6:$D$998,"Inactive")&gt;0,"BLOCKED","CAN SELL")))))</f>
        <v>NOT IN TERRITORY</v>
      </c>
      <c r="H176" s="11" t="str">
        <f>IF($A176="","",_xlfn.LET(_xlpm.t,MATCH($B176,'[1]Territory Definitions'!$B$5:$B$14,0),IF(ISNA(_xlpm.t),"NO TERRITORY",IF(INDEX('[1]Territory Definitions'!$D$5:$M$14,_xlpm.t,MATCH(H$4,'[1]Territory Definitions'!$D$4:$M$4,0))&lt;&gt;1,"NOT IN TERRITORY",IF(COUNTIFS('[1]Blackout Brand Fam Areas (Enc)'!$B$6:$B$998,$A176,'[1]Blackout Brand Fam Areas (Enc)'!$C$6:$C$998,H$4,'[1]Blackout Brand Fam Areas (Enc)'!$D$6:$D$998,"Inactive")&gt;0,"BLOCKED","CAN SELL")))))</f>
        <v>NOT IN TERRITORY</v>
      </c>
      <c r="I176" s="11" t="str">
        <f>IF($A176="","",_xlfn.LET(_xlpm.t,MATCH($B176,'[1]Territory Definitions'!$B$5:$B$14,0),IF(ISNA(_xlpm.t),"NO TERRITORY",IF(INDEX('[1]Territory Definitions'!$D$5:$M$14,_xlpm.t,MATCH(I$4,'[1]Territory Definitions'!$D$4:$M$4,0))&lt;&gt;1,"NOT IN TERRITORY",IF(COUNTIFS('[1]Blackout Brand Fam Areas (Enc)'!$B$6:$B$998,$A176,'[1]Blackout Brand Fam Areas (Enc)'!$C$6:$C$998,I$4,'[1]Blackout Brand Fam Areas (Enc)'!$D$6:$D$998,"Inactive")&gt;0,"BLOCKED","CAN SELL")))))</f>
        <v>CAN SELL</v>
      </c>
      <c r="J176" s="11" t="str">
        <f>IF($A176="","",_xlfn.LET(_xlpm.t,MATCH($B176,'[1]Territory Definitions'!$B$5:$B$14,0),IF(ISNA(_xlpm.t),"NO TERRITORY",IF(INDEX('[1]Territory Definitions'!$D$5:$M$14,_xlpm.t,MATCH(J$4,'[1]Territory Definitions'!$D$4:$M$4,0))&lt;&gt;1,"NOT IN TERRITORY",IF(COUNTIFS('[1]Blackout Brand Fam Areas (Enc)'!$B$6:$B$998,$A176,'[1]Blackout Brand Fam Areas (Enc)'!$C$6:$C$998,J$4,'[1]Blackout Brand Fam Areas (Enc)'!$D$6:$D$998,"Inactive")&gt;0,"BLOCKED","CAN SELL")))))</f>
        <v>CAN SELL</v>
      </c>
      <c r="K176" s="11" t="str">
        <f>IF($A176="","",_xlfn.LET(_xlpm.t,MATCH($B176,'[1]Territory Definitions'!$B$5:$B$14,0),IF(ISNA(_xlpm.t),"NO TERRITORY",IF(INDEX('[1]Territory Definitions'!$D$5:$M$14,_xlpm.t,MATCH(K$4,'[1]Territory Definitions'!$D$4:$M$4,0))&lt;&gt;1,"NOT IN TERRITORY",IF(COUNTIFS('[1]Blackout Brand Fam Areas (Enc)'!$B$6:$B$998,$A176,'[1]Blackout Brand Fam Areas (Enc)'!$C$6:$C$998,K$4,'[1]Blackout Brand Fam Areas (Enc)'!$D$6:$D$998,"Inactive")&gt;0,"BLOCKED","CAN SELL")))))</f>
        <v>NOT IN TERRITORY</v>
      </c>
      <c r="L176" s="11" t="str">
        <f>IF($A176="","",_xlfn.LET(_xlpm.t,MATCH($B176,'[1]Territory Definitions'!$B$5:$B$14,0),IF(ISNA(_xlpm.t),"NO TERRITORY",IF(INDEX('[1]Territory Definitions'!$D$5:$M$14,_xlpm.t,MATCH(L$4,'[1]Territory Definitions'!$D$4:$M$4,0))&lt;&gt;1,"NOT IN TERRITORY",IF(COUNTIFS('[1]Blackout Brand Fam Areas (Enc)'!$B$6:$B$998,$A176,'[1]Blackout Brand Fam Areas (Enc)'!$C$6:$C$998,L$4,'[1]Blackout Brand Fam Areas (Enc)'!$D$6:$D$998,"Inactive")&gt;0,"BLOCKED","CAN SELL")))))</f>
        <v>CAN SELL</v>
      </c>
      <c r="M176" s="12">
        <f>IF($A176="","",COUNTIF($C176:$L176,"CAN SELL"))</f>
        <v>6</v>
      </c>
      <c r="N176" s="13" cm="1">
        <f t="array" ref="N176">IF($A176="","",SUMPRODUCT(($C176:$L176="CAN SELL")*$C$3:$L$3))</f>
        <v>1596</v>
      </c>
      <c r="O176" s="14" t="str">
        <f>IF($A176="","",IF(COUNTIF($A$5:$A$299,$A176)&gt;1,"DUPLICATE - two different territories assigned",IF($B176="** NO TERRITORY SET **","No territory on Brand Family Territory (Enc)","")))</f>
        <v/>
      </c>
      <c r="P176" s="18" t="str">
        <f>IF($A176="","",IFERROR(INDEX([1]Products!$H$4:$H$4801,MATCH($A176,[1]Products!$G$4:$G$4801,0)),"(no products)"))</f>
        <v>MolsonCoors Beverage Company</v>
      </c>
      <c r="Q176" s="19">
        <f>IF($A176="","",COUNTIFS([1]Products!$G$4:$G$4801,$A176,[1]Products!$L$4:$L$4801,"Yes"))</f>
        <v>3</v>
      </c>
      <c r="R176" s="19">
        <f>IF($A176="","",COUNTIFS([1]Products!$G$4:$G$4801,$A176,[1]Products!$L$4:$L$4801,"Yes",[1]Products!$K$4:$K$4801,"Draft"))</f>
        <v>0</v>
      </c>
      <c r="S176" s="19">
        <f>IF($A176="","",COUNTIFS([1]Products!$G$4:$G$4801,$A176,[1]Products!$L$4:$L$4801,"Yes",[1]Products!$K$4:$K$4801,"Package"))</f>
        <v>3</v>
      </c>
      <c r="T176" s="20" t="str" cm="1">
        <f t="array" ref="T176">IF($A176="","",_xlfn.IFS($Q176=0,"NO ACTIVE SKUs",AND($R176&gt;0,$S176&gt;0),"Draft &amp; Package",$R176&gt;0,"Draft only",TRUE,"Package only"))</f>
        <v>Package only</v>
      </c>
    </row>
    <row r="177" spans="1:20" x14ac:dyDescent="0.2">
      <c r="A177" s="9" t="str">
        <v>Milwaukee's Best Light</v>
      </c>
      <c r="B177" s="10" t="str">
        <f>IF($A177="","",_xlfn.XLOOKUP($A177,'[1]Brand Family Territory (Enc)'!$A:$A,'[1]Brand Family Territory (Enc)'!$B:$B,"** NO TERRITORY SET **"))</f>
        <v>Core Market</v>
      </c>
      <c r="C177" s="11" t="str">
        <f>IF($A177="","",_xlfn.LET(_xlpm.t,MATCH($B177,'[1]Territory Definitions'!$B$5:$B$14,0),IF(ISNA(_xlpm.t),"NO TERRITORY",IF(INDEX('[1]Territory Definitions'!$D$5:$M$14,_xlpm.t,MATCH(C$4,'[1]Territory Definitions'!$D$4:$M$4,0))&lt;&gt;1,"NOT IN TERRITORY",IF(COUNTIFS('[1]Blackout Brand Fam Areas (Enc)'!$B$6:$B$998,$A177,'[1]Blackout Brand Fam Areas (Enc)'!$C$6:$C$998,C$4,'[1]Blackout Brand Fam Areas (Enc)'!$D$6:$D$998,"Inactive")&gt;0,"BLOCKED","CAN SELL")))))</f>
        <v>CAN SELL</v>
      </c>
      <c r="D177" s="11" t="str">
        <f>IF($A177="","",_xlfn.LET(_xlpm.t,MATCH($B177,'[1]Territory Definitions'!$B$5:$B$14,0),IF(ISNA(_xlpm.t),"NO TERRITORY",IF(INDEX('[1]Territory Definitions'!$D$5:$M$14,_xlpm.t,MATCH(D$4,'[1]Territory Definitions'!$D$4:$M$4,0))&lt;&gt;1,"NOT IN TERRITORY",IF(COUNTIFS('[1]Blackout Brand Fam Areas (Enc)'!$B$6:$B$998,$A177,'[1]Blackout Brand Fam Areas (Enc)'!$C$6:$C$998,D$4,'[1]Blackout Brand Fam Areas (Enc)'!$D$6:$D$998,"Inactive")&gt;0,"BLOCKED","CAN SELL")))))</f>
        <v>CAN SELL</v>
      </c>
      <c r="E177" s="11" t="str">
        <f>IF($A177="","",_xlfn.LET(_xlpm.t,MATCH($B177,'[1]Territory Definitions'!$B$5:$B$14,0),IF(ISNA(_xlpm.t),"NO TERRITORY",IF(INDEX('[1]Territory Definitions'!$D$5:$M$14,_xlpm.t,MATCH(E$4,'[1]Territory Definitions'!$D$4:$M$4,0))&lt;&gt;1,"NOT IN TERRITORY",IF(COUNTIFS('[1]Blackout Brand Fam Areas (Enc)'!$B$6:$B$998,$A177,'[1]Blackout Brand Fam Areas (Enc)'!$C$6:$C$998,E$4,'[1]Blackout Brand Fam Areas (Enc)'!$D$6:$D$998,"Inactive")&gt;0,"BLOCKED","CAN SELL")))))</f>
        <v>CAN SELL</v>
      </c>
      <c r="F177" s="11" t="str">
        <f>IF($A177="","",_xlfn.LET(_xlpm.t,MATCH($B177,'[1]Territory Definitions'!$B$5:$B$14,0),IF(ISNA(_xlpm.t),"NO TERRITORY",IF(INDEX('[1]Territory Definitions'!$D$5:$M$14,_xlpm.t,MATCH(F$4,'[1]Territory Definitions'!$D$4:$M$4,0))&lt;&gt;1,"NOT IN TERRITORY",IF(COUNTIFS('[1]Blackout Brand Fam Areas (Enc)'!$B$6:$B$998,$A177,'[1]Blackout Brand Fam Areas (Enc)'!$C$6:$C$998,F$4,'[1]Blackout Brand Fam Areas (Enc)'!$D$6:$D$998,"Inactive")&gt;0,"BLOCKED","CAN SELL")))))</f>
        <v>NOT IN TERRITORY</v>
      </c>
      <c r="G177" s="11" t="str">
        <f>IF($A177="","",_xlfn.LET(_xlpm.t,MATCH($B177,'[1]Territory Definitions'!$B$5:$B$14,0),IF(ISNA(_xlpm.t),"NO TERRITORY",IF(INDEX('[1]Territory Definitions'!$D$5:$M$14,_xlpm.t,MATCH(G$4,'[1]Territory Definitions'!$D$4:$M$4,0))&lt;&gt;1,"NOT IN TERRITORY",IF(COUNTIFS('[1]Blackout Brand Fam Areas (Enc)'!$B$6:$B$998,$A177,'[1]Blackout Brand Fam Areas (Enc)'!$C$6:$C$998,G$4,'[1]Blackout Brand Fam Areas (Enc)'!$D$6:$D$998,"Inactive")&gt;0,"BLOCKED","CAN SELL")))))</f>
        <v>NOT IN TERRITORY</v>
      </c>
      <c r="H177" s="11" t="str">
        <f>IF($A177="","",_xlfn.LET(_xlpm.t,MATCH($B177,'[1]Territory Definitions'!$B$5:$B$14,0),IF(ISNA(_xlpm.t),"NO TERRITORY",IF(INDEX('[1]Territory Definitions'!$D$5:$M$14,_xlpm.t,MATCH(H$4,'[1]Territory Definitions'!$D$4:$M$4,0))&lt;&gt;1,"NOT IN TERRITORY",IF(COUNTIFS('[1]Blackout Brand Fam Areas (Enc)'!$B$6:$B$998,$A177,'[1]Blackout Brand Fam Areas (Enc)'!$C$6:$C$998,H$4,'[1]Blackout Brand Fam Areas (Enc)'!$D$6:$D$998,"Inactive")&gt;0,"BLOCKED","CAN SELL")))))</f>
        <v>NOT IN TERRITORY</v>
      </c>
      <c r="I177" s="11" t="str">
        <f>IF($A177="","",_xlfn.LET(_xlpm.t,MATCH($B177,'[1]Territory Definitions'!$B$5:$B$14,0),IF(ISNA(_xlpm.t),"NO TERRITORY",IF(INDEX('[1]Territory Definitions'!$D$5:$M$14,_xlpm.t,MATCH(I$4,'[1]Territory Definitions'!$D$4:$M$4,0))&lt;&gt;1,"NOT IN TERRITORY",IF(COUNTIFS('[1]Blackout Brand Fam Areas (Enc)'!$B$6:$B$998,$A177,'[1]Blackout Brand Fam Areas (Enc)'!$C$6:$C$998,I$4,'[1]Blackout Brand Fam Areas (Enc)'!$D$6:$D$998,"Inactive")&gt;0,"BLOCKED","CAN SELL")))))</f>
        <v>CAN SELL</v>
      </c>
      <c r="J177" s="11" t="str">
        <f>IF($A177="","",_xlfn.LET(_xlpm.t,MATCH($B177,'[1]Territory Definitions'!$B$5:$B$14,0),IF(ISNA(_xlpm.t),"NO TERRITORY",IF(INDEX('[1]Territory Definitions'!$D$5:$M$14,_xlpm.t,MATCH(J$4,'[1]Territory Definitions'!$D$4:$M$4,0))&lt;&gt;1,"NOT IN TERRITORY",IF(COUNTIFS('[1]Blackout Brand Fam Areas (Enc)'!$B$6:$B$998,$A177,'[1]Blackout Brand Fam Areas (Enc)'!$C$6:$C$998,J$4,'[1]Blackout Brand Fam Areas (Enc)'!$D$6:$D$998,"Inactive")&gt;0,"BLOCKED","CAN SELL")))))</f>
        <v>CAN SELL</v>
      </c>
      <c r="K177" s="11" t="str">
        <f>IF($A177="","",_xlfn.LET(_xlpm.t,MATCH($B177,'[1]Territory Definitions'!$B$5:$B$14,0),IF(ISNA(_xlpm.t),"NO TERRITORY",IF(INDEX('[1]Territory Definitions'!$D$5:$M$14,_xlpm.t,MATCH(K$4,'[1]Territory Definitions'!$D$4:$M$4,0))&lt;&gt;1,"NOT IN TERRITORY",IF(COUNTIFS('[1]Blackout Brand Fam Areas (Enc)'!$B$6:$B$998,$A177,'[1]Blackout Brand Fam Areas (Enc)'!$C$6:$C$998,K$4,'[1]Blackout Brand Fam Areas (Enc)'!$D$6:$D$998,"Inactive")&gt;0,"BLOCKED","CAN SELL")))))</f>
        <v>NOT IN TERRITORY</v>
      </c>
      <c r="L177" s="11" t="str">
        <f>IF($A177="","",_xlfn.LET(_xlpm.t,MATCH($B177,'[1]Territory Definitions'!$B$5:$B$14,0),IF(ISNA(_xlpm.t),"NO TERRITORY",IF(INDEX('[1]Territory Definitions'!$D$5:$M$14,_xlpm.t,MATCH(L$4,'[1]Territory Definitions'!$D$4:$M$4,0))&lt;&gt;1,"NOT IN TERRITORY",IF(COUNTIFS('[1]Blackout Brand Fam Areas (Enc)'!$B$6:$B$998,$A177,'[1]Blackout Brand Fam Areas (Enc)'!$C$6:$C$998,L$4,'[1]Blackout Brand Fam Areas (Enc)'!$D$6:$D$998,"Inactive")&gt;0,"BLOCKED","CAN SELL")))))</f>
        <v>CAN SELL</v>
      </c>
      <c r="M177" s="12">
        <f>IF($A177="","",COUNTIF($C177:$L177,"CAN SELL"))</f>
        <v>6</v>
      </c>
      <c r="N177" s="13" cm="1">
        <f t="array" ref="N177">IF($A177="","",SUMPRODUCT(($C177:$L177="CAN SELL")*$C$3:$L$3))</f>
        <v>1596</v>
      </c>
      <c r="O177" s="14" t="str">
        <f>IF($A177="","",IF(COUNTIF($A$5:$A$299,$A177)&gt;1,"DUPLICATE - two different territories assigned",IF($B177="** NO TERRITORY SET **","No territory on Brand Family Territory (Enc)","")))</f>
        <v/>
      </c>
      <c r="P177" s="18" t="str">
        <f>IF($A177="","",IFERROR(INDEX([1]Products!$H$4:$H$4801,MATCH($A177,[1]Products!$G$4:$G$4801,0)),"(no products)"))</f>
        <v>MolsonCoors Beverage Company</v>
      </c>
      <c r="Q177" s="19">
        <f>IF($A177="","",COUNTIFS([1]Products!$G$4:$G$4801,$A177,[1]Products!$L$4:$L$4801,"Yes"))</f>
        <v>1</v>
      </c>
      <c r="R177" s="19">
        <f>IF($A177="","",COUNTIFS([1]Products!$G$4:$G$4801,$A177,[1]Products!$L$4:$L$4801,"Yes",[1]Products!$K$4:$K$4801,"Draft"))</f>
        <v>0</v>
      </c>
      <c r="S177" s="19">
        <f>IF($A177="","",COUNTIFS([1]Products!$G$4:$G$4801,$A177,[1]Products!$L$4:$L$4801,"Yes",[1]Products!$K$4:$K$4801,"Package"))</f>
        <v>1</v>
      </c>
      <c r="T177" s="20" t="str" cm="1">
        <f t="array" ref="T177">IF($A177="","",_xlfn.IFS($Q177=0,"NO ACTIVE SKUs",AND($R177&gt;0,$S177&gt;0),"Draft &amp; Package",$R177&gt;0,"Draft only",TRUE,"Package only"))</f>
        <v>Package only</v>
      </c>
    </row>
    <row r="178" spans="1:20" x14ac:dyDescent="0.2">
      <c r="A178" s="9" t="str">
        <v>Modelo Aquas Frescas</v>
      </c>
      <c r="B178" s="10" t="str">
        <f>IF($A178="","",_xlfn.XLOOKUP($A178,'[1]Brand Family Territory (Enc)'!$A:$A,'[1]Brand Family Territory (Enc)'!$B:$B,"** NO TERRITORY SET **"))</f>
        <v>Core Market</v>
      </c>
      <c r="C178" s="11" t="str">
        <f>IF($A178="","",_xlfn.LET(_xlpm.t,MATCH($B178,'[1]Territory Definitions'!$B$5:$B$14,0),IF(ISNA(_xlpm.t),"NO TERRITORY",IF(INDEX('[1]Territory Definitions'!$D$5:$M$14,_xlpm.t,MATCH(C$4,'[1]Territory Definitions'!$D$4:$M$4,0))&lt;&gt;1,"NOT IN TERRITORY",IF(COUNTIFS('[1]Blackout Brand Fam Areas (Enc)'!$B$6:$B$998,$A178,'[1]Blackout Brand Fam Areas (Enc)'!$C$6:$C$998,C$4,'[1]Blackout Brand Fam Areas (Enc)'!$D$6:$D$998,"Inactive")&gt;0,"BLOCKED","CAN SELL")))))</f>
        <v>CAN SELL</v>
      </c>
      <c r="D178" s="11" t="str">
        <f>IF($A178="","",_xlfn.LET(_xlpm.t,MATCH($B178,'[1]Territory Definitions'!$B$5:$B$14,0),IF(ISNA(_xlpm.t),"NO TERRITORY",IF(INDEX('[1]Territory Definitions'!$D$5:$M$14,_xlpm.t,MATCH(D$4,'[1]Territory Definitions'!$D$4:$M$4,0))&lt;&gt;1,"NOT IN TERRITORY",IF(COUNTIFS('[1]Blackout Brand Fam Areas (Enc)'!$B$6:$B$998,$A178,'[1]Blackout Brand Fam Areas (Enc)'!$C$6:$C$998,D$4,'[1]Blackout Brand Fam Areas (Enc)'!$D$6:$D$998,"Inactive")&gt;0,"BLOCKED","CAN SELL")))))</f>
        <v>CAN SELL</v>
      </c>
      <c r="E178" s="11" t="str">
        <f>IF($A178="","",_xlfn.LET(_xlpm.t,MATCH($B178,'[1]Territory Definitions'!$B$5:$B$14,0),IF(ISNA(_xlpm.t),"NO TERRITORY",IF(INDEX('[1]Territory Definitions'!$D$5:$M$14,_xlpm.t,MATCH(E$4,'[1]Territory Definitions'!$D$4:$M$4,0))&lt;&gt;1,"NOT IN TERRITORY",IF(COUNTIFS('[1]Blackout Brand Fam Areas (Enc)'!$B$6:$B$998,$A178,'[1]Blackout Brand Fam Areas (Enc)'!$C$6:$C$998,E$4,'[1]Blackout Brand Fam Areas (Enc)'!$D$6:$D$998,"Inactive")&gt;0,"BLOCKED","CAN SELL")))))</f>
        <v>CAN SELL</v>
      </c>
      <c r="F178" s="11" t="str">
        <f>IF($A178="","",_xlfn.LET(_xlpm.t,MATCH($B178,'[1]Territory Definitions'!$B$5:$B$14,0),IF(ISNA(_xlpm.t),"NO TERRITORY",IF(INDEX('[1]Territory Definitions'!$D$5:$M$14,_xlpm.t,MATCH(F$4,'[1]Territory Definitions'!$D$4:$M$4,0))&lt;&gt;1,"NOT IN TERRITORY",IF(COUNTIFS('[1]Blackout Brand Fam Areas (Enc)'!$B$6:$B$998,$A178,'[1]Blackout Brand Fam Areas (Enc)'!$C$6:$C$998,F$4,'[1]Blackout Brand Fam Areas (Enc)'!$D$6:$D$998,"Inactive")&gt;0,"BLOCKED","CAN SELL")))))</f>
        <v>NOT IN TERRITORY</v>
      </c>
      <c r="G178" s="11" t="str">
        <f>IF($A178="","",_xlfn.LET(_xlpm.t,MATCH($B178,'[1]Territory Definitions'!$B$5:$B$14,0),IF(ISNA(_xlpm.t),"NO TERRITORY",IF(INDEX('[1]Territory Definitions'!$D$5:$M$14,_xlpm.t,MATCH(G$4,'[1]Territory Definitions'!$D$4:$M$4,0))&lt;&gt;1,"NOT IN TERRITORY",IF(COUNTIFS('[1]Blackout Brand Fam Areas (Enc)'!$B$6:$B$998,$A178,'[1]Blackout Brand Fam Areas (Enc)'!$C$6:$C$998,G$4,'[1]Blackout Brand Fam Areas (Enc)'!$D$6:$D$998,"Inactive")&gt;0,"BLOCKED","CAN SELL")))))</f>
        <v>NOT IN TERRITORY</v>
      </c>
      <c r="H178" s="11" t="str">
        <f>IF($A178="","",_xlfn.LET(_xlpm.t,MATCH($B178,'[1]Territory Definitions'!$B$5:$B$14,0),IF(ISNA(_xlpm.t),"NO TERRITORY",IF(INDEX('[1]Territory Definitions'!$D$5:$M$14,_xlpm.t,MATCH(H$4,'[1]Territory Definitions'!$D$4:$M$4,0))&lt;&gt;1,"NOT IN TERRITORY",IF(COUNTIFS('[1]Blackout Brand Fam Areas (Enc)'!$B$6:$B$998,$A178,'[1]Blackout Brand Fam Areas (Enc)'!$C$6:$C$998,H$4,'[1]Blackout Brand Fam Areas (Enc)'!$D$6:$D$998,"Inactive")&gt;0,"BLOCKED","CAN SELL")))))</f>
        <v>NOT IN TERRITORY</v>
      </c>
      <c r="I178" s="11" t="str">
        <f>IF($A178="","",_xlfn.LET(_xlpm.t,MATCH($B178,'[1]Territory Definitions'!$B$5:$B$14,0),IF(ISNA(_xlpm.t),"NO TERRITORY",IF(INDEX('[1]Territory Definitions'!$D$5:$M$14,_xlpm.t,MATCH(I$4,'[1]Territory Definitions'!$D$4:$M$4,0))&lt;&gt;1,"NOT IN TERRITORY",IF(COUNTIFS('[1]Blackout Brand Fam Areas (Enc)'!$B$6:$B$998,$A178,'[1]Blackout Brand Fam Areas (Enc)'!$C$6:$C$998,I$4,'[1]Blackout Brand Fam Areas (Enc)'!$D$6:$D$998,"Inactive")&gt;0,"BLOCKED","CAN SELL")))))</f>
        <v>CAN SELL</v>
      </c>
      <c r="J178" s="11" t="str">
        <f>IF($A178="","",_xlfn.LET(_xlpm.t,MATCH($B178,'[1]Territory Definitions'!$B$5:$B$14,0),IF(ISNA(_xlpm.t),"NO TERRITORY",IF(INDEX('[1]Territory Definitions'!$D$5:$M$14,_xlpm.t,MATCH(J$4,'[1]Territory Definitions'!$D$4:$M$4,0))&lt;&gt;1,"NOT IN TERRITORY",IF(COUNTIFS('[1]Blackout Brand Fam Areas (Enc)'!$B$6:$B$998,$A178,'[1]Blackout Brand Fam Areas (Enc)'!$C$6:$C$998,J$4,'[1]Blackout Brand Fam Areas (Enc)'!$D$6:$D$998,"Inactive")&gt;0,"BLOCKED","CAN SELL")))))</f>
        <v>CAN SELL</v>
      </c>
      <c r="K178" s="11" t="str">
        <f>IF($A178="","",_xlfn.LET(_xlpm.t,MATCH($B178,'[1]Territory Definitions'!$B$5:$B$14,0),IF(ISNA(_xlpm.t),"NO TERRITORY",IF(INDEX('[1]Territory Definitions'!$D$5:$M$14,_xlpm.t,MATCH(K$4,'[1]Territory Definitions'!$D$4:$M$4,0))&lt;&gt;1,"NOT IN TERRITORY",IF(COUNTIFS('[1]Blackout Brand Fam Areas (Enc)'!$B$6:$B$998,$A178,'[1]Blackout Brand Fam Areas (Enc)'!$C$6:$C$998,K$4,'[1]Blackout Brand Fam Areas (Enc)'!$D$6:$D$998,"Inactive")&gt;0,"BLOCKED","CAN SELL")))))</f>
        <v>NOT IN TERRITORY</v>
      </c>
      <c r="L178" s="11" t="str">
        <f>IF($A178="","",_xlfn.LET(_xlpm.t,MATCH($B178,'[1]Territory Definitions'!$B$5:$B$14,0),IF(ISNA(_xlpm.t),"NO TERRITORY",IF(INDEX('[1]Territory Definitions'!$D$5:$M$14,_xlpm.t,MATCH(L$4,'[1]Territory Definitions'!$D$4:$M$4,0))&lt;&gt;1,"NOT IN TERRITORY",IF(COUNTIFS('[1]Blackout Brand Fam Areas (Enc)'!$B$6:$B$998,$A178,'[1]Blackout Brand Fam Areas (Enc)'!$C$6:$C$998,L$4,'[1]Blackout Brand Fam Areas (Enc)'!$D$6:$D$998,"Inactive")&gt;0,"BLOCKED","CAN SELL")))))</f>
        <v>CAN SELL</v>
      </c>
      <c r="M178" s="12">
        <f>IF($A178="","",COUNTIF($C178:$L178,"CAN SELL"))</f>
        <v>6</v>
      </c>
      <c r="N178" s="13" cm="1">
        <f t="array" ref="N178">IF($A178="","",SUMPRODUCT(($C178:$L178="CAN SELL")*$C$3:$L$3))</f>
        <v>1596</v>
      </c>
      <c r="O178" s="14" t="str">
        <f>IF($A178="","",IF(COUNTIF($A$5:$A$299,$A178)&gt;1,"DUPLICATE - two different territories assigned",IF($B178="** NO TERRITORY SET **","No territory on Brand Family Territory (Enc)","")))</f>
        <v/>
      </c>
      <c r="P178" s="18" t="str">
        <f>IF($A178="","",IFERROR(INDEX([1]Products!$H$4:$H$4801,MATCH($A178,[1]Products!$G$4:$G$4801,0)),"(no products)"))</f>
        <v>Constellation Brands</v>
      </c>
      <c r="Q178" s="19">
        <f>IF($A178="","",COUNTIFS([1]Products!$G$4:$G$4801,$A178,[1]Products!$L$4:$L$4801,"Yes"))</f>
        <v>1</v>
      </c>
      <c r="R178" s="19">
        <f>IF($A178="","",COUNTIFS([1]Products!$G$4:$G$4801,$A178,[1]Products!$L$4:$L$4801,"Yes",[1]Products!$K$4:$K$4801,"Draft"))</f>
        <v>0</v>
      </c>
      <c r="S178" s="19">
        <f>IF($A178="","",COUNTIFS([1]Products!$G$4:$G$4801,$A178,[1]Products!$L$4:$L$4801,"Yes",[1]Products!$K$4:$K$4801,"Package"))</f>
        <v>1</v>
      </c>
      <c r="T178" s="20" t="str" cm="1">
        <f t="array" ref="T178">IF($A178="","",_xlfn.IFS($Q178=0,"NO ACTIVE SKUs",AND($R178&gt;0,$S178&gt;0),"Draft &amp; Package",$R178&gt;0,"Draft only",TRUE,"Package only"))</f>
        <v>Package only</v>
      </c>
    </row>
    <row r="179" spans="1:20" x14ac:dyDescent="0.2">
      <c r="A179" s="9" t="str">
        <v>Modelo Chelada</v>
      </c>
      <c r="B179" s="10" t="str">
        <f>IF($A179="","",_xlfn.XLOOKUP($A179,'[1]Brand Family Territory (Enc)'!$A:$A,'[1]Brand Family Territory (Enc)'!$B:$B,"** NO TERRITORY SET **"))</f>
        <v>Core Market</v>
      </c>
      <c r="C179" s="11" t="str">
        <f>IF($A179="","",_xlfn.LET(_xlpm.t,MATCH($B179,'[1]Territory Definitions'!$B$5:$B$14,0),IF(ISNA(_xlpm.t),"NO TERRITORY",IF(INDEX('[1]Territory Definitions'!$D$5:$M$14,_xlpm.t,MATCH(C$4,'[1]Territory Definitions'!$D$4:$M$4,0))&lt;&gt;1,"NOT IN TERRITORY",IF(COUNTIFS('[1]Blackout Brand Fam Areas (Enc)'!$B$6:$B$998,$A179,'[1]Blackout Brand Fam Areas (Enc)'!$C$6:$C$998,C$4,'[1]Blackout Brand Fam Areas (Enc)'!$D$6:$D$998,"Inactive")&gt;0,"BLOCKED","CAN SELL")))))</f>
        <v>CAN SELL</v>
      </c>
      <c r="D179" s="11" t="str">
        <f>IF($A179="","",_xlfn.LET(_xlpm.t,MATCH($B179,'[1]Territory Definitions'!$B$5:$B$14,0),IF(ISNA(_xlpm.t),"NO TERRITORY",IF(INDEX('[1]Territory Definitions'!$D$5:$M$14,_xlpm.t,MATCH(D$4,'[1]Territory Definitions'!$D$4:$M$4,0))&lt;&gt;1,"NOT IN TERRITORY",IF(COUNTIFS('[1]Blackout Brand Fam Areas (Enc)'!$B$6:$B$998,$A179,'[1]Blackout Brand Fam Areas (Enc)'!$C$6:$C$998,D$4,'[1]Blackout Brand Fam Areas (Enc)'!$D$6:$D$998,"Inactive")&gt;0,"BLOCKED","CAN SELL")))))</f>
        <v>CAN SELL</v>
      </c>
      <c r="E179" s="11" t="str">
        <f>IF($A179="","",_xlfn.LET(_xlpm.t,MATCH($B179,'[1]Territory Definitions'!$B$5:$B$14,0),IF(ISNA(_xlpm.t),"NO TERRITORY",IF(INDEX('[1]Territory Definitions'!$D$5:$M$14,_xlpm.t,MATCH(E$4,'[1]Territory Definitions'!$D$4:$M$4,0))&lt;&gt;1,"NOT IN TERRITORY",IF(COUNTIFS('[1]Blackout Brand Fam Areas (Enc)'!$B$6:$B$998,$A179,'[1]Blackout Brand Fam Areas (Enc)'!$C$6:$C$998,E$4,'[1]Blackout Brand Fam Areas (Enc)'!$D$6:$D$998,"Inactive")&gt;0,"BLOCKED","CAN SELL")))))</f>
        <v>CAN SELL</v>
      </c>
      <c r="F179" s="11" t="str">
        <f>IF($A179="","",_xlfn.LET(_xlpm.t,MATCH($B179,'[1]Territory Definitions'!$B$5:$B$14,0),IF(ISNA(_xlpm.t),"NO TERRITORY",IF(INDEX('[1]Territory Definitions'!$D$5:$M$14,_xlpm.t,MATCH(F$4,'[1]Territory Definitions'!$D$4:$M$4,0))&lt;&gt;1,"NOT IN TERRITORY",IF(COUNTIFS('[1]Blackout Brand Fam Areas (Enc)'!$B$6:$B$998,$A179,'[1]Blackout Brand Fam Areas (Enc)'!$C$6:$C$998,F$4,'[1]Blackout Brand Fam Areas (Enc)'!$D$6:$D$998,"Inactive")&gt;0,"BLOCKED","CAN SELL")))))</f>
        <v>NOT IN TERRITORY</v>
      </c>
      <c r="G179" s="11" t="str">
        <f>IF($A179="","",_xlfn.LET(_xlpm.t,MATCH($B179,'[1]Territory Definitions'!$B$5:$B$14,0),IF(ISNA(_xlpm.t),"NO TERRITORY",IF(INDEX('[1]Territory Definitions'!$D$5:$M$14,_xlpm.t,MATCH(G$4,'[1]Territory Definitions'!$D$4:$M$4,0))&lt;&gt;1,"NOT IN TERRITORY",IF(COUNTIFS('[1]Blackout Brand Fam Areas (Enc)'!$B$6:$B$998,$A179,'[1]Blackout Brand Fam Areas (Enc)'!$C$6:$C$998,G$4,'[1]Blackout Brand Fam Areas (Enc)'!$D$6:$D$998,"Inactive")&gt;0,"BLOCKED","CAN SELL")))))</f>
        <v>NOT IN TERRITORY</v>
      </c>
      <c r="H179" s="11" t="str">
        <f>IF($A179="","",_xlfn.LET(_xlpm.t,MATCH($B179,'[1]Territory Definitions'!$B$5:$B$14,0),IF(ISNA(_xlpm.t),"NO TERRITORY",IF(INDEX('[1]Territory Definitions'!$D$5:$M$14,_xlpm.t,MATCH(H$4,'[1]Territory Definitions'!$D$4:$M$4,0))&lt;&gt;1,"NOT IN TERRITORY",IF(COUNTIFS('[1]Blackout Brand Fam Areas (Enc)'!$B$6:$B$998,$A179,'[1]Blackout Brand Fam Areas (Enc)'!$C$6:$C$998,H$4,'[1]Blackout Brand Fam Areas (Enc)'!$D$6:$D$998,"Inactive")&gt;0,"BLOCKED","CAN SELL")))))</f>
        <v>NOT IN TERRITORY</v>
      </c>
      <c r="I179" s="11" t="str">
        <f>IF($A179="","",_xlfn.LET(_xlpm.t,MATCH($B179,'[1]Territory Definitions'!$B$5:$B$14,0),IF(ISNA(_xlpm.t),"NO TERRITORY",IF(INDEX('[1]Territory Definitions'!$D$5:$M$14,_xlpm.t,MATCH(I$4,'[1]Territory Definitions'!$D$4:$M$4,0))&lt;&gt;1,"NOT IN TERRITORY",IF(COUNTIFS('[1]Blackout Brand Fam Areas (Enc)'!$B$6:$B$998,$A179,'[1]Blackout Brand Fam Areas (Enc)'!$C$6:$C$998,I$4,'[1]Blackout Brand Fam Areas (Enc)'!$D$6:$D$998,"Inactive")&gt;0,"BLOCKED","CAN SELL")))))</f>
        <v>CAN SELL</v>
      </c>
      <c r="J179" s="11" t="str">
        <f>IF($A179="","",_xlfn.LET(_xlpm.t,MATCH($B179,'[1]Territory Definitions'!$B$5:$B$14,0),IF(ISNA(_xlpm.t),"NO TERRITORY",IF(INDEX('[1]Territory Definitions'!$D$5:$M$14,_xlpm.t,MATCH(J$4,'[1]Territory Definitions'!$D$4:$M$4,0))&lt;&gt;1,"NOT IN TERRITORY",IF(COUNTIFS('[1]Blackout Brand Fam Areas (Enc)'!$B$6:$B$998,$A179,'[1]Blackout Brand Fam Areas (Enc)'!$C$6:$C$998,J$4,'[1]Blackout Brand Fam Areas (Enc)'!$D$6:$D$998,"Inactive")&gt;0,"BLOCKED","CAN SELL")))))</f>
        <v>CAN SELL</v>
      </c>
      <c r="K179" s="11" t="str">
        <f>IF($A179="","",_xlfn.LET(_xlpm.t,MATCH($B179,'[1]Territory Definitions'!$B$5:$B$14,0),IF(ISNA(_xlpm.t),"NO TERRITORY",IF(INDEX('[1]Territory Definitions'!$D$5:$M$14,_xlpm.t,MATCH(K$4,'[1]Territory Definitions'!$D$4:$M$4,0))&lt;&gt;1,"NOT IN TERRITORY",IF(COUNTIFS('[1]Blackout Brand Fam Areas (Enc)'!$B$6:$B$998,$A179,'[1]Blackout Brand Fam Areas (Enc)'!$C$6:$C$998,K$4,'[1]Blackout Brand Fam Areas (Enc)'!$D$6:$D$998,"Inactive")&gt;0,"BLOCKED","CAN SELL")))))</f>
        <v>NOT IN TERRITORY</v>
      </c>
      <c r="L179" s="11" t="str">
        <f>IF($A179="","",_xlfn.LET(_xlpm.t,MATCH($B179,'[1]Territory Definitions'!$B$5:$B$14,0),IF(ISNA(_xlpm.t),"NO TERRITORY",IF(INDEX('[1]Territory Definitions'!$D$5:$M$14,_xlpm.t,MATCH(L$4,'[1]Territory Definitions'!$D$4:$M$4,0))&lt;&gt;1,"NOT IN TERRITORY",IF(COUNTIFS('[1]Blackout Brand Fam Areas (Enc)'!$B$6:$B$998,$A179,'[1]Blackout Brand Fam Areas (Enc)'!$C$6:$C$998,L$4,'[1]Blackout Brand Fam Areas (Enc)'!$D$6:$D$998,"Inactive")&gt;0,"BLOCKED","CAN SELL")))))</f>
        <v>CAN SELL</v>
      </c>
      <c r="M179" s="12">
        <f>IF($A179="","",COUNTIF($C179:$L179,"CAN SELL"))</f>
        <v>6</v>
      </c>
      <c r="N179" s="13" cm="1">
        <f t="array" ref="N179">IF($A179="","",SUMPRODUCT(($C179:$L179="CAN SELL")*$C$3:$L$3))</f>
        <v>1596</v>
      </c>
      <c r="O179" s="14" t="str">
        <f>IF($A179="","",IF(COUNTIF($A$5:$A$299,$A179)&gt;1,"DUPLICATE - two different territories assigned",IF($B179="** NO TERRITORY SET **","No territory on Brand Family Territory (Enc)","")))</f>
        <v/>
      </c>
      <c r="P179" s="18" t="str">
        <f>IF($A179="","",IFERROR(INDEX([1]Products!$H$4:$H$4801,MATCH($A179,[1]Products!$G$4:$G$4801,0)),"(no products)"))</f>
        <v>Constellation Brands</v>
      </c>
      <c r="Q179" s="19">
        <f>IF($A179="","",COUNTIFS([1]Products!$G$4:$G$4801,$A179,[1]Products!$L$4:$L$4801,"Yes"))</f>
        <v>14</v>
      </c>
      <c r="R179" s="19">
        <f>IF($A179="","",COUNTIFS([1]Products!$G$4:$G$4801,$A179,[1]Products!$L$4:$L$4801,"Yes",[1]Products!$K$4:$K$4801,"Draft"))</f>
        <v>0</v>
      </c>
      <c r="S179" s="19">
        <f>IF($A179="","",COUNTIFS([1]Products!$G$4:$G$4801,$A179,[1]Products!$L$4:$L$4801,"Yes",[1]Products!$K$4:$K$4801,"Package"))</f>
        <v>14</v>
      </c>
      <c r="T179" s="20" t="str" cm="1">
        <f t="array" ref="T179">IF($A179="","",_xlfn.IFS($Q179=0,"NO ACTIVE SKUs",AND($R179&gt;0,$S179&gt;0),"Draft &amp; Package",$R179&gt;0,"Draft only",TRUE,"Package only"))</f>
        <v>Package only</v>
      </c>
    </row>
    <row r="180" spans="1:20" x14ac:dyDescent="0.2">
      <c r="A180" s="9" t="str">
        <v>Modelo Especial</v>
      </c>
      <c r="B180" s="10" t="str">
        <f>IF($A180="","",_xlfn.XLOOKUP($A180,'[1]Brand Family Territory (Enc)'!$A:$A,'[1]Brand Family Territory (Enc)'!$B:$B,"** NO TERRITORY SET **"))</f>
        <v>Core Market</v>
      </c>
      <c r="C180" s="11" t="str">
        <f>IF($A180="","",_xlfn.LET(_xlpm.t,MATCH($B180,'[1]Territory Definitions'!$B$5:$B$14,0),IF(ISNA(_xlpm.t),"NO TERRITORY",IF(INDEX('[1]Territory Definitions'!$D$5:$M$14,_xlpm.t,MATCH(C$4,'[1]Territory Definitions'!$D$4:$M$4,0))&lt;&gt;1,"NOT IN TERRITORY",IF(COUNTIFS('[1]Blackout Brand Fam Areas (Enc)'!$B$6:$B$998,$A180,'[1]Blackout Brand Fam Areas (Enc)'!$C$6:$C$998,C$4,'[1]Blackout Brand Fam Areas (Enc)'!$D$6:$D$998,"Inactive")&gt;0,"BLOCKED","CAN SELL")))))</f>
        <v>CAN SELL</v>
      </c>
      <c r="D180" s="11" t="str">
        <f>IF($A180="","",_xlfn.LET(_xlpm.t,MATCH($B180,'[1]Territory Definitions'!$B$5:$B$14,0),IF(ISNA(_xlpm.t),"NO TERRITORY",IF(INDEX('[1]Territory Definitions'!$D$5:$M$14,_xlpm.t,MATCH(D$4,'[1]Territory Definitions'!$D$4:$M$4,0))&lt;&gt;1,"NOT IN TERRITORY",IF(COUNTIFS('[1]Blackout Brand Fam Areas (Enc)'!$B$6:$B$998,$A180,'[1]Blackout Brand Fam Areas (Enc)'!$C$6:$C$998,D$4,'[1]Blackout Brand Fam Areas (Enc)'!$D$6:$D$998,"Inactive")&gt;0,"BLOCKED","CAN SELL")))))</f>
        <v>CAN SELL</v>
      </c>
      <c r="E180" s="11" t="str">
        <f>IF($A180="","",_xlfn.LET(_xlpm.t,MATCH($B180,'[1]Territory Definitions'!$B$5:$B$14,0),IF(ISNA(_xlpm.t),"NO TERRITORY",IF(INDEX('[1]Territory Definitions'!$D$5:$M$14,_xlpm.t,MATCH(E$4,'[1]Territory Definitions'!$D$4:$M$4,0))&lt;&gt;1,"NOT IN TERRITORY",IF(COUNTIFS('[1]Blackout Brand Fam Areas (Enc)'!$B$6:$B$998,$A180,'[1]Blackout Brand Fam Areas (Enc)'!$C$6:$C$998,E$4,'[1]Blackout Brand Fam Areas (Enc)'!$D$6:$D$998,"Inactive")&gt;0,"BLOCKED","CAN SELL")))))</f>
        <v>CAN SELL</v>
      </c>
      <c r="F180" s="11" t="str">
        <f>IF($A180="","",_xlfn.LET(_xlpm.t,MATCH($B180,'[1]Territory Definitions'!$B$5:$B$14,0),IF(ISNA(_xlpm.t),"NO TERRITORY",IF(INDEX('[1]Territory Definitions'!$D$5:$M$14,_xlpm.t,MATCH(F$4,'[1]Territory Definitions'!$D$4:$M$4,0))&lt;&gt;1,"NOT IN TERRITORY",IF(COUNTIFS('[1]Blackout Brand Fam Areas (Enc)'!$B$6:$B$998,$A180,'[1]Blackout Brand Fam Areas (Enc)'!$C$6:$C$998,F$4,'[1]Blackout Brand Fam Areas (Enc)'!$D$6:$D$998,"Inactive")&gt;0,"BLOCKED","CAN SELL")))))</f>
        <v>NOT IN TERRITORY</v>
      </c>
      <c r="G180" s="11" t="str">
        <f>IF($A180="","",_xlfn.LET(_xlpm.t,MATCH($B180,'[1]Territory Definitions'!$B$5:$B$14,0),IF(ISNA(_xlpm.t),"NO TERRITORY",IF(INDEX('[1]Territory Definitions'!$D$5:$M$14,_xlpm.t,MATCH(G$4,'[1]Territory Definitions'!$D$4:$M$4,0))&lt;&gt;1,"NOT IN TERRITORY",IF(COUNTIFS('[1]Blackout Brand Fam Areas (Enc)'!$B$6:$B$998,$A180,'[1]Blackout Brand Fam Areas (Enc)'!$C$6:$C$998,G$4,'[1]Blackout Brand Fam Areas (Enc)'!$D$6:$D$998,"Inactive")&gt;0,"BLOCKED","CAN SELL")))))</f>
        <v>NOT IN TERRITORY</v>
      </c>
      <c r="H180" s="11" t="str">
        <f>IF($A180="","",_xlfn.LET(_xlpm.t,MATCH($B180,'[1]Territory Definitions'!$B$5:$B$14,0),IF(ISNA(_xlpm.t),"NO TERRITORY",IF(INDEX('[1]Territory Definitions'!$D$5:$M$14,_xlpm.t,MATCH(H$4,'[1]Territory Definitions'!$D$4:$M$4,0))&lt;&gt;1,"NOT IN TERRITORY",IF(COUNTIFS('[1]Blackout Brand Fam Areas (Enc)'!$B$6:$B$998,$A180,'[1]Blackout Brand Fam Areas (Enc)'!$C$6:$C$998,H$4,'[1]Blackout Brand Fam Areas (Enc)'!$D$6:$D$998,"Inactive")&gt;0,"BLOCKED","CAN SELL")))))</f>
        <v>NOT IN TERRITORY</v>
      </c>
      <c r="I180" s="11" t="str">
        <f>IF($A180="","",_xlfn.LET(_xlpm.t,MATCH($B180,'[1]Territory Definitions'!$B$5:$B$14,0),IF(ISNA(_xlpm.t),"NO TERRITORY",IF(INDEX('[1]Territory Definitions'!$D$5:$M$14,_xlpm.t,MATCH(I$4,'[1]Territory Definitions'!$D$4:$M$4,0))&lt;&gt;1,"NOT IN TERRITORY",IF(COUNTIFS('[1]Blackout Brand Fam Areas (Enc)'!$B$6:$B$998,$A180,'[1]Blackout Brand Fam Areas (Enc)'!$C$6:$C$998,I$4,'[1]Blackout Brand Fam Areas (Enc)'!$D$6:$D$998,"Inactive")&gt;0,"BLOCKED","CAN SELL")))))</f>
        <v>CAN SELL</v>
      </c>
      <c r="J180" s="11" t="str">
        <f>IF($A180="","",_xlfn.LET(_xlpm.t,MATCH($B180,'[1]Territory Definitions'!$B$5:$B$14,0),IF(ISNA(_xlpm.t),"NO TERRITORY",IF(INDEX('[1]Territory Definitions'!$D$5:$M$14,_xlpm.t,MATCH(J$4,'[1]Territory Definitions'!$D$4:$M$4,0))&lt;&gt;1,"NOT IN TERRITORY",IF(COUNTIFS('[1]Blackout Brand Fam Areas (Enc)'!$B$6:$B$998,$A180,'[1]Blackout Brand Fam Areas (Enc)'!$C$6:$C$998,J$4,'[1]Blackout Brand Fam Areas (Enc)'!$D$6:$D$998,"Inactive")&gt;0,"BLOCKED","CAN SELL")))))</f>
        <v>CAN SELL</v>
      </c>
      <c r="K180" s="11" t="str">
        <f>IF($A180="","",_xlfn.LET(_xlpm.t,MATCH($B180,'[1]Territory Definitions'!$B$5:$B$14,0),IF(ISNA(_xlpm.t),"NO TERRITORY",IF(INDEX('[1]Territory Definitions'!$D$5:$M$14,_xlpm.t,MATCH(K$4,'[1]Territory Definitions'!$D$4:$M$4,0))&lt;&gt;1,"NOT IN TERRITORY",IF(COUNTIFS('[1]Blackout Brand Fam Areas (Enc)'!$B$6:$B$998,$A180,'[1]Blackout Brand Fam Areas (Enc)'!$C$6:$C$998,K$4,'[1]Blackout Brand Fam Areas (Enc)'!$D$6:$D$998,"Inactive")&gt;0,"BLOCKED","CAN SELL")))))</f>
        <v>NOT IN TERRITORY</v>
      </c>
      <c r="L180" s="11" t="str">
        <f>IF($A180="","",_xlfn.LET(_xlpm.t,MATCH($B180,'[1]Territory Definitions'!$B$5:$B$14,0),IF(ISNA(_xlpm.t),"NO TERRITORY",IF(INDEX('[1]Territory Definitions'!$D$5:$M$14,_xlpm.t,MATCH(L$4,'[1]Territory Definitions'!$D$4:$M$4,0))&lt;&gt;1,"NOT IN TERRITORY",IF(COUNTIFS('[1]Blackout Brand Fam Areas (Enc)'!$B$6:$B$998,$A180,'[1]Blackout Brand Fam Areas (Enc)'!$C$6:$C$998,L$4,'[1]Blackout Brand Fam Areas (Enc)'!$D$6:$D$998,"Inactive")&gt;0,"BLOCKED","CAN SELL")))))</f>
        <v>CAN SELL</v>
      </c>
      <c r="M180" s="12">
        <f>IF($A180="","",COUNTIF($C180:$L180,"CAN SELL"))</f>
        <v>6</v>
      </c>
      <c r="N180" s="13" cm="1">
        <f t="array" ref="N180">IF($A180="","",SUMPRODUCT(($C180:$L180="CAN SELL")*$C$3:$L$3))</f>
        <v>1596</v>
      </c>
      <c r="O180" s="14" t="str">
        <f>IF($A180="","",IF(COUNTIF($A$5:$A$299,$A180)&gt;1,"DUPLICATE - two different territories assigned",IF($B180="** NO TERRITORY SET **","No territory on Brand Family Territory (Enc)","")))</f>
        <v/>
      </c>
      <c r="P180" s="18" t="str">
        <f>IF($A180="","",IFERROR(INDEX([1]Products!$H$4:$H$4801,MATCH($A180,[1]Products!$G$4:$G$4801,0)),"(no products)"))</f>
        <v>Constellation Brands</v>
      </c>
      <c r="Q180" s="19">
        <f>IF($A180="","",COUNTIFS([1]Products!$G$4:$G$4801,$A180,[1]Products!$L$4:$L$4801,"Yes"))</f>
        <v>13</v>
      </c>
      <c r="R180" s="19">
        <f>IF($A180="","",COUNTIFS([1]Products!$G$4:$G$4801,$A180,[1]Products!$L$4:$L$4801,"Yes",[1]Products!$K$4:$K$4801,"Draft"))</f>
        <v>2</v>
      </c>
      <c r="S180" s="19">
        <f>IF($A180="","",COUNTIFS([1]Products!$G$4:$G$4801,$A180,[1]Products!$L$4:$L$4801,"Yes",[1]Products!$K$4:$K$4801,"Package"))</f>
        <v>11</v>
      </c>
      <c r="T180" s="20" t="str" cm="1">
        <f t="array" ref="T180">IF($A180="","",_xlfn.IFS($Q180=0,"NO ACTIVE SKUs",AND($R180&gt;0,$S180&gt;0),"Draft &amp; Package",$R180&gt;0,"Draft only",TRUE,"Package only"))</f>
        <v>Draft &amp; Package</v>
      </c>
    </row>
    <row r="181" spans="1:20" x14ac:dyDescent="0.2">
      <c r="A181" s="9" t="str">
        <v>Modelo Negra</v>
      </c>
      <c r="B181" s="10" t="str">
        <f>IF($A181="","",_xlfn.XLOOKUP($A181,'[1]Brand Family Territory (Enc)'!$A:$A,'[1]Brand Family Territory (Enc)'!$B:$B,"** NO TERRITORY SET **"))</f>
        <v>Core Market</v>
      </c>
      <c r="C181" s="11" t="str">
        <f>IF($A181="","",_xlfn.LET(_xlpm.t,MATCH($B181,'[1]Territory Definitions'!$B$5:$B$14,0),IF(ISNA(_xlpm.t),"NO TERRITORY",IF(INDEX('[1]Territory Definitions'!$D$5:$M$14,_xlpm.t,MATCH(C$4,'[1]Territory Definitions'!$D$4:$M$4,0))&lt;&gt;1,"NOT IN TERRITORY",IF(COUNTIFS('[1]Blackout Brand Fam Areas (Enc)'!$B$6:$B$998,$A181,'[1]Blackout Brand Fam Areas (Enc)'!$C$6:$C$998,C$4,'[1]Blackout Brand Fam Areas (Enc)'!$D$6:$D$998,"Inactive")&gt;0,"BLOCKED","CAN SELL")))))</f>
        <v>CAN SELL</v>
      </c>
      <c r="D181" s="11" t="str">
        <f>IF($A181="","",_xlfn.LET(_xlpm.t,MATCH($B181,'[1]Territory Definitions'!$B$5:$B$14,0),IF(ISNA(_xlpm.t),"NO TERRITORY",IF(INDEX('[1]Territory Definitions'!$D$5:$M$14,_xlpm.t,MATCH(D$4,'[1]Territory Definitions'!$D$4:$M$4,0))&lt;&gt;1,"NOT IN TERRITORY",IF(COUNTIFS('[1]Blackout Brand Fam Areas (Enc)'!$B$6:$B$998,$A181,'[1]Blackout Brand Fam Areas (Enc)'!$C$6:$C$998,D$4,'[1]Blackout Brand Fam Areas (Enc)'!$D$6:$D$998,"Inactive")&gt;0,"BLOCKED","CAN SELL")))))</f>
        <v>CAN SELL</v>
      </c>
      <c r="E181" s="11" t="str">
        <f>IF($A181="","",_xlfn.LET(_xlpm.t,MATCH($B181,'[1]Territory Definitions'!$B$5:$B$14,0),IF(ISNA(_xlpm.t),"NO TERRITORY",IF(INDEX('[1]Territory Definitions'!$D$5:$M$14,_xlpm.t,MATCH(E$4,'[1]Territory Definitions'!$D$4:$M$4,0))&lt;&gt;1,"NOT IN TERRITORY",IF(COUNTIFS('[1]Blackout Brand Fam Areas (Enc)'!$B$6:$B$998,$A181,'[1]Blackout Brand Fam Areas (Enc)'!$C$6:$C$998,E$4,'[1]Blackout Brand Fam Areas (Enc)'!$D$6:$D$998,"Inactive")&gt;0,"BLOCKED","CAN SELL")))))</f>
        <v>CAN SELL</v>
      </c>
      <c r="F181" s="11" t="str">
        <f>IF($A181="","",_xlfn.LET(_xlpm.t,MATCH($B181,'[1]Territory Definitions'!$B$5:$B$14,0),IF(ISNA(_xlpm.t),"NO TERRITORY",IF(INDEX('[1]Territory Definitions'!$D$5:$M$14,_xlpm.t,MATCH(F$4,'[1]Territory Definitions'!$D$4:$M$4,0))&lt;&gt;1,"NOT IN TERRITORY",IF(COUNTIFS('[1]Blackout Brand Fam Areas (Enc)'!$B$6:$B$998,$A181,'[1]Blackout Brand Fam Areas (Enc)'!$C$6:$C$998,F$4,'[1]Blackout Brand Fam Areas (Enc)'!$D$6:$D$998,"Inactive")&gt;0,"BLOCKED","CAN SELL")))))</f>
        <v>NOT IN TERRITORY</v>
      </c>
      <c r="G181" s="11" t="str">
        <f>IF($A181="","",_xlfn.LET(_xlpm.t,MATCH($B181,'[1]Territory Definitions'!$B$5:$B$14,0),IF(ISNA(_xlpm.t),"NO TERRITORY",IF(INDEX('[1]Territory Definitions'!$D$5:$M$14,_xlpm.t,MATCH(G$4,'[1]Territory Definitions'!$D$4:$M$4,0))&lt;&gt;1,"NOT IN TERRITORY",IF(COUNTIFS('[1]Blackout Brand Fam Areas (Enc)'!$B$6:$B$998,$A181,'[1]Blackout Brand Fam Areas (Enc)'!$C$6:$C$998,G$4,'[1]Blackout Brand Fam Areas (Enc)'!$D$6:$D$998,"Inactive")&gt;0,"BLOCKED","CAN SELL")))))</f>
        <v>NOT IN TERRITORY</v>
      </c>
      <c r="H181" s="11" t="str">
        <f>IF($A181="","",_xlfn.LET(_xlpm.t,MATCH($B181,'[1]Territory Definitions'!$B$5:$B$14,0),IF(ISNA(_xlpm.t),"NO TERRITORY",IF(INDEX('[1]Territory Definitions'!$D$5:$M$14,_xlpm.t,MATCH(H$4,'[1]Territory Definitions'!$D$4:$M$4,0))&lt;&gt;1,"NOT IN TERRITORY",IF(COUNTIFS('[1]Blackout Brand Fam Areas (Enc)'!$B$6:$B$998,$A181,'[1]Blackout Brand Fam Areas (Enc)'!$C$6:$C$998,H$4,'[1]Blackout Brand Fam Areas (Enc)'!$D$6:$D$998,"Inactive")&gt;0,"BLOCKED","CAN SELL")))))</f>
        <v>NOT IN TERRITORY</v>
      </c>
      <c r="I181" s="11" t="str">
        <f>IF($A181="","",_xlfn.LET(_xlpm.t,MATCH($B181,'[1]Territory Definitions'!$B$5:$B$14,0),IF(ISNA(_xlpm.t),"NO TERRITORY",IF(INDEX('[1]Territory Definitions'!$D$5:$M$14,_xlpm.t,MATCH(I$4,'[1]Territory Definitions'!$D$4:$M$4,0))&lt;&gt;1,"NOT IN TERRITORY",IF(COUNTIFS('[1]Blackout Brand Fam Areas (Enc)'!$B$6:$B$998,$A181,'[1]Blackout Brand Fam Areas (Enc)'!$C$6:$C$998,I$4,'[1]Blackout Brand Fam Areas (Enc)'!$D$6:$D$998,"Inactive")&gt;0,"BLOCKED","CAN SELL")))))</f>
        <v>CAN SELL</v>
      </c>
      <c r="J181" s="11" t="str">
        <f>IF($A181="","",_xlfn.LET(_xlpm.t,MATCH($B181,'[1]Territory Definitions'!$B$5:$B$14,0),IF(ISNA(_xlpm.t),"NO TERRITORY",IF(INDEX('[1]Territory Definitions'!$D$5:$M$14,_xlpm.t,MATCH(J$4,'[1]Territory Definitions'!$D$4:$M$4,0))&lt;&gt;1,"NOT IN TERRITORY",IF(COUNTIFS('[1]Blackout Brand Fam Areas (Enc)'!$B$6:$B$998,$A181,'[1]Blackout Brand Fam Areas (Enc)'!$C$6:$C$998,J$4,'[1]Blackout Brand Fam Areas (Enc)'!$D$6:$D$998,"Inactive")&gt;0,"BLOCKED","CAN SELL")))))</f>
        <v>CAN SELL</v>
      </c>
      <c r="K181" s="11" t="str">
        <f>IF($A181="","",_xlfn.LET(_xlpm.t,MATCH($B181,'[1]Territory Definitions'!$B$5:$B$14,0),IF(ISNA(_xlpm.t),"NO TERRITORY",IF(INDEX('[1]Territory Definitions'!$D$5:$M$14,_xlpm.t,MATCH(K$4,'[1]Territory Definitions'!$D$4:$M$4,0))&lt;&gt;1,"NOT IN TERRITORY",IF(COUNTIFS('[1]Blackout Brand Fam Areas (Enc)'!$B$6:$B$998,$A181,'[1]Blackout Brand Fam Areas (Enc)'!$C$6:$C$998,K$4,'[1]Blackout Brand Fam Areas (Enc)'!$D$6:$D$998,"Inactive")&gt;0,"BLOCKED","CAN SELL")))))</f>
        <v>NOT IN TERRITORY</v>
      </c>
      <c r="L181" s="11" t="str">
        <f>IF($A181="","",_xlfn.LET(_xlpm.t,MATCH($B181,'[1]Territory Definitions'!$B$5:$B$14,0),IF(ISNA(_xlpm.t),"NO TERRITORY",IF(INDEX('[1]Territory Definitions'!$D$5:$M$14,_xlpm.t,MATCH(L$4,'[1]Territory Definitions'!$D$4:$M$4,0))&lt;&gt;1,"NOT IN TERRITORY",IF(COUNTIFS('[1]Blackout Brand Fam Areas (Enc)'!$B$6:$B$998,$A181,'[1]Blackout Brand Fam Areas (Enc)'!$C$6:$C$998,L$4,'[1]Blackout Brand Fam Areas (Enc)'!$D$6:$D$998,"Inactive")&gt;0,"BLOCKED","CAN SELL")))))</f>
        <v>CAN SELL</v>
      </c>
      <c r="M181" s="12">
        <f>IF($A181="","",COUNTIF($C181:$L181,"CAN SELL"))</f>
        <v>6</v>
      </c>
      <c r="N181" s="13" cm="1">
        <f t="array" ref="N181">IF($A181="","",SUMPRODUCT(($C181:$L181="CAN SELL")*$C$3:$L$3))</f>
        <v>1596</v>
      </c>
      <c r="O181" s="14" t="str">
        <f>IF($A181="","",IF(COUNTIF($A$5:$A$299,$A181)&gt;1,"DUPLICATE - two different territories assigned",IF($B181="** NO TERRITORY SET **","No territory on Brand Family Territory (Enc)","")))</f>
        <v/>
      </c>
      <c r="P181" s="18" t="str">
        <f>IF($A181="","",IFERROR(INDEX([1]Products!$H$4:$H$4801,MATCH($A181,[1]Products!$G$4:$G$4801,0)),"(no products)"))</f>
        <v>Constellation Brands</v>
      </c>
      <c r="Q181" s="19">
        <f>IF($A181="","",COUNTIFS([1]Products!$G$4:$G$4801,$A181,[1]Products!$L$4:$L$4801,"Yes"))</f>
        <v>6</v>
      </c>
      <c r="R181" s="19">
        <f>IF($A181="","",COUNTIFS([1]Products!$G$4:$G$4801,$A181,[1]Products!$L$4:$L$4801,"Yes",[1]Products!$K$4:$K$4801,"Draft"))</f>
        <v>2</v>
      </c>
      <c r="S181" s="19">
        <f>IF($A181="","",COUNTIFS([1]Products!$G$4:$G$4801,$A181,[1]Products!$L$4:$L$4801,"Yes",[1]Products!$K$4:$K$4801,"Package"))</f>
        <v>4</v>
      </c>
      <c r="T181" s="20" t="str" cm="1">
        <f t="array" ref="T181">IF($A181="","",_xlfn.IFS($Q181=0,"NO ACTIVE SKUs",AND($R181&gt;0,$S181&gt;0),"Draft &amp; Package",$R181&gt;0,"Draft only",TRUE,"Package only"))</f>
        <v>Draft &amp; Package</v>
      </c>
    </row>
    <row r="182" spans="1:20" x14ac:dyDescent="0.2">
      <c r="A182" s="9" t="str">
        <v>Modelo Oro</v>
      </c>
      <c r="B182" s="10" t="str">
        <f>IF($A182="","",_xlfn.XLOOKUP($A182,'[1]Brand Family Territory (Enc)'!$A:$A,'[1]Brand Family Territory (Enc)'!$B:$B,"** NO TERRITORY SET **"))</f>
        <v>Core Market</v>
      </c>
      <c r="C182" s="11" t="str">
        <f>IF($A182="","",_xlfn.LET(_xlpm.t,MATCH($B182,'[1]Territory Definitions'!$B$5:$B$14,0),IF(ISNA(_xlpm.t),"NO TERRITORY",IF(INDEX('[1]Territory Definitions'!$D$5:$M$14,_xlpm.t,MATCH(C$4,'[1]Territory Definitions'!$D$4:$M$4,0))&lt;&gt;1,"NOT IN TERRITORY",IF(COUNTIFS('[1]Blackout Brand Fam Areas (Enc)'!$B$6:$B$998,$A182,'[1]Blackout Brand Fam Areas (Enc)'!$C$6:$C$998,C$4,'[1]Blackout Brand Fam Areas (Enc)'!$D$6:$D$998,"Inactive")&gt;0,"BLOCKED","CAN SELL")))))</f>
        <v>CAN SELL</v>
      </c>
      <c r="D182" s="11" t="str">
        <f>IF($A182="","",_xlfn.LET(_xlpm.t,MATCH($B182,'[1]Territory Definitions'!$B$5:$B$14,0),IF(ISNA(_xlpm.t),"NO TERRITORY",IF(INDEX('[1]Territory Definitions'!$D$5:$M$14,_xlpm.t,MATCH(D$4,'[1]Territory Definitions'!$D$4:$M$4,0))&lt;&gt;1,"NOT IN TERRITORY",IF(COUNTIFS('[1]Blackout Brand Fam Areas (Enc)'!$B$6:$B$998,$A182,'[1]Blackout Brand Fam Areas (Enc)'!$C$6:$C$998,D$4,'[1]Blackout Brand Fam Areas (Enc)'!$D$6:$D$998,"Inactive")&gt;0,"BLOCKED","CAN SELL")))))</f>
        <v>CAN SELL</v>
      </c>
      <c r="E182" s="11" t="str">
        <f>IF($A182="","",_xlfn.LET(_xlpm.t,MATCH($B182,'[1]Territory Definitions'!$B$5:$B$14,0),IF(ISNA(_xlpm.t),"NO TERRITORY",IF(INDEX('[1]Territory Definitions'!$D$5:$M$14,_xlpm.t,MATCH(E$4,'[1]Territory Definitions'!$D$4:$M$4,0))&lt;&gt;1,"NOT IN TERRITORY",IF(COUNTIFS('[1]Blackout Brand Fam Areas (Enc)'!$B$6:$B$998,$A182,'[1]Blackout Brand Fam Areas (Enc)'!$C$6:$C$998,E$4,'[1]Blackout Brand Fam Areas (Enc)'!$D$6:$D$998,"Inactive")&gt;0,"BLOCKED","CAN SELL")))))</f>
        <v>CAN SELL</v>
      </c>
      <c r="F182" s="11" t="str">
        <f>IF($A182="","",_xlfn.LET(_xlpm.t,MATCH($B182,'[1]Territory Definitions'!$B$5:$B$14,0),IF(ISNA(_xlpm.t),"NO TERRITORY",IF(INDEX('[1]Territory Definitions'!$D$5:$M$14,_xlpm.t,MATCH(F$4,'[1]Territory Definitions'!$D$4:$M$4,0))&lt;&gt;1,"NOT IN TERRITORY",IF(COUNTIFS('[1]Blackout Brand Fam Areas (Enc)'!$B$6:$B$998,$A182,'[1]Blackout Brand Fam Areas (Enc)'!$C$6:$C$998,F$4,'[1]Blackout Brand Fam Areas (Enc)'!$D$6:$D$998,"Inactive")&gt;0,"BLOCKED","CAN SELL")))))</f>
        <v>NOT IN TERRITORY</v>
      </c>
      <c r="G182" s="11" t="str">
        <f>IF($A182="","",_xlfn.LET(_xlpm.t,MATCH($B182,'[1]Territory Definitions'!$B$5:$B$14,0),IF(ISNA(_xlpm.t),"NO TERRITORY",IF(INDEX('[1]Territory Definitions'!$D$5:$M$14,_xlpm.t,MATCH(G$4,'[1]Territory Definitions'!$D$4:$M$4,0))&lt;&gt;1,"NOT IN TERRITORY",IF(COUNTIFS('[1]Blackout Brand Fam Areas (Enc)'!$B$6:$B$998,$A182,'[1]Blackout Brand Fam Areas (Enc)'!$C$6:$C$998,G$4,'[1]Blackout Brand Fam Areas (Enc)'!$D$6:$D$998,"Inactive")&gt;0,"BLOCKED","CAN SELL")))))</f>
        <v>NOT IN TERRITORY</v>
      </c>
      <c r="H182" s="11" t="str">
        <f>IF($A182="","",_xlfn.LET(_xlpm.t,MATCH($B182,'[1]Territory Definitions'!$B$5:$B$14,0),IF(ISNA(_xlpm.t),"NO TERRITORY",IF(INDEX('[1]Territory Definitions'!$D$5:$M$14,_xlpm.t,MATCH(H$4,'[1]Territory Definitions'!$D$4:$M$4,0))&lt;&gt;1,"NOT IN TERRITORY",IF(COUNTIFS('[1]Blackout Brand Fam Areas (Enc)'!$B$6:$B$998,$A182,'[1]Blackout Brand Fam Areas (Enc)'!$C$6:$C$998,H$4,'[1]Blackout Brand Fam Areas (Enc)'!$D$6:$D$998,"Inactive")&gt;0,"BLOCKED","CAN SELL")))))</f>
        <v>NOT IN TERRITORY</v>
      </c>
      <c r="I182" s="11" t="str">
        <f>IF($A182="","",_xlfn.LET(_xlpm.t,MATCH($B182,'[1]Territory Definitions'!$B$5:$B$14,0),IF(ISNA(_xlpm.t),"NO TERRITORY",IF(INDEX('[1]Territory Definitions'!$D$5:$M$14,_xlpm.t,MATCH(I$4,'[1]Territory Definitions'!$D$4:$M$4,0))&lt;&gt;1,"NOT IN TERRITORY",IF(COUNTIFS('[1]Blackout Brand Fam Areas (Enc)'!$B$6:$B$998,$A182,'[1]Blackout Brand Fam Areas (Enc)'!$C$6:$C$998,I$4,'[1]Blackout Brand Fam Areas (Enc)'!$D$6:$D$998,"Inactive")&gt;0,"BLOCKED","CAN SELL")))))</f>
        <v>CAN SELL</v>
      </c>
      <c r="J182" s="11" t="str">
        <f>IF($A182="","",_xlfn.LET(_xlpm.t,MATCH($B182,'[1]Territory Definitions'!$B$5:$B$14,0),IF(ISNA(_xlpm.t),"NO TERRITORY",IF(INDEX('[1]Territory Definitions'!$D$5:$M$14,_xlpm.t,MATCH(J$4,'[1]Territory Definitions'!$D$4:$M$4,0))&lt;&gt;1,"NOT IN TERRITORY",IF(COUNTIFS('[1]Blackout Brand Fam Areas (Enc)'!$B$6:$B$998,$A182,'[1]Blackout Brand Fam Areas (Enc)'!$C$6:$C$998,J$4,'[1]Blackout Brand Fam Areas (Enc)'!$D$6:$D$998,"Inactive")&gt;0,"BLOCKED","CAN SELL")))))</f>
        <v>CAN SELL</v>
      </c>
      <c r="K182" s="11" t="str">
        <f>IF($A182="","",_xlfn.LET(_xlpm.t,MATCH($B182,'[1]Territory Definitions'!$B$5:$B$14,0),IF(ISNA(_xlpm.t),"NO TERRITORY",IF(INDEX('[1]Territory Definitions'!$D$5:$M$14,_xlpm.t,MATCH(K$4,'[1]Territory Definitions'!$D$4:$M$4,0))&lt;&gt;1,"NOT IN TERRITORY",IF(COUNTIFS('[1]Blackout Brand Fam Areas (Enc)'!$B$6:$B$998,$A182,'[1]Blackout Brand Fam Areas (Enc)'!$C$6:$C$998,K$4,'[1]Blackout Brand Fam Areas (Enc)'!$D$6:$D$998,"Inactive")&gt;0,"BLOCKED","CAN SELL")))))</f>
        <v>NOT IN TERRITORY</v>
      </c>
      <c r="L182" s="11" t="str">
        <f>IF($A182="","",_xlfn.LET(_xlpm.t,MATCH($B182,'[1]Territory Definitions'!$B$5:$B$14,0),IF(ISNA(_xlpm.t),"NO TERRITORY",IF(INDEX('[1]Territory Definitions'!$D$5:$M$14,_xlpm.t,MATCH(L$4,'[1]Territory Definitions'!$D$4:$M$4,0))&lt;&gt;1,"NOT IN TERRITORY",IF(COUNTIFS('[1]Blackout Brand Fam Areas (Enc)'!$B$6:$B$998,$A182,'[1]Blackout Brand Fam Areas (Enc)'!$C$6:$C$998,L$4,'[1]Blackout Brand Fam Areas (Enc)'!$D$6:$D$998,"Inactive")&gt;0,"BLOCKED","CAN SELL")))))</f>
        <v>CAN SELL</v>
      </c>
      <c r="M182" s="12">
        <f>IF($A182="","",COUNTIF($C182:$L182,"CAN SELL"))</f>
        <v>6</v>
      </c>
      <c r="N182" s="13" cm="1">
        <f t="array" ref="N182">IF($A182="","",SUMPRODUCT(($C182:$L182="CAN SELL")*$C$3:$L$3))</f>
        <v>1596</v>
      </c>
      <c r="O182" s="14" t="str">
        <f>IF($A182="","",IF(COUNTIF($A$5:$A$299,$A182)&gt;1,"DUPLICATE - two different territories assigned",IF($B182="** NO TERRITORY SET **","No territory on Brand Family Territory (Enc)","")))</f>
        <v/>
      </c>
      <c r="P182" s="18" t="str">
        <f>IF($A182="","",IFERROR(INDEX([1]Products!$H$4:$H$4801,MATCH($A182,[1]Products!$G$4:$G$4801,0)),"(no products)"))</f>
        <v>Constellation Brands</v>
      </c>
      <c r="Q182" s="19">
        <f>IF($A182="","",COUNTIFS([1]Products!$G$4:$G$4801,$A182,[1]Products!$L$4:$L$4801,"Yes"))</f>
        <v>4</v>
      </c>
      <c r="R182" s="19">
        <f>IF($A182="","",COUNTIFS([1]Products!$G$4:$G$4801,$A182,[1]Products!$L$4:$L$4801,"Yes",[1]Products!$K$4:$K$4801,"Draft"))</f>
        <v>0</v>
      </c>
      <c r="S182" s="19">
        <f>IF($A182="","",COUNTIFS([1]Products!$G$4:$G$4801,$A182,[1]Products!$L$4:$L$4801,"Yes",[1]Products!$K$4:$K$4801,"Package"))</f>
        <v>4</v>
      </c>
      <c r="T182" s="20" t="str" cm="1">
        <f t="array" ref="T182">IF($A182="","",_xlfn.IFS($Q182=0,"NO ACTIVE SKUs",AND($R182&gt;0,$S182&gt;0),"Draft &amp; Package",$R182&gt;0,"Draft only",TRUE,"Package only"))</f>
        <v>Package only</v>
      </c>
    </row>
    <row r="183" spans="1:20" x14ac:dyDescent="0.2">
      <c r="A183" s="9" t="str">
        <v>Molly's</v>
      </c>
      <c r="B183" s="10" t="str">
        <f>IF($A183="","",_xlfn.XLOOKUP($A183,'[1]Brand Family Territory (Enc)'!$A:$A,'[1]Brand Family Territory (Enc)'!$B:$B,"** NO TERRITORY SET **"))</f>
        <v>All Counties</v>
      </c>
      <c r="C183" s="11" t="str">
        <f>IF($A183="","",_xlfn.LET(_xlpm.t,MATCH($B183,'[1]Territory Definitions'!$B$5:$B$14,0),IF(ISNA(_xlpm.t),"NO TERRITORY",IF(INDEX('[1]Territory Definitions'!$D$5:$M$14,_xlpm.t,MATCH(C$4,'[1]Territory Definitions'!$D$4:$M$4,0))&lt;&gt;1,"NOT IN TERRITORY",IF(COUNTIFS('[1]Blackout Brand Fam Areas (Enc)'!$B$6:$B$998,$A183,'[1]Blackout Brand Fam Areas (Enc)'!$C$6:$C$998,C$4,'[1]Blackout Brand Fam Areas (Enc)'!$D$6:$D$998,"Inactive")&gt;0,"BLOCKED","CAN SELL")))))</f>
        <v>CAN SELL</v>
      </c>
      <c r="D183" s="11" t="str">
        <f>IF($A183="","",_xlfn.LET(_xlpm.t,MATCH($B183,'[1]Territory Definitions'!$B$5:$B$14,0),IF(ISNA(_xlpm.t),"NO TERRITORY",IF(INDEX('[1]Territory Definitions'!$D$5:$M$14,_xlpm.t,MATCH(D$4,'[1]Territory Definitions'!$D$4:$M$4,0))&lt;&gt;1,"NOT IN TERRITORY",IF(COUNTIFS('[1]Blackout Brand Fam Areas (Enc)'!$B$6:$B$998,$A183,'[1]Blackout Brand Fam Areas (Enc)'!$C$6:$C$998,D$4,'[1]Blackout Brand Fam Areas (Enc)'!$D$6:$D$998,"Inactive")&gt;0,"BLOCKED","CAN SELL")))))</f>
        <v>CAN SELL</v>
      </c>
      <c r="E183" s="11" t="str">
        <f>IF($A183="","",_xlfn.LET(_xlpm.t,MATCH($B183,'[1]Territory Definitions'!$B$5:$B$14,0),IF(ISNA(_xlpm.t),"NO TERRITORY",IF(INDEX('[1]Territory Definitions'!$D$5:$M$14,_xlpm.t,MATCH(E$4,'[1]Territory Definitions'!$D$4:$M$4,0))&lt;&gt;1,"NOT IN TERRITORY",IF(COUNTIFS('[1]Blackout Brand Fam Areas (Enc)'!$B$6:$B$998,$A183,'[1]Blackout Brand Fam Areas (Enc)'!$C$6:$C$998,E$4,'[1]Blackout Brand Fam Areas (Enc)'!$D$6:$D$998,"Inactive")&gt;0,"BLOCKED","CAN SELL")))))</f>
        <v>CAN SELL</v>
      </c>
      <c r="F183" s="11" t="str">
        <f>IF($A183="","",_xlfn.LET(_xlpm.t,MATCH($B183,'[1]Territory Definitions'!$B$5:$B$14,0),IF(ISNA(_xlpm.t),"NO TERRITORY",IF(INDEX('[1]Territory Definitions'!$D$5:$M$14,_xlpm.t,MATCH(F$4,'[1]Territory Definitions'!$D$4:$M$4,0))&lt;&gt;1,"NOT IN TERRITORY",IF(COUNTIFS('[1]Blackout Brand Fam Areas (Enc)'!$B$6:$B$998,$A183,'[1]Blackout Brand Fam Areas (Enc)'!$C$6:$C$998,F$4,'[1]Blackout Brand Fam Areas (Enc)'!$D$6:$D$998,"Inactive")&gt;0,"BLOCKED","CAN SELL")))))</f>
        <v>CAN SELL</v>
      </c>
      <c r="G183" s="11" t="str">
        <f>IF($A183="","",_xlfn.LET(_xlpm.t,MATCH($B183,'[1]Territory Definitions'!$B$5:$B$14,0),IF(ISNA(_xlpm.t),"NO TERRITORY",IF(INDEX('[1]Territory Definitions'!$D$5:$M$14,_xlpm.t,MATCH(G$4,'[1]Territory Definitions'!$D$4:$M$4,0))&lt;&gt;1,"NOT IN TERRITORY",IF(COUNTIFS('[1]Blackout Brand Fam Areas (Enc)'!$B$6:$B$998,$A183,'[1]Blackout Brand Fam Areas (Enc)'!$C$6:$C$998,G$4,'[1]Blackout Brand Fam Areas (Enc)'!$D$6:$D$998,"Inactive")&gt;0,"BLOCKED","CAN SELL")))))</f>
        <v>CAN SELL</v>
      </c>
      <c r="H183" s="11" t="str">
        <f>IF($A183="","",_xlfn.LET(_xlpm.t,MATCH($B183,'[1]Territory Definitions'!$B$5:$B$14,0),IF(ISNA(_xlpm.t),"NO TERRITORY",IF(INDEX('[1]Territory Definitions'!$D$5:$M$14,_xlpm.t,MATCH(H$4,'[1]Territory Definitions'!$D$4:$M$4,0))&lt;&gt;1,"NOT IN TERRITORY",IF(COUNTIFS('[1]Blackout Brand Fam Areas (Enc)'!$B$6:$B$998,$A183,'[1]Blackout Brand Fam Areas (Enc)'!$C$6:$C$998,H$4,'[1]Blackout Brand Fam Areas (Enc)'!$D$6:$D$998,"Inactive")&gt;0,"BLOCKED","CAN SELL")))))</f>
        <v>CAN SELL</v>
      </c>
      <c r="I183" s="11" t="str">
        <f>IF($A183="","",_xlfn.LET(_xlpm.t,MATCH($B183,'[1]Territory Definitions'!$B$5:$B$14,0),IF(ISNA(_xlpm.t),"NO TERRITORY",IF(INDEX('[1]Territory Definitions'!$D$5:$M$14,_xlpm.t,MATCH(I$4,'[1]Territory Definitions'!$D$4:$M$4,0))&lt;&gt;1,"NOT IN TERRITORY",IF(COUNTIFS('[1]Blackout Brand Fam Areas (Enc)'!$B$6:$B$998,$A183,'[1]Blackout Brand Fam Areas (Enc)'!$C$6:$C$998,I$4,'[1]Blackout Brand Fam Areas (Enc)'!$D$6:$D$998,"Inactive")&gt;0,"BLOCKED","CAN SELL")))))</f>
        <v>CAN SELL</v>
      </c>
      <c r="J183" s="11" t="str">
        <f>IF($A183="","",_xlfn.LET(_xlpm.t,MATCH($B183,'[1]Territory Definitions'!$B$5:$B$14,0),IF(ISNA(_xlpm.t),"NO TERRITORY",IF(INDEX('[1]Territory Definitions'!$D$5:$M$14,_xlpm.t,MATCH(J$4,'[1]Territory Definitions'!$D$4:$M$4,0))&lt;&gt;1,"NOT IN TERRITORY",IF(COUNTIFS('[1]Blackout Brand Fam Areas (Enc)'!$B$6:$B$998,$A183,'[1]Blackout Brand Fam Areas (Enc)'!$C$6:$C$998,J$4,'[1]Blackout Brand Fam Areas (Enc)'!$D$6:$D$998,"Inactive")&gt;0,"BLOCKED","CAN SELL")))))</f>
        <v>CAN SELL</v>
      </c>
      <c r="K183" s="11" t="str">
        <f>IF($A183="","",_xlfn.LET(_xlpm.t,MATCH($B183,'[1]Territory Definitions'!$B$5:$B$14,0),IF(ISNA(_xlpm.t),"NO TERRITORY",IF(INDEX('[1]Territory Definitions'!$D$5:$M$14,_xlpm.t,MATCH(K$4,'[1]Territory Definitions'!$D$4:$M$4,0))&lt;&gt;1,"NOT IN TERRITORY",IF(COUNTIFS('[1]Blackout Brand Fam Areas (Enc)'!$B$6:$B$998,$A183,'[1]Blackout Brand Fam Areas (Enc)'!$C$6:$C$998,K$4,'[1]Blackout Brand Fam Areas (Enc)'!$D$6:$D$998,"Inactive")&gt;0,"BLOCKED","CAN SELL")))))</f>
        <v>CAN SELL</v>
      </c>
      <c r="L183" s="11" t="str">
        <f>IF($A183="","",_xlfn.LET(_xlpm.t,MATCH($B183,'[1]Territory Definitions'!$B$5:$B$14,0),IF(ISNA(_xlpm.t),"NO TERRITORY",IF(INDEX('[1]Territory Definitions'!$D$5:$M$14,_xlpm.t,MATCH(L$4,'[1]Territory Definitions'!$D$4:$M$4,0))&lt;&gt;1,"NOT IN TERRITORY",IF(COUNTIFS('[1]Blackout Brand Fam Areas (Enc)'!$B$6:$B$998,$A183,'[1]Blackout Brand Fam Areas (Enc)'!$C$6:$C$998,L$4,'[1]Blackout Brand Fam Areas (Enc)'!$D$6:$D$998,"Inactive")&gt;0,"BLOCKED","CAN SELL")))))</f>
        <v>CAN SELL</v>
      </c>
      <c r="M183" s="12">
        <f>IF($A183="","",COUNTIF($C183:$L183,"CAN SELL"))</f>
        <v>10</v>
      </c>
      <c r="N183" s="13" cm="1">
        <f t="array" ref="N183">IF($A183="","",SUMPRODUCT(($C183:$L183="CAN SELL")*$C$3:$L$3))</f>
        <v>2306</v>
      </c>
      <c r="O183" s="14" t="str">
        <f>IF($A183="","",IF(COUNTIF($A$5:$A$299,$A183)&gt;1,"DUPLICATE - two different territories assigned",IF($B183="** NO TERRITORY SET **","No territory on Brand Family Territory (Enc)","")))</f>
        <v/>
      </c>
      <c r="P183" s="18" t="str">
        <f>IF($A183="","",IFERROR(INDEX([1]Products!$H$4:$H$4801,MATCH($A183,[1]Products!$G$4:$G$4801,0)),"(no products)"))</f>
        <v>Molly's</v>
      </c>
      <c r="Q183" s="19">
        <f>IF($A183="","",COUNTIFS([1]Products!$G$4:$G$4801,$A183,[1]Products!$L$4:$L$4801,"Yes"))</f>
        <v>7</v>
      </c>
      <c r="R183" s="19">
        <f>IF($A183="","",COUNTIFS([1]Products!$G$4:$G$4801,$A183,[1]Products!$L$4:$L$4801,"Yes",[1]Products!$K$4:$K$4801,"Draft"))</f>
        <v>0</v>
      </c>
      <c r="S183" s="19">
        <f>IF($A183="","",COUNTIFS([1]Products!$G$4:$G$4801,$A183,[1]Products!$L$4:$L$4801,"Yes",[1]Products!$K$4:$K$4801,"Package"))</f>
        <v>0</v>
      </c>
      <c r="T183" s="20" t="str" cm="1">
        <f t="array" ref="T183">IF($A183="","",_xlfn.IFS($Q183=0,"NO ACTIVE SKUs",AND($R183&gt;0,$S183&gt;0),"Draft &amp; Package",$R183&gt;0,"Draft only",TRUE,"Package only"))</f>
        <v>Package only</v>
      </c>
    </row>
    <row r="184" spans="1:20" x14ac:dyDescent="0.2">
      <c r="A184" s="9" t="str">
        <v>Molson</v>
      </c>
      <c r="B184" s="10" t="str">
        <f>IF($A184="","",_xlfn.XLOOKUP($A184,'[1]Brand Family Territory (Enc)'!$A:$A,'[1]Brand Family Territory (Enc)'!$B:$B,"** NO TERRITORY SET **"))</f>
        <v>Core Market</v>
      </c>
      <c r="C184" s="11" t="str">
        <f>IF($A184="","",_xlfn.LET(_xlpm.t,MATCH($B184,'[1]Territory Definitions'!$B$5:$B$14,0),IF(ISNA(_xlpm.t),"NO TERRITORY",IF(INDEX('[1]Territory Definitions'!$D$5:$M$14,_xlpm.t,MATCH(C$4,'[1]Territory Definitions'!$D$4:$M$4,0))&lt;&gt;1,"NOT IN TERRITORY",IF(COUNTIFS('[1]Blackout Brand Fam Areas (Enc)'!$B$6:$B$998,$A184,'[1]Blackout Brand Fam Areas (Enc)'!$C$6:$C$998,C$4,'[1]Blackout Brand Fam Areas (Enc)'!$D$6:$D$998,"Inactive")&gt;0,"BLOCKED","CAN SELL")))))</f>
        <v>CAN SELL</v>
      </c>
      <c r="D184" s="11" t="str">
        <f>IF($A184="","",_xlfn.LET(_xlpm.t,MATCH($B184,'[1]Territory Definitions'!$B$5:$B$14,0),IF(ISNA(_xlpm.t),"NO TERRITORY",IF(INDEX('[1]Territory Definitions'!$D$5:$M$14,_xlpm.t,MATCH(D$4,'[1]Territory Definitions'!$D$4:$M$4,0))&lt;&gt;1,"NOT IN TERRITORY",IF(COUNTIFS('[1]Blackout Brand Fam Areas (Enc)'!$B$6:$B$998,$A184,'[1]Blackout Brand Fam Areas (Enc)'!$C$6:$C$998,D$4,'[1]Blackout Brand Fam Areas (Enc)'!$D$6:$D$998,"Inactive")&gt;0,"BLOCKED","CAN SELL")))))</f>
        <v>CAN SELL</v>
      </c>
      <c r="E184" s="11" t="str">
        <f>IF($A184="","",_xlfn.LET(_xlpm.t,MATCH($B184,'[1]Territory Definitions'!$B$5:$B$14,0),IF(ISNA(_xlpm.t),"NO TERRITORY",IF(INDEX('[1]Territory Definitions'!$D$5:$M$14,_xlpm.t,MATCH(E$4,'[1]Territory Definitions'!$D$4:$M$4,0))&lt;&gt;1,"NOT IN TERRITORY",IF(COUNTIFS('[1]Blackout Brand Fam Areas (Enc)'!$B$6:$B$998,$A184,'[1]Blackout Brand Fam Areas (Enc)'!$C$6:$C$998,E$4,'[1]Blackout Brand Fam Areas (Enc)'!$D$6:$D$998,"Inactive")&gt;0,"BLOCKED","CAN SELL")))))</f>
        <v>CAN SELL</v>
      </c>
      <c r="F184" s="11" t="str">
        <f>IF($A184="","",_xlfn.LET(_xlpm.t,MATCH($B184,'[1]Territory Definitions'!$B$5:$B$14,0),IF(ISNA(_xlpm.t),"NO TERRITORY",IF(INDEX('[1]Territory Definitions'!$D$5:$M$14,_xlpm.t,MATCH(F$4,'[1]Territory Definitions'!$D$4:$M$4,0))&lt;&gt;1,"NOT IN TERRITORY",IF(COUNTIFS('[1]Blackout Brand Fam Areas (Enc)'!$B$6:$B$998,$A184,'[1]Blackout Brand Fam Areas (Enc)'!$C$6:$C$998,F$4,'[1]Blackout Brand Fam Areas (Enc)'!$D$6:$D$998,"Inactive")&gt;0,"BLOCKED","CAN SELL")))))</f>
        <v>NOT IN TERRITORY</v>
      </c>
      <c r="G184" s="11" t="str">
        <f>IF($A184="","",_xlfn.LET(_xlpm.t,MATCH($B184,'[1]Territory Definitions'!$B$5:$B$14,0),IF(ISNA(_xlpm.t),"NO TERRITORY",IF(INDEX('[1]Territory Definitions'!$D$5:$M$14,_xlpm.t,MATCH(G$4,'[1]Territory Definitions'!$D$4:$M$4,0))&lt;&gt;1,"NOT IN TERRITORY",IF(COUNTIFS('[1]Blackout Brand Fam Areas (Enc)'!$B$6:$B$998,$A184,'[1]Blackout Brand Fam Areas (Enc)'!$C$6:$C$998,G$4,'[1]Blackout Brand Fam Areas (Enc)'!$D$6:$D$998,"Inactive")&gt;0,"BLOCKED","CAN SELL")))))</f>
        <v>NOT IN TERRITORY</v>
      </c>
      <c r="H184" s="11" t="str">
        <f>IF($A184="","",_xlfn.LET(_xlpm.t,MATCH($B184,'[1]Territory Definitions'!$B$5:$B$14,0),IF(ISNA(_xlpm.t),"NO TERRITORY",IF(INDEX('[1]Territory Definitions'!$D$5:$M$14,_xlpm.t,MATCH(H$4,'[1]Territory Definitions'!$D$4:$M$4,0))&lt;&gt;1,"NOT IN TERRITORY",IF(COUNTIFS('[1]Blackout Brand Fam Areas (Enc)'!$B$6:$B$998,$A184,'[1]Blackout Brand Fam Areas (Enc)'!$C$6:$C$998,H$4,'[1]Blackout Brand Fam Areas (Enc)'!$D$6:$D$998,"Inactive")&gt;0,"BLOCKED","CAN SELL")))))</f>
        <v>NOT IN TERRITORY</v>
      </c>
      <c r="I184" s="11" t="str">
        <f>IF($A184="","",_xlfn.LET(_xlpm.t,MATCH($B184,'[1]Territory Definitions'!$B$5:$B$14,0),IF(ISNA(_xlpm.t),"NO TERRITORY",IF(INDEX('[1]Territory Definitions'!$D$5:$M$14,_xlpm.t,MATCH(I$4,'[1]Territory Definitions'!$D$4:$M$4,0))&lt;&gt;1,"NOT IN TERRITORY",IF(COUNTIFS('[1]Blackout Brand Fam Areas (Enc)'!$B$6:$B$998,$A184,'[1]Blackout Brand Fam Areas (Enc)'!$C$6:$C$998,I$4,'[1]Blackout Brand Fam Areas (Enc)'!$D$6:$D$998,"Inactive")&gt;0,"BLOCKED","CAN SELL")))))</f>
        <v>CAN SELL</v>
      </c>
      <c r="J184" s="11" t="str">
        <f>IF($A184="","",_xlfn.LET(_xlpm.t,MATCH($B184,'[1]Territory Definitions'!$B$5:$B$14,0),IF(ISNA(_xlpm.t),"NO TERRITORY",IF(INDEX('[1]Territory Definitions'!$D$5:$M$14,_xlpm.t,MATCH(J$4,'[1]Territory Definitions'!$D$4:$M$4,0))&lt;&gt;1,"NOT IN TERRITORY",IF(COUNTIFS('[1]Blackout Brand Fam Areas (Enc)'!$B$6:$B$998,$A184,'[1]Blackout Brand Fam Areas (Enc)'!$C$6:$C$998,J$4,'[1]Blackout Brand Fam Areas (Enc)'!$D$6:$D$998,"Inactive")&gt;0,"BLOCKED","CAN SELL")))))</f>
        <v>CAN SELL</v>
      </c>
      <c r="K184" s="11" t="str">
        <f>IF($A184="","",_xlfn.LET(_xlpm.t,MATCH($B184,'[1]Territory Definitions'!$B$5:$B$14,0),IF(ISNA(_xlpm.t),"NO TERRITORY",IF(INDEX('[1]Territory Definitions'!$D$5:$M$14,_xlpm.t,MATCH(K$4,'[1]Territory Definitions'!$D$4:$M$4,0))&lt;&gt;1,"NOT IN TERRITORY",IF(COUNTIFS('[1]Blackout Brand Fam Areas (Enc)'!$B$6:$B$998,$A184,'[1]Blackout Brand Fam Areas (Enc)'!$C$6:$C$998,K$4,'[1]Blackout Brand Fam Areas (Enc)'!$D$6:$D$998,"Inactive")&gt;0,"BLOCKED","CAN SELL")))))</f>
        <v>NOT IN TERRITORY</v>
      </c>
      <c r="L184" s="11" t="str">
        <f>IF($A184="","",_xlfn.LET(_xlpm.t,MATCH($B184,'[1]Territory Definitions'!$B$5:$B$14,0),IF(ISNA(_xlpm.t),"NO TERRITORY",IF(INDEX('[1]Territory Definitions'!$D$5:$M$14,_xlpm.t,MATCH(L$4,'[1]Territory Definitions'!$D$4:$M$4,0))&lt;&gt;1,"NOT IN TERRITORY",IF(COUNTIFS('[1]Blackout Brand Fam Areas (Enc)'!$B$6:$B$998,$A184,'[1]Blackout Brand Fam Areas (Enc)'!$C$6:$C$998,L$4,'[1]Blackout Brand Fam Areas (Enc)'!$D$6:$D$998,"Inactive")&gt;0,"BLOCKED","CAN SELL")))))</f>
        <v>CAN SELL</v>
      </c>
      <c r="M184" s="12">
        <f>IF($A184="","",COUNTIF($C184:$L184,"CAN SELL"))</f>
        <v>6</v>
      </c>
      <c r="N184" s="13" cm="1">
        <f t="array" ref="N184">IF($A184="","",SUMPRODUCT(($C184:$L184="CAN SELL")*$C$3:$L$3))</f>
        <v>1596</v>
      </c>
      <c r="O184" s="14" t="str">
        <f>IF($A184="","",IF(COUNTIF($A$5:$A$299,$A184)&gt;1,"DUPLICATE - two different territories assigned",IF($B184="** NO TERRITORY SET **","No territory on Brand Family Territory (Enc)","")))</f>
        <v/>
      </c>
      <c r="P184" s="18" t="str">
        <f>IF($A184="","",IFERROR(INDEX([1]Products!$H$4:$H$4801,MATCH($A184,[1]Products!$G$4:$G$4801,0)),"(no products)"))</f>
        <v>MolsonCoors Beverage Company</v>
      </c>
      <c r="Q184" s="19">
        <f>IF($A184="","",COUNTIFS([1]Products!$G$4:$G$4801,$A184,[1]Products!$L$4:$L$4801,"Yes"))</f>
        <v>7</v>
      </c>
      <c r="R184" s="19">
        <f>IF($A184="","",COUNTIFS([1]Products!$G$4:$G$4801,$A184,[1]Products!$L$4:$L$4801,"Yes",[1]Products!$K$4:$K$4801,"Draft"))</f>
        <v>0</v>
      </c>
      <c r="S184" s="19">
        <f>IF($A184="","",COUNTIFS([1]Products!$G$4:$G$4801,$A184,[1]Products!$L$4:$L$4801,"Yes",[1]Products!$K$4:$K$4801,"Package"))</f>
        <v>7</v>
      </c>
      <c r="T184" s="20" t="str" cm="1">
        <f t="array" ref="T184">IF($A184="","",_xlfn.IFS($Q184=0,"NO ACTIVE SKUs",AND($R184&gt;0,$S184&gt;0),"Draft &amp; Package",$R184&gt;0,"Draft only",TRUE,"Package only"))</f>
        <v>Package only</v>
      </c>
    </row>
    <row r="185" spans="1:20" x14ac:dyDescent="0.2">
      <c r="A185" s="9" t="str">
        <v>Monkey Family</v>
      </c>
      <c r="B185" s="10" t="str">
        <f>IF($A185="","",_xlfn.XLOOKUP($A185,'[1]Brand Family Territory (Enc)'!$A:$A,'[1]Brand Family Territory (Enc)'!$B:$B,"** NO TERRITORY SET **"))</f>
        <v>Bergen/Passaic/Hudson/Essex</v>
      </c>
      <c r="C185" s="11" t="str">
        <f>IF($A185="","",_xlfn.LET(_xlpm.t,MATCH($B185,'[1]Territory Definitions'!$B$5:$B$14,0),IF(ISNA(_xlpm.t),"NO TERRITORY",IF(INDEX('[1]Territory Definitions'!$D$5:$M$14,_xlpm.t,MATCH(C$4,'[1]Territory Definitions'!$D$4:$M$4,0))&lt;&gt;1,"NOT IN TERRITORY",IF(COUNTIFS('[1]Blackout Brand Fam Areas (Enc)'!$B$6:$B$998,$A185,'[1]Blackout Brand Fam Areas (Enc)'!$C$6:$C$998,C$4,'[1]Blackout Brand Fam Areas (Enc)'!$D$6:$D$998,"Inactive")&gt;0,"BLOCKED","CAN SELL")))))</f>
        <v>CAN SELL</v>
      </c>
      <c r="D185" s="11" t="str">
        <f>IF($A185="","",_xlfn.LET(_xlpm.t,MATCH($B185,'[1]Territory Definitions'!$B$5:$B$14,0),IF(ISNA(_xlpm.t),"NO TERRITORY",IF(INDEX('[1]Territory Definitions'!$D$5:$M$14,_xlpm.t,MATCH(D$4,'[1]Territory Definitions'!$D$4:$M$4,0))&lt;&gt;1,"NOT IN TERRITORY",IF(COUNTIFS('[1]Blackout Brand Fam Areas (Enc)'!$B$6:$B$998,$A185,'[1]Blackout Brand Fam Areas (Enc)'!$C$6:$C$998,D$4,'[1]Blackout Brand Fam Areas (Enc)'!$D$6:$D$998,"Inactive")&gt;0,"BLOCKED","CAN SELL")))))</f>
        <v>CAN SELL</v>
      </c>
      <c r="E185" s="11" t="str">
        <f>IF($A185="","",_xlfn.LET(_xlpm.t,MATCH($B185,'[1]Territory Definitions'!$B$5:$B$14,0),IF(ISNA(_xlpm.t),"NO TERRITORY",IF(INDEX('[1]Territory Definitions'!$D$5:$M$14,_xlpm.t,MATCH(E$4,'[1]Territory Definitions'!$D$4:$M$4,0))&lt;&gt;1,"NOT IN TERRITORY",IF(COUNTIFS('[1]Blackout Brand Fam Areas (Enc)'!$B$6:$B$998,$A185,'[1]Blackout Brand Fam Areas (Enc)'!$C$6:$C$998,E$4,'[1]Blackout Brand Fam Areas (Enc)'!$D$6:$D$998,"Inactive")&gt;0,"BLOCKED","CAN SELL")))))</f>
        <v>CAN SELL</v>
      </c>
      <c r="F185" s="11" t="str">
        <f>IF($A185="","",_xlfn.LET(_xlpm.t,MATCH($B185,'[1]Territory Definitions'!$B$5:$B$14,0),IF(ISNA(_xlpm.t),"NO TERRITORY",IF(INDEX('[1]Territory Definitions'!$D$5:$M$14,_xlpm.t,MATCH(F$4,'[1]Territory Definitions'!$D$4:$M$4,0))&lt;&gt;1,"NOT IN TERRITORY",IF(COUNTIFS('[1]Blackout Brand Fam Areas (Enc)'!$B$6:$B$998,$A185,'[1]Blackout Brand Fam Areas (Enc)'!$C$6:$C$998,F$4,'[1]Blackout Brand Fam Areas (Enc)'!$D$6:$D$998,"Inactive")&gt;0,"BLOCKED","CAN SELL")))))</f>
        <v>CAN SELL</v>
      </c>
      <c r="G185" s="11" t="str">
        <f>IF($A185="","",_xlfn.LET(_xlpm.t,MATCH($B185,'[1]Territory Definitions'!$B$5:$B$14,0),IF(ISNA(_xlpm.t),"NO TERRITORY",IF(INDEX('[1]Territory Definitions'!$D$5:$M$14,_xlpm.t,MATCH(G$4,'[1]Territory Definitions'!$D$4:$M$4,0))&lt;&gt;1,"NOT IN TERRITORY",IF(COUNTIFS('[1]Blackout Brand Fam Areas (Enc)'!$B$6:$B$998,$A185,'[1]Blackout Brand Fam Areas (Enc)'!$C$6:$C$998,G$4,'[1]Blackout Brand Fam Areas (Enc)'!$D$6:$D$998,"Inactive")&gt;0,"BLOCKED","CAN SELL")))))</f>
        <v>CAN SELL</v>
      </c>
      <c r="H185" s="11" t="str">
        <f>IF($A185="","",_xlfn.LET(_xlpm.t,MATCH($B185,'[1]Territory Definitions'!$B$5:$B$14,0),IF(ISNA(_xlpm.t),"NO TERRITORY",IF(INDEX('[1]Territory Definitions'!$D$5:$M$14,_xlpm.t,MATCH(H$4,'[1]Territory Definitions'!$D$4:$M$4,0))&lt;&gt;1,"NOT IN TERRITORY",IF(COUNTIFS('[1]Blackout Brand Fam Areas (Enc)'!$B$6:$B$998,$A185,'[1]Blackout Brand Fam Areas (Enc)'!$C$6:$C$998,H$4,'[1]Blackout Brand Fam Areas (Enc)'!$D$6:$D$998,"Inactive")&gt;0,"BLOCKED","CAN SELL")))))</f>
        <v>NOT IN TERRITORY</v>
      </c>
      <c r="I185" s="11" t="str">
        <f>IF($A185="","",_xlfn.LET(_xlpm.t,MATCH($B185,'[1]Territory Definitions'!$B$5:$B$14,0),IF(ISNA(_xlpm.t),"NO TERRITORY",IF(INDEX('[1]Territory Definitions'!$D$5:$M$14,_xlpm.t,MATCH(I$4,'[1]Territory Definitions'!$D$4:$M$4,0))&lt;&gt;1,"NOT IN TERRITORY",IF(COUNTIFS('[1]Blackout Brand Fam Areas (Enc)'!$B$6:$B$998,$A185,'[1]Blackout Brand Fam Areas (Enc)'!$C$6:$C$998,I$4,'[1]Blackout Brand Fam Areas (Enc)'!$D$6:$D$998,"Inactive")&gt;0,"BLOCKED","CAN SELL")))))</f>
        <v>NOT IN TERRITORY</v>
      </c>
      <c r="J185" s="11" t="str">
        <f>IF($A185="","",_xlfn.LET(_xlpm.t,MATCH($B185,'[1]Territory Definitions'!$B$5:$B$14,0),IF(ISNA(_xlpm.t),"NO TERRITORY",IF(INDEX('[1]Territory Definitions'!$D$5:$M$14,_xlpm.t,MATCH(J$4,'[1]Territory Definitions'!$D$4:$M$4,0))&lt;&gt;1,"NOT IN TERRITORY",IF(COUNTIFS('[1]Blackout Brand Fam Areas (Enc)'!$B$6:$B$998,$A185,'[1]Blackout Brand Fam Areas (Enc)'!$C$6:$C$998,J$4,'[1]Blackout Brand Fam Areas (Enc)'!$D$6:$D$998,"Inactive")&gt;0,"BLOCKED","CAN SELL")))))</f>
        <v>NOT IN TERRITORY</v>
      </c>
      <c r="K185" s="11" t="str">
        <f>IF($A185="","",_xlfn.LET(_xlpm.t,MATCH($B185,'[1]Territory Definitions'!$B$5:$B$14,0),IF(ISNA(_xlpm.t),"NO TERRITORY",IF(INDEX('[1]Territory Definitions'!$D$5:$M$14,_xlpm.t,MATCH(K$4,'[1]Territory Definitions'!$D$4:$M$4,0))&lt;&gt;1,"NOT IN TERRITORY",IF(COUNTIFS('[1]Blackout Brand Fam Areas (Enc)'!$B$6:$B$998,$A185,'[1]Blackout Brand Fam Areas (Enc)'!$C$6:$C$998,K$4,'[1]Blackout Brand Fam Areas (Enc)'!$D$6:$D$998,"Inactive")&gt;0,"BLOCKED","CAN SELL")))))</f>
        <v>NOT IN TERRITORY</v>
      </c>
      <c r="L185" s="11" t="str">
        <f>IF($A185="","",_xlfn.LET(_xlpm.t,MATCH($B185,'[1]Territory Definitions'!$B$5:$B$14,0),IF(ISNA(_xlpm.t),"NO TERRITORY",IF(INDEX('[1]Territory Definitions'!$D$5:$M$14,_xlpm.t,MATCH(L$4,'[1]Territory Definitions'!$D$4:$M$4,0))&lt;&gt;1,"NOT IN TERRITORY",IF(COUNTIFS('[1]Blackout Brand Fam Areas (Enc)'!$B$6:$B$998,$A185,'[1]Blackout Brand Fam Areas (Enc)'!$C$6:$C$998,L$4,'[1]Blackout Brand Fam Areas (Enc)'!$D$6:$D$998,"Inactive")&gt;0,"BLOCKED","CAN SELL")))))</f>
        <v>NOT IN TERRITORY</v>
      </c>
      <c r="M185" s="12">
        <f>IF($A185="","",COUNTIF($C185:$L185,"CAN SELL"))</f>
        <v>5</v>
      </c>
      <c r="N185" s="13" cm="1">
        <f t="array" ref="N185">IF($A185="","",SUMPRODUCT(($C185:$L185="CAN SELL")*$C$3:$L$3))</f>
        <v>1859</v>
      </c>
      <c r="O185" s="14" t="str">
        <f>IF($A185="","",IF(COUNTIF($A$5:$A$299,$A185)&gt;1,"DUPLICATE - two different territories assigned",IF($B185="** NO TERRITORY SET **","No territory on Brand Family Territory (Enc)","")))</f>
        <v/>
      </c>
      <c r="P185" s="18" t="str">
        <f>IF($A185="","",IFERROR(INDEX([1]Products!$H$4:$H$4801,MATCH($A185,[1]Products!$G$4:$G$4801,0)),"(no products)"))</f>
        <v>Victory Brewing Company</v>
      </c>
      <c r="Q185" s="19">
        <f>IF($A185="","",COUNTIFS([1]Products!$G$4:$G$4801,$A185,[1]Products!$L$4:$L$4801,"Yes"))</f>
        <v>20</v>
      </c>
      <c r="R185" s="19">
        <f>IF($A185="","",COUNTIFS([1]Products!$G$4:$G$4801,$A185,[1]Products!$L$4:$L$4801,"Yes",[1]Products!$K$4:$K$4801,"Draft"))</f>
        <v>6</v>
      </c>
      <c r="S185" s="19">
        <f>IF($A185="","",COUNTIFS([1]Products!$G$4:$G$4801,$A185,[1]Products!$L$4:$L$4801,"Yes",[1]Products!$K$4:$K$4801,"Package"))</f>
        <v>14</v>
      </c>
      <c r="T185" s="20" t="str" cm="1">
        <f t="array" ref="T185">IF($A185="","",_xlfn.IFS($Q185=0,"NO ACTIVE SKUs",AND($R185&gt;0,$S185&gt;0),"Draft &amp; Package",$R185&gt;0,"Draft only",TRUE,"Package only"))</f>
        <v>Draft &amp; Package</v>
      </c>
    </row>
    <row r="186" spans="1:20" x14ac:dyDescent="0.2">
      <c r="A186" s="9" t="str">
        <v>Montauk</v>
      </c>
      <c r="B186" s="10" t="str">
        <f>IF($A186="","",_xlfn.XLOOKUP($A186,'[1]Brand Family Territory (Enc)'!$A:$A,'[1]Brand Family Territory (Enc)'!$B:$B,"** NO TERRITORY SET **"))</f>
        <v>All Counties</v>
      </c>
      <c r="C186" s="11" t="str">
        <f>IF($A186="","",_xlfn.LET(_xlpm.t,MATCH($B186,'[1]Territory Definitions'!$B$5:$B$14,0),IF(ISNA(_xlpm.t),"NO TERRITORY",IF(INDEX('[1]Territory Definitions'!$D$5:$M$14,_xlpm.t,MATCH(C$4,'[1]Territory Definitions'!$D$4:$M$4,0))&lt;&gt;1,"NOT IN TERRITORY",IF(COUNTIFS('[1]Blackout Brand Fam Areas (Enc)'!$B$6:$B$998,$A186,'[1]Blackout Brand Fam Areas (Enc)'!$C$6:$C$998,C$4,'[1]Blackout Brand Fam Areas (Enc)'!$D$6:$D$998,"Inactive")&gt;0,"BLOCKED","CAN SELL")))))</f>
        <v>CAN SELL</v>
      </c>
      <c r="D186" s="11" t="str">
        <f>IF($A186="","",_xlfn.LET(_xlpm.t,MATCH($B186,'[1]Territory Definitions'!$B$5:$B$14,0),IF(ISNA(_xlpm.t),"NO TERRITORY",IF(INDEX('[1]Territory Definitions'!$D$5:$M$14,_xlpm.t,MATCH(D$4,'[1]Territory Definitions'!$D$4:$M$4,0))&lt;&gt;1,"NOT IN TERRITORY",IF(COUNTIFS('[1]Blackout Brand Fam Areas (Enc)'!$B$6:$B$998,$A186,'[1]Blackout Brand Fam Areas (Enc)'!$C$6:$C$998,D$4,'[1]Blackout Brand Fam Areas (Enc)'!$D$6:$D$998,"Inactive")&gt;0,"BLOCKED","CAN SELL")))))</f>
        <v>CAN SELL</v>
      </c>
      <c r="E186" s="11" t="str">
        <f>IF($A186="","",_xlfn.LET(_xlpm.t,MATCH($B186,'[1]Territory Definitions'!$B$5:$B$14,0),IF(ISNA(_xlpm.t),"NO TERRITORY",IF(INDEX('[1]Territory Definitions'!$D$5:$M$14,_xlpm.t,MATCH(E$4,'[1]Territory Definitions'!$D$4:$M$4,0))&lt;&gt;1,"NOT IN TERRITORY",IF(COUNTIFS('[1]Blackout Brand Fam Areas (Enc)'!$B$6:$B$998,$A186,'[1]Blackout Brand Fam Areas (Enc)'!$C$6:$C$998,E$4,'[1]Blackout Brand Fam Areas (Enc)'!$D$6:$D$998,"Inactive")&gt;0,"BLOCKED","CAN SELL")))))</f>
        <v>CAN SELL</v>
      </c>
      <c r="F186" s="11" t="str">
        <f>IF($A186="","",_xlfn.LET(_xlpm.t,MATCH($B186,'[1]Territory Definitions'!$B$5:$B$14,0),IF(ISNA(_xlpm.t),"NO TERRITORY",IF(INDEX('[1]Territory Definitions'!$D$5:$M$14,_xlpm.t,MATCH(F$4,'[1]Territory Definitions'!$D$4:$M$4,0))&lt;&gt;1,"NOT IN TERRITORY",IF(COUNTIFS('[1]Blackout Brand Fam Areas (Enc)'!$B$6:$B$998,$A186,'[1]Blackout Brand Fam Areas (Enc)'!$C$6:$C$998,F$4,'[1]Blackout Brand Fam Areas (Enc)'!$D$6:$D$998,"Inactive")&gt;0,"BLOCKED","CAN SELL")))))</f>
        <v>CAN SELL</v>
      </c>
      <c r="G186" s="11" t="str">
        <f>IF($A186="","",_xlfn.LET(_xlpm.t,MATCH($B186,'[1]Territory Definitions'!$B$5:$B$14,0),IF(ISNA(_xlpm.t),"NO TERRITORY",IF(INDEX('[1]Territory Definitions'!$D$5:$M$14,_xlpm.t,MATCH(G$4,'[1]Territory Definitions'!$D$4:$M$4,0))&lt;&gt;1,"NOT IN TERRITORY",IF(COUNTIFS('[1]Blackout Brand Fam Areas (Enc)'!$B$6:$B$998,$A186,'[1]Blackout Brand Fam Areas (Enc)'!$C$6:$C$998,G$4,'[1]Blackout Brand Fam Areas (Enc)'!$D$6:$D$998,"Inactive")&gt;0,"BLOCKED","CAN SELL")))))</f>
        <v>CAN SELL</v>
      </c>
      <c r="H186" s="11" t="str">
        <f>IF($A186="","",_xlfn.LET(_xlpm.t,MATCH($B186,'[1]Territory Definitions'!$B$5:$B$14,0),IF(ISNA(_xlpm.t),"NO TERRITORY",IF(INDEX('[1]Territory Definitions'!$D$5:$M$14,_xlpm.t,MATCH(H$4,'[1]Territory Definitions'!$D$4:$M$4,0))&lt;&gt;1,"NOT IN TERRITORY",IF(COUNTIFS('[1]Blackout Brand Fam Areas (Enc)'!$B$6:$B$998,$A186,'[1]Blackout Brand Fam Areas (Enc)'!$C$6:$C$998,H$4,'[1]Blackout Brand Fam Areas (Enc)'!$D$6:$D$998,"Inactive")&gt;0,"BLOCKED","CAN SELL")))))</f>
        <v>CAN SELL</v>
      </c>
      <c r="I186" s="11" t="str">
        <f>IF($A186="","",_xlfn.LET(_xlpm.t,MATCH($B186,'[1]Territory Definitions'!$B$5:$B$14,0),IF(ISNA(_xlpm.t),"NO TERRITORY",IF(INDEX('[1]Territory Definitions'!$D$5:$M$14,_xlpm.t,MATCH(I$4,'[1]Territory Definitions'!$D$4:$M$4,0))&lt;&gt;1,"NOT IN TERRITORY",IF(COUNTIFS('[1]Blackout Brand Fam Areas (Enc)'!$B$6:$B$998,$A186,'[1]Blackout Brand Fam Areas (Enc)'!$C$6:$C$998,I$4,'[1]Blackout Brand Fam Areas (Enc)'!$D$6:$D$998,"Inactive")&gt;0,"BLOCKED","CAN SELL")))))</f>
        <v>CAN SELL</v>
      </c>
      <c r="J186" s="11" t="str">
        <f>IF($A186="","",_xlfn.LET(_xlpm.t,MATCH($B186,'[1]Territory Definitions'!$B$5:$B$14,0),IF(ISNA(_xlpm.t),"NO TERRITORY",IF(INDEX('[1]Territory Definitions'!$D$5:$M$14,_xlpm.t,MATCH(J$4,'[1]Territory Definitions'!$D$4:$M$4,0))&lt;&gt;1,"NOT IN TERRITORY",IF(COUNTIFS('[1]Blackout Brand Fam Areas (Enc)'!$B$6:$B$998,$A186,'[1]Blackout Brand Fam Areas (Enc)'!$C$6:$C$998,J$4,'[1]Blackout Brand Fam Areas (Enc)'!$D$6:$D$998,"Inactive")&gt;0,"BLOCKED","CAN SELL")))))</f>
        <v>CAN SELL</v>
      </c>
      <c r="K186" s="11" t="str">
        <f>IF($A186="","",_xlfn.LET(_xlpm.t,MATCH($B186,'[1]Territory Definitions'!$B$5:$B$14,0),IF(ISNA(_xlpm.t),"NO TERRITORY",IF(INDEX('[1]Territory Definitions'!$D$5:$M$14,_xlpm.t,MATCH(K$4,'[1]Territory Definitions'!$D$4:$M$4,0))&lt;&gt;1,"NOT IN TERRITORY",IF(COUNTIFS('[1]Blackout Brand Fam Areas (Enc)'!$B$6:$B$998,$A186,'[1]Blackout Brand Fam Areas (Enc)'!$C$6:$C$998,K$4,'[1]Blackout Brand Fam Areas (Enc)'!$D$6:$D$998,"Inactive")&gt;0,"BLOCKED","CAN SELL")))))</f>
        <v>CAN SELL</v>
      </c>
      <c r="L186" s="11" t="str">
        <f>IF($A186="","",_xlfn.LET(_xlpm.t,MATCH($B186,'[1]Territory Definitions'!$B$5:$B$14,0),IF(ISNA(_xlpm.t),"NO TERRITORY",IF(INDEX('[1]Territory Definitions'!$D$5:$M$14,_xlpm.t,MATCH(L$4,'[1]Territory Definitions'!$D$4:$M$4,0))&lt;&gt;1,"NOT IN TERRITORY",IF(COUNTIFS('[1]Blackout Brand Fam Areas (Enc)'!$B$6:$B$998,$A186,'[1]Blackout Brand Fam Areas (Enc)'!$C$6:$C$998,L$4,'[1]Blackout Brand Fam Areas (Enc)'!$D$6:$D$998,"Inactive")&gt;0,"BLOCKED","CAN SELL")))))</f>
        <v>CAN SELL</v>
      </c>
      <c r="M186" s="12">
        <f>IF($A186="","",COUNTIF($C186:$L186,"CAN SELL"))</f>
        <v>10</v>
      </c>
      <c r="N186" s="13" cm="1">
        <f t="array" ref="N186">IF($A186="","",SUMPRODUCT(($C186:$L186="CAN SELL")*$C$3:$L$3))</f>
        <v>2306</v>
      </c>
      <c r="O186" s="14" t="str">
        <f>IF($A186="","",IF(COUNTIF($A$5:$A$299,$A186)&gt;1,"DUPLICATE - two different territories assigned",IF($B186="** NO TERRITORY SET **","No territory on Brand Family Territory (Enc)","")))</f>
        <v/>
      </c>
      <c r="P186" s="18" t="str">
        <f>IF($A186="","",IFERROR(INDEX([1]Products!$H$4:$H$4801,MATCH($A186,[1]Products!$G$4:$G$4801,0)),"(no products)"))</f>
        <v>Montauk Brewing Co</v>
      </c>
      <c r="Q186" s="19">
        <f>IF($A186="","",COUNTIFS([1]Products!$G$4:$G$4801,$A186,[1]Products!$L$4:$L$4801,"Yes"))</f>
        <v>37</v>
      </c>
      <c r="R186" s="19">
        <f>IF($A186="","",COUNTIFS([1]Products!$G$4:$G$4801,$A186,[1]Products!$L$4:$L$4801,"Yes",[1]Products!$K$4:$K$4801,"Draft"))</f>
        <v>14</v>
      </c>
      <c r="S186" s="19">
        <f>IF($A186="","",COUNTIFS([1]Products!$G$4:$G$4801,$A186,[1]Products!$L$4:$L$4801,"Yes",[1]Products!$K$4:$K$4801,"Package"))</f>
        <v>23</v>
      </c>
      <c r="T186" s="20" t="str" cm="1">
        <f t="array" ref="T186">IF($A186="","",_xlfn.IFS($Q186=0,"NO ACTIVE SKUs",AND($R186&gt;0,$S186&gt;0),"Draft &amp; Package",$R186&gt;0,"Draft only",TRUE,"Package only"))</f>
        <v>Draft &amp; Package</v>
      </c>
    </row>
    <row r="187" spans="1:20" x14ac:dyDescent="0.2">
      <c r="A187" s="9" t="str">
        <v>Monte Xanic</v>
      </c>
      <c r="B187" s="10" t="str">
        <f>IF($A187="","",_xlfn.XLOOKUP($A187,'[1]Brand Family Territory (Enc)'!$A:$A,'[1]Brand Family Territory (Enc)'!$B:$B,"** NO TERRITORY SET **"))</f>
        <v>All Counties</v>
      </c>
      <c r="C187" s="11" t="str">
        <f>IF($A187="","",_xlfn.LET(_xlpm.t,MATCH($B187,'[1]Territory Definitions'!$B$5:$B$14,0),IF(ISNA(_xlpm.t),"NO TERRITORY",IF(INDEX('[1]Territory Definitions'!$D$5:$M$14,_xlpm.t,MATCH(C$4,'[1]Territory Definitions'!$D$4:$M$4,0))&lt;&gt;1,"NOT IN TERRITORY",IF(COUNTIFS('[1]Blackout Brand Fam Areas (Enc)'!$B$6:$B$998,$A187,'[1]Blackout Brand Fam Areas (Enc)'!$C$6:$C$998,C$4,'[1]Blackout Brand Fam Areas (Enc)'!$D$6:$D$998,"Inactive")&gt;0,"BLOCKED","CAN SELL")))))</f>
        <v>CAN SELL</v>
      </c>
      <c r="D187" s="11" t="str">
        <f>IF($A187="","",_xlfn.LET(_xlpm.t,MATCH($B187,'[1]Territory Definitions'!$B$5:$B$14,0),IF(ISNA(_xlpm.t),"NO TERRITORY",IF(INDEX('[1]Territory Definitions'!$D$5:$M$14,_xlpm.t,MATCH(D$4,'[1]Territory Definitions'!$D$4:$M$4,0))&lt;&gt;1,"NOT IN TERRITORY",IF(COUNTIFS('[1]Blackout Brand Fam Areas (Enc)'!$B$6:$B$998,$A187,'[1]Blackout Brand Fam Areas (Enc)'!$C$6:$C$998,D$4,'[1]Blackout Brand Fam Areas (Enc)'!$D$6:$D$998,"Inactive")&gt;0,"BLOCKED","CAN SELL")))))</f>
        <v>CAN SELL</v>
      </c>
      <c r="E187" s="11" t="str">
        <f>IF($A187="","",_xlfn.LET(_xlpm.t,MATCH($B187,'[1]Territory Definitions'!$B$5:$B$14,0),IF(ISNA(_xlpm.t),"NO TERRITORY",IF(INDEX('[1]Territory Definitions'!$D$5:$M$14,_xlpm.t,MATCH(E$4,'[1]Territory Definitions'!$D$4:$M$4,0))&lt;&gt;1,"NOT IN TERRITORY",IF(COUNTIFS('[1]Blackout Brand Fam Areas (Enc)'!$B$6:$B$998,$A187,'[1]Blackout Brand Fam Areas (Enc)'!$C$6:$C$998,E$4,'[1]Blackout Brand Fam Areas (Enc)'!$D$6:$D$998,"Inactive")&gt;0,"BLOCKED","CAN SELL")))))</f>
        <v>CAN SELL</v>
      </c>
      <c r="F187" s="11" t="str">
        <f>IF($A187="","",_xlfn.LET(_xlpm.t,MATCH($B187,'[1]Territory Definitions'!$B$5:$B$14,0),IF(ISNA(_xlpm.t),"NO TERRITORY",IF(INDEX('[1]Territory Definitions'!$D$5:$M$14,_xlpm.t,MATCH(F$4,'[1]Territory Definitions'!$D$4:$M$4,0))&lt;&gt;1,"NOT IN TERRITORY",IF(COUNTIFS('[1]Blackout Brand Fam Areas (Enc)'!$B$6:$B$998,$A187,'[1]Blackout Brand Fam Areas (Enc)'!$C$6:$C$998,F$4,'[1]Blackout Brand Fam Areas (Enc)'!$D$6:$D$998,"Inactive")&gt;0,"BLOCKED","CAN SELL")))))</f>
        <v>CAN SELL</v>
      </c>
      <c r="G187" s="11" t="str">
        <f>IF($A187="","",_xlfn.LET(_xlpm.t,MATCH($B187,'[1]Territory Definitions'!$B$5:$B$14,0),IF(ISNA(_xlpm.t),"NO TERRITORY",IF(INDEX('[1]Territory Definitions'!$D$5:$M$14,_xlpm.t,MATCH(G$4,'[1]Territory Definitions'!$D$4:$M$4,0))&lt;&gt;1,"NOT IN TERRITORY",IF(COUNTIFS('[1]Blackout Brand Fam Areas (Enc)'!$B$6:$B$998,$A187,'[1]Blackout Brand Fam Areas (Enc)'!$C$6:$C$998,G$4,'[1]Blackout Brand Fam Areas (Enc)'!$D$6:$D$998,"Inactive")&gt;0,"BLOCKED","CAN SELL")))))</f>
        <v>CAN SELL</v>
      </c>
      <c r="H187" s="11" t="str">
        <f>IF($A187="","",_xlfn.LET(_xlpm.t,MATCH($B187,'[1]Territory Definitions'!$B$5:$B$14,0),IF(ISNA(_xlpm.t),"NO TERRITORY",IF(INDEX('[1]Territory Definitions'!$D$5:$M$14,_xlpm.t,MATCH(H$4,'[1]Territory Definitions'!$D$4:$M$4,0))&lt;&gt;1,"NOT IN TERRITORY",IF(COUNTIFS('[1]Blackout Brand Fam Areas (Enc)'!$B$6:$B$998,$A187,'[1]Blackout Brand Fam Areas (Enc)'!$C$6:$C$998,H$4,'[1]Blackout Brand Fam Areas (Enc)'!$D$6:$D$998,"Inactive")&gt;0,"BLOCKED","CAN SELL")))))</f>
        <v>CAN SELL</v>
      </c>
      <c r="I187" s="11" t="str">
        <f>IF($A187="","",_xlfn.LET(_xlpm.t,MATCH($B187,'[1]Territory Definitions'!$B$5:$B$14,0),IF(ISNA(_xlpm.t),"NO TERRITORY",IF(INDEX('[1]Territory Definitions'!$D$5:$M$14,_xlpm.t,MATCH(I$4,'[1]Territory Definitions'!$D$4:$M$4,0))&lt;&gt;1,"NOT IN TERRITORY",IF(COUNTIFS('[1]Blackout Brand Fam Areas (Enc)'!$B$6:$B$998,$A187,'[1]Blackout Brand Fam Areas (Enc)'!$C$6:$C$998,I$4,'[1]Blackout Brand Fam Areas (Enc)'!$D$6:$D$998,"Inactive")&gt;0,"BLOCKED","CAN SELL")))))</f>
        <v>CAN SELL</v>
      </c>
      <c r="J187" s="11" t="str">
        <f>IF($A187="","",_xlfn.LET(_xlpm.t,MATCH($B187,'[1]Territory Definitions'!$B$5:$B$14,0),IF(ISNA(_xlpm.t),"NO TERRITORY",IF(INDEX('[1]Territory Definitions'!$D$5:$M$14,_xlpm.t,MATCH(J$4,'[1]Territory Definitions'!$D$4:$M$4,0))&lt;&gt;1,"NOT IN TERRITORY",IF(COUNTIFS('[1]Blackout Brand Fam Areas (Enc)'!$B$6:$B$998,$A187,'[1]Blackout Brand Fam Areas (Enc)'!$C$6:$C$998,J$4,'[1]Blackout Brand Fam Areas (Enc)'!$D$6:$D$998,"Inactive")&gt;0,"BLOCKED","CAN SELL")))))</f>
        <v>CAN SELL</v>
      </c>
      <c r="K187" s="11" t="str">
        <f>IF($A187="","",_xlfn.LET(_xlpm.t,MATCH($B187,'[1]Territory Definitions'!$B$5:$B$14,0),IF(ISNA(_xlpm.t),"NO TERRITORY",IF(INDEX('[1]Territory Definitions'!$D$5:$M$14,_xlpm.t,MATCH(K$4,'[1]Territory Definitions'!$D$4:$M$4,0))&lt;&gt;1,"NOT IN TERRITORY",IF(COUNTIFS('[1]Blackout Brand Fam Areas (Enc)'!$B$6:$B$998,$A187,'[1]Blackout Brand Fam Areas (Enc)'!$C$6:$C$998,K$4,'[1]Blackout Brand Fam Areas (Enc)'!$D$6:$D$998,"Inactive")&gt;0,"BLOCKED","CAN SELL")))))</f>
        <v>CAN SELL</v>
      </c>
      <c r="L187" s="11" t="str">
        <f>IF($A187="","",_xlfn.LET(_xlpm.t,MATCH($B187,'[1]Territory Definitions'!$B$5:$B$14,0),IF(ISNA(_xlpm.t),"NO TERRITORY",IF(INDEX('[1]Territory Definitions'!$D$5:$M$14,_xlpm.t,MATCH(L$4,'[1]Territory Definitions'!$D$4:$M$4,0))&lt;&gt;1,"NOT IN TERRITORY",IF(COUNTIFS('[1]Blackout Brand Fam Areas (Enc)'!$B$6:$B$998,$A187,'[1]Blackout Brand Fam Areas (Enc)'!$C$6:$C$998,L$4,'[1]Blackout Brand Fam Areas (Enc)'!$D$6:$D$998,"Inactive")&gt;0,"BLOCKED","CAN SELL")))))</f>
        <v>CAN SELL</v>
      </c>
      <c r="M187" s="12">
        <f>IF($A187="","",COUNTIF($C187:$L187,"CAN SELL"))</f>
        <v>10</v>
      </c>
      <c r="N187" s="13" cm="1">
        <f t="array" ref="N187">IF($A187="","",SUMPRODUCT(($C187:$L187="CAN SELL")*$C$3:$L$3))</f>
        <v>2306</v>
      </c>
      <c r="O187" s="14" t="str">
        <f>IF($A187="","",IF(COUNTIF($A$5:$A$299,$A187)&gt;1,"DUPLICATE - two different territories assigned",IF($B187="** NO TERRITORY SET **","No territory on Brand Family Territory (Enc)","")))</f>
        <v/>
      </c>
      <c r="P187" s="18" t="str">
        <f>IF($A187="","",IFERROR(INDEX([1]Products!$H$4:$H$4801,MATCH($A187,[1]Products!$G$4:$G$4801,0)),"(no products)"))</f>
        <v>Primos Imports LLC</v>
      </c>
      <c r="Q187" s="19">
        <f>IF($A187="","",COUNTIFS([1]Products!$G$4:$G$4801,$A187,[1]Products!$L$4:$L$4801,"Yes"))</f>
        <v>5</v>
      </c>
      <c r="R187" s="19">
        <f>IF($A187="","",COUNTIFS([1]Products!$G$4:$G$4801,$A187,[1]Products!$L$4:$L$4801,"Yes",[1]Products!$K$4:$K$4801,"Draft"))</f>
        <v>0</v>
      </c>
      <c r="S187" s="19">
        <f>IF($A187="","",COUNTIFS([1]Products!$G$4:$G$4801,$A187,[1]Products!$L$4:$L$4801,"Yes",[1]Products!$K$4:$K$4801,"Package"))</f>
        <v>0</v>
      </c>
      <c r="T187" s="20" t="str" cm="1">
        <f t="array" ref="T187">IF($A187="","",_xlfn.IFS($Q187=0,"NO ACTIVE SKUs",AND($R187&gt;0,$S187&gt;0),"Draft &amp; Package",$R187&gt;0,"Draft only",TRUE,"Package only"))</f>
        <v>Package only</v>
      </c>
    </row>
    <row r="188" spans="1:20" x14ac:dyDescent="0.2">
      <c r="A188" s="9" t="str">
        <v>Moosehead</v>
      </c>
      <c r="B188" s="10" t="str">
        <f>IF($A188="","",_xlfn.XLOOKUP($A188,'[1]Brand Family Territory (Enc)'!$A:$A,'[1]Brand Family Territory (Enc)'!$B:$B,"** NO TERRITORY SET **"))</f>
        <v>Core Market</v>
      </c>
      <c r="C188" s="11" t="str">
        <f>IF($A188="","",_xlfn.LET(_xlpm.t,MATCH($B188,'[1]Territory Definitions'!$B$5:$B$14,0),IF(ISNA(_xlpm.t),"NO TERRITORY",IF(INDEX('[1]Territory Definitions'!$D$5:$M$14,_xlpm.t,MATCH(C$4,'[1]Territory Definitions'!$D$4:$M$4,0))&lt;&gt;1,"NOT IN TERRITORY",IF(COUNTIFS('[1]Blackout Brand Fam Areas (Enc)'!$B$6:$B$998,$A188,'[1]Blackout Brand Fam Areas (Enc)'!$C$6:$C$998,C$4,'[1]Blackout Brand Fam Areas (Enc)'!$D$6:$D$998,"Inactive")&gt;0,"BLOCKED","CAN SELL")))))</f>
        <v>CAN SELL</v>
      </c>
      <c r="D188" s="11" t="str">
        <f>IF($A188="","",_xlfn.LET(_xlpm.t,MATCH($B188,'[1]Territory Definitions'!$B$5:$B$14,0),IF(ISNA(_xlpm.t),"NO TERRITORY",IF(INDEX('[1]Territory Definitions'!$D$5:$M$14,_xlpm.t,MATCH(D$4,'[1]Territory Definitions'!$D$4:$M$4,0))&lt;&gt;1,"NOT IN TERRITORY",IF(COUNTIFS('[1]Blackout Brand Fam Areas (Enc)'!$B$6:$B$998,$A188,'[1]Blackout Brand Fam Areas (Enc)'!$C$6:$C$998,D$4,'[1]Blackout Brand Fam Areas (Enc)'!$D$6:$D$998,"Inactive")&gt;0,"BLOCKED","CAN SELL")))))</f>
        <v>CAN SELL</v>
      </c>
      <c r="E188" s="11" t="str">
        <f>IF($A188="","",_xlfn.LET(_xlpm.t,MATCH($B188,'[1]Territory Definitions'!$B$5:$B$14,0),IF(ISNA(_xlpm.t),"NO TERRITORY",IF(INDEX('[1]Territory Definitions'!$D$5:$M$14,_xlpm.t,MATCH(E$4,'[1]Territory Definitions'!$D$4:$M$4,0))&lt;&gt;1,"NOT IN TERRITORY",IF(COUNTIFS('[1]Blackout Brand Fam Areas (Enc)'!$B$6:$B$998,$A188,'[1]Blackout Brand Fam Areas (Enc)'!$C$6:$C$998,E$4,'[1]Blackout Brand Fam Areas (Enc)'!$D$6:$D$998,"Inactive")&gt;0,"BLOCKED","CAN SELL")))))</f>
        <v>CAN SELL</v>
      </c>
      <c r="F188" s="11" t="str">
        <f>IF($A188="","",_xlfn.LET(_xlpm.t,MATCH($B188,'[1]Territory Definitions'!$B$5:$B$14,0),IF(ISNA(_xlpm.t),"NO TERRITORY",IF(INDEX('[1]Territory Definitions'!$D$5:$M$14,_xlpm.t,MATCH(F$4,'[1]Territory Definitions'!$D$4:$M$4,0))&lt;&gt;1,"NOT IN TERRITORY",IF(COUNTIFS('[1]Blackout Brand Fam Areas (Enc)'!$B$6:$B$998,$A188,'[1]Blackout Brand Fam Areas (Enc)'!$C$6:$C$998,F$4,'[1]Blackout Brand Fam Areas (Enc)'!$D$6:$D$998,"Inactive")&gt;0,"BLOCKED","CAN SELL")))))</f>
        <v>NOT IN TERRITORY</v>
      </c>
      <c r="G188" s="11" t="str">
        <f>IF($A188="","",_xlfn.LET(_xlpm.t,MATCH($B188,'[1]Territory Definitions'!$B$5:$B$14,0),IF(ISNA(_xlpm.t),"NO TERRITORY",IF(INDEX('[1]Territory Definitions'!$D$5:$M$14,_xlpm.t,MATCH(G$4,'[1]Territory Definitions'!$D$4:$M$4,0))&lt;&gt;1,"NOT IN TERRITORY",IF(COUNTIFS('[1]Blackout Brand Fam Areas (Enc)'!$B$6:$B$998,$A188,'[1]Blackout Brand Fam Areas (Enc)'!$C$6:$C$998,G$4,'[1]Blackout Brand Fam Areas (Enc)'!$D$6:$D$998,"Inactive")&gt;0,"BLOCKED","CAN SELL")))))</f>
        <v>NOT IN TERRITORY</v>
      </c>
      <c r="H188" s="11" t="str">
        <f>IF($A188="","",_xlfn.LET(_xlpm.t,MATCH($B188,'[1]Territory Definitions'!$B$5:$B$14,0),IF(ISNA(_xlpm.t),"NO TERRITORY",IF(INDEX('[1]Territory Definitions'!$D$5:$M$14,_xlpm.t,MATCH(H$4,'[1]Territory Definitions'!$D$4:$M$4,0))&lt;&gt;1,"NOT IN TERRITORY",IF(COUNTIFS('[1]Blackout Brand Fam Areas (Enc)'!$B$6:$B$998,$A188,'[1]Blackout Brand Fam Areas (Enc)'!$C$6:$C$998,H$4,'[1]Blackout Brand Fam Areas (Enc)'!$D$6:$D$998,"Inactive")&gt;0,"BLOCKED","CAN SELL")))))</f>
        <v>NOT IN TERRITORY</v>
      </c>
      <c r="I188" s="11" t="str">
        <f>IF($A188="","",_xlfn.LET(_xlpm.t,MATCH($B188,'[1]Territory Definitions'!$B$5:$B$14,0),IF(ISNA(_xlpm.t),"NO TERRITORY",IF(INDEX('[1]Territory Definitions'!$D$5:$M$14,_xlpm.t,MATCH(I$4,'[1]Territory Definitions'!$D$4:$M$4,0))&lt;&gt;1,"NOT IN TERRITORY",IF(COUNTIFS('[1]Blackout Brand Fam Areas (Enc)'!$B$6:$B$998,$A188,'[1]Blackout Brand Fam Areas (Enc)'!$C$6:$C$998,I$4,'[1]Blackout Brand Fam Areas (Enc)'!$D$6:$D$998,"Inactive")&gt;0,"BLOCKED","CAN SELL")))))</f>
        <v>CAN SELL</v>
      </c>
      <c r="J188" s="11" t="str">
        <f>IF($A188="","",_xlfn.LET(_xlpm.t,MATCH($B188,'[1]Territory Definitions'!$B$5:$B$14,0),IF(ISNA(_xlpm.t),"NO TERRITORY",IF(INDEX('[1]Territory Definitions'!$D$5:$M$14,_xlpm.t,MATCH(J$4,'[1]Territory Definitions'!$D$4:$M$4,0))&lt;&gt;1,"NOT IN TERRITORY",IF(COUNTIFS('[1]Blackout Brand Fam Areas (Enc)'!$B$6:$B$998,$A188,'[1]Blackout Brand Fam Areas (Enc)'!$C$6:$C$998,J$4,'[1]Blackout Brand Fam Areas (Enc)'!$D$6:$D$998,"Inactive")&gt;0,"BLOCKED","CAN SELL")))))</f>
        <v>CAN SELL</v>
      </c>
      <c r="K188" s="11" t="str">
        <f>IF($A188="","",_xlfn.LET(_xlpm.t,MATCH($B188,'[1]Territory Definitions'!$B$5:$B$14,0),IF(ISNA(_xlpm.t),"NO TERRITORY",IF(INDEX('[1]Territory Definitions'!$D$5:$M$14,_xlpm.t,MATCH(K$4,'[1]Territory Definitions'!$D$4:$M$4,0))&lt;&gt;1,"NOT IN TERRITORY",IF(COUNTIFS('[1]Blackout Brand Fam Areas (Enc)'!$B$6:$B$998,$A188,'[1]Blackout Brand Fam Areas (Enc)'!$C$6:$C$998,K$4,'[1]Blackout Brand Fam Areas (Enc)'!$D$6:$D$998,"Inactive")&gt;0,"BLOCKED","CAN SELL")))))</f>
        <v>NOT IN TERRITORY</v>
      </c>
      <c r="L188" s="11" t="str">
        <f>IF($A188="","",_xlfn.LET(_xlpm.t,MATCH($B188,'[1]Territory Definitions'!$B$5:$B$14,0),IF(ISNA(_xlpm.t),"NO TERRITORY",IF(INDEX('[1]Territory Definitions'!$D$5:$M$14,_xlpm.t,MATCH(L$4,'[1]Territory Definitions'!$D$4:$M$4,0))&lt;&gt;1,"NOT IN TERRITORY",IF(COUNTIFS('[1]Blackout Brand Fam Areas (Enc)'!$B$6:$B$998,$A188,'[1]Blackout Brand Fam Areas (Enc)'!$C$6:$C$998,L$4,'[1]Blackout Brand Fam Areas (Enc)'!$D$6:$D$998,"Inactive")&gt;0,"BLOCKED","CAN SELL")))))</f>
        <v>CAN SELL</v>
      </c>
      <c r="M188" s="12">
        <f>IF($A188="","",COUNTIF($C188:$L188,"CAN SELL"))</f>
        <v>6</v>
      </c>
      <c r="N188" s="13" cm="1">
        <f t="array" ref="N188">IF($A188="","",SUMPRODUCT(($C188:$L188="CAN SELL")*$C$3:$L$3))</f>
        <v>1596</v>
      </c>
      <c r="O188" s="14" t="str">
        <f>IF($A188="","",IF(COUNTIF($A$5:$A$299,$A188)&gt;1,"DUPLICATE - two different territories assigned",IF($B188="** NO TERRITORY SET **","No territory on Brand Family Territory (Enc)","")))</f>
        <v/>
      </c>
      <c r="P188" s="18" t="str">
        <f>IF($A188="","",IFERROR(INDEX([1]Products!$H$4:$H$4801,MATCH($A188,[1]Products!$G$4:$G$4801,0)),"(no products)"))</f>
        <v>US Beverage</v>
      </c>
      <c r="Q188" s="19">
        <f>IF($A188="","",COUNTIFS([1]Products!$G$4:$G$4801,$A188,[1]Products!$L$4:$L$4801,"Yes"))</f>
        <v>2</v>
      </c>
      <c r="R188" s="19">
        <f>IF($A188="","",COUNTIFS([1]Products!$G$4:$G$4801,$A188,[1]Products!$L$4:$L$4801,"Yes",[1]Products!$K$4:$K$4801,"Draft"))</f>
        <v>0</v>
      </c>
      <c r="S188" s="19">
        <f>IF($A188="","",COUNTIFS([1]Products!$G$4:$G$4801,$A188,[1]Products!$L$4:$L$4801,"Yes",[1]Products!$K$4:$K$4801,"Package"))</f>
        <v>2</v>
      </c>
      <c r="T188" s="20" t="str" cm="1">
        <f t="array" ref="T188">IF($A188="","",_xlfn.IFS($Q188=0,"NO ACTIVE SKUs",AND($R188&gt;0,$S188&gt;0),"Draft &amp; Package",$R188&gt;0,"Draft only",TRUE,"Package only"))</f>
        <v>Package only</v>
      </c>
    </row>
    <row r="189" spans="1:20" x14ac:dyDescent="0.2">
      <c r="A189" s="9" t="str">
        <v>Murphy's</v>
      </c>
      <c r="B189" s="10" t="str">
        <f>IF($A189="","",_xlfn.XLOOKUP($A189,'[1]Brand Family Territory (Enc)'!$A:$A,'[1]Brand Family Territory (Enc)'!$B:$B,"** NO TERRITORY SET **"))</f>
        <v>Core + Morris Communities</v>
      </c>
      <c r="C189" s="11" t="str">
        <f>IF($A189="","",_xlfn.LET(_xlpm.t,MATCH($B189,'[1]Territory Definitions'!$B$5:$B$14,0),IF(ISNA(_xlpm.t),"NO TERRITORY",IF(INDEX('[1]Territory Definitions'!$D$5:$M$14,_xlpm.t,MATCH(C$4,'[1]Territory Definitions'!$D$4:$M$4,0))&lt;&gt;1,"NOT IN TERRITORY",IF(COUNTIFS('[1]Blackout Brand Fam Areas (Enc)'!$B$6:$B$998,$A189,'[1]Blackout Brand Fam Areas (Enc)'!$C$6:$C$998,C$4,'[1]Blackout Brand Fam Areas (Enc)'!$D$6:$D$998,"Inactive")&gt;0,"BLOCKED","CAN SELL")))))</f>
        <v>CAN SELL</v>
      </c>
      <c r="D189" s="11" t="str">
        <f>IF($A189="","",_xlfn.LET(_xlpm.t,MATCH($B189,'[1]Territory Definitions'!$B$5:$B$14,0),IF(ISNA(_xlpm.t),"NO TERRITORY",IF(INDEX('[1]Territory Definitions'!$D$5:$M$14,_xlpm.t,MATCH(D$4,'[1]Territory Definitions'!$D$4:$M$4,0))&lt;&gt;1,"NOT IN TERRITORY",IF(COUNTIFS('[1]Blackout Brand Fam Areas (Enc)'!$B$6:$B$998,$A189,'[1]Blackout Brand Fam Areas (Enc)'!$C$6:$C$998,D$4,'[1]Blackout Brand Fam Areas (Enc)'!$D$6:$D$998,"Inactive")&gt;0,"BLOCKED","CAN SELL")))))</f>
        <v>CAN SELL</v>
      </c>
      <c r="E189" s="11" t="str">
        <f>IF($A189="","",_xlfn.LET(_xlpm.t,MATCH($B189,'[1]Territory Definitions'!$B$5:$B$14,0),IF(ISNA(_xlpm.t),"NO TERRITORY",IF(INDEX('[1]Territory Definitions'!$D$5:$M$14,_xlpm.t,MATCH(E$4,'[1]Territory Definitions'!$D$4:$M$4,0))&lt;&gt;1,"NOT IN TERRITORY",IF(COUNTIFS('[1]Blackout Brand Fam Areas (Enc)'!$B$6:$B$998,$A189,'[1]Blackout Brand Fam Areas (Enc)'!$C$6:$C$998,E$4,'[1]Blackout Brand Fam Areas (Enc)'!$D$6:$D$998,"Inactive")&gt;0,"BLOCKED","CAN SELL")))))</f>
        <v>CAN SELL</v>
      </c>
      <c r="F189" s="11" t="str">
        <f>IF($A189="","",_xlfn.LET(_xlpm.t,MATCH($B189,'[1]Territory Definitions'!$B$5:$B$14,0),IF(ISNA(_xlpm.t),"NO TERRITORY",IF(INDEX('[1]Territory Definitions'!$D$5:$M$14,_xlpm.t,MATCH(F$4,'[1]Territory Definitions'!$D$4:$M$4,0))&lt;&gt;1,"NOT IN TERRITORY",IF(COUNTIFS('[1]Blackout Brand Fam Areas (Enc)'!$B$6:$B$998,$A189,'[1]Blackout Brand Fam Areas (Enc)'!$C$6:$C$998,F$4,'[1]Blackout Brand Fam Areas (Enc)'!$D$6:$D$998,"Inactive")&gt;0,"BLOCKED","CAN SELL")))))</f>
        <v>NOT IN TERRITORY</v>
      </c>
      <c r="G189" s="11" t="str">
        <f>IF($A189="","",_xlfn.LET(_xlpm.t,MATCH($B189,'[1]Territory Definitions'!$B$5:$B$14,0),IF(ISNA(_xlpm.t),"NO TERRITORY",IF(INDEX('[1]Territory Definitions'!$D$5:$M$14,_xlpm.t,MATCH(G$4,'[1]Territory Definitions'!$D$4:$M$4,0))&lt;&gt;1,"NOT IN TERRITORY",IF(COUNTIFS('[1]Blackout Brand Fam Areas (Enc)'!$B$6:$B$998,$A189,'[1]Blackout Brand Fam Areas (Enc)'!$C$6:$C$998,G$4,'[1]Blackout Brand Fam Areas (Enc)'!$D$6:$D$998,"Inactive")&gt;0,"BLOCKED","CAN SELL")))))</f>
        <v>NOT IN TERRITORY</v>
      </c>
      <c r="H189" s="11" t="str">
        <f>IF($A189="","",_xlfn.LET(_xlpm.t,MATCH($B189,'[1]Territory Definitions'!$B$5:$B$14,0),IF(ISNA(_xlpm.t),"NO TERRITORY",IF(INDEX('[1]Territory Definitions'!$D$5:$M$14,_xlpm.t,MATCH(H$4,'[1]Territory Definitions'!$D$4:$M$4,0))&lt;&gt;1,"NOT IN TERRITORY",IF(COUNTIFS('[1]Blackout Brand Fam Areas (Enc)'!$B$6:$B$998,$A189,'[1]Blackout Brand Fam Areas (Enc)'!$C$6:$C$998,H$4,'[1]Blackout Brand Fam Areas (Enc)'!$D$6:$D$998,"Inactive")&gt;0,"BLOCKED","CAN SELL")))))</f>
        <v>NOT IN TERRITORY</v>
      </c>
      <c r="I189" s="11" t="str">
        <f>IF($A189="","",_xlfn.LET(_xlpm.t,MATCH($B189,'[1]Territory Definitions'!$B$5:$B$14,0),IF(ISNA(_xlpm.t),"NO TERRITORY",IF(INDEX('[1]Territory Definitions'!$D$5:$M$14,_xlpm.t,MATCH(I$4,'[1]Territory Definitions'!$D$4:$M$4,0))&lt;&gt;1,"NOT IN TERRITORY",IF(COUNTIFS('[1]Blackout Brand Fam Areas (Enc)'!$B$6:$B$998,$A189,'[1]Blackout Brand Fam Areas (Enc)'!$C$6:$C$998,I$4,'[1]Blackout Brand Fam Areas (Enc)'!$D$6:$D$998,"Inactive")&gt;0,"BLOCKED","CAN SELL")))))</f>
        <v>NOT IN TERRITORY</v>
      </c>
      <c r="J189" s="11" t="str">
        <f>IF($A189="","",_xlfn.LET(_xlpm.t,MATCH($B189,'[1]Territory Definitions'!$B$5:$B$14,0),IF(ISNA(_xlpm.t),"NO TERRITORY",IF(INDEX('[1]Territory Definitions'!$D$5:$M$14,_xlpm.t,MATCH(J$4,'[1]Territory Definitions'!$D$4:$M$4,0))&lt;&gt;1,"NOT IN TERRITORY",IF(COUNTIFS('[1]Blackout Brand Fam Areas (Enc)'!$B$6:$B$998,$A189,'[1]Blackout Brand Fam Areas (Enc)'!$C$6:$C$998,J$4,'[1]Blackout Brand Fam Areas (Enc)'!$D$6:$D$998,"Inactive")&gt;0,"BLOCKED","CAN SELL")))))</f>
        <v>BLOCKED</v>
      </c>
      <c r="K189" s="11" t="str">
        <f>IF($A189="","",_xlfn.LET(_xlpm.t,MATCH($B189,'[1]Territory Definitions'!$B$5:$B$14,0),IF(ISNA(_xlpm.t),"NO TERRITORY",IF(INDEX('[1]Territory Definitions'!$D$5:$M$14,_xlpm.t,MATCH(K$4,'[1]Territory Definitions'!$D$4:$M$4,0))&lt;&gt;1,"NOT IN TERRITORY",IF(COUNTIFS('[1]Blackout Brand Fam Areas (Enc)'!$B$6:$B$998,$A189,'[1]Blackout Brand Fam Areas (Enc)'!$C$6:$C$998,K$4,'[1]Blackout Brand Fam Areas (Enc)'!$D$6:$D$998,"Inactive")&gt;0,"BLOCKED","CAN SELL")))))</f>
        <v>NOT IN TERRITORY</v>
      </c>
      <c r="L189" s="11" t="str">
        <f>IF($A189="","",_xlfn.LET(_xlpm.t,MATCH($B189,'[1]Territory Definitions'!$B$5:$B$14,0),IF(ISNA(_xlpm.t),"NO TERRITORY",IF(INDEX('[1]Territory Definitions'!$D$5:$M$14,_xlpm.t,MATCH(L$4,'[1]Territory Definitions'!$D$4:$M$4,0))&lt;&gt;1,"NOT IN TERRITORY",IF(COUNTIFS('[1]Blackout Brand Fam Areas (Enc)'!$B$6:$B$998,$A189,'[1]Blackout Brand Fam Areas (Enc)'!$C$6:$C$998,L$4,'[1]Blackout Brand Fam Areas (Enc)'!$D$6:$D$998,"Inactive")&gt;0,"BLOCKED","CAN SELL")))))</f>
        <v>CAN SELL</v>
      </c>
      <c r="M189" s="12">
        <f>IF($A189="","",COUNTIF($C189:$L189,"CAN SELL"))</f>
        <v>4</v>
      </c>
      <c r="N189" s="13" cm="1">
        <f t="array" ref="N189">IF($A189="","",SUMPRODUCT(($C189:$L189="CAN SELL")*$C$3:$L$3))</f>
        <v>1318</v>
      </c>
      <c r="O189" s="14" t="str">
        <f>IF($A189="","",IF(COUNTIF($A$5:$A$299,$A189)&gt;1,"DUPLICATE - two different territories assigned",IF($B189="** NO TERRITORY SET **","No territory on Brand Family Territory (Enc)","")))</f>
        <v/>
      </c>
      <c r="P189" s="18" t="str">
        <f>IF($A189="","",IFERROR(INDEX([1]Products!$H$4:$H$4801,MATCH($A189,[1]Products!$G$4:$G$4801,0)),"(no products)"))</f>
        <v>Heineken USA</v>
      </c>
      <c r="Q189" s="19">
        <f>IF($A189="","",COUNTIFS([1]Products!$G$4:$G$4801,$A189,[1]Products!$L$4:$L$4801,"Yes"))</f>
        <v>2</v>
      </c>
      <c r="R189" s="19">
        <f>IF($A189="","",COUNTIFS([1]Products!$G$4:$G$4801,$A189,[1]Products!$L$4:$L$4801,"Yes",[1]Products!$K$4:$K$4801,"Draft"))</f>
        <v>1</v>
      </c>
      <c r="S189" s="19">
        <f>IF($A189="","",COUNTIFS([1]Products!$G$4:$G$4801,$A189,[1]Products!$L$4:$L$4801,"Yes",[1]Products!$K$4:$K$4801,"Package"))</f>
        <v>1</v>
      </c>
      <c r="T189" s="20" t="str" cm="1">
        <f t="array" ref="T189">IF($A189="","",_xlfn.IFS($Q189=0,"NO ACTIVE SKUs",AND($R189&gt;0,$S189&gt;0),"Draft &amp; Package",$R189&gt;0,"Draft only",TRUE,"Package only"))</f>
        <v>Draft &amp; Package</v>
      </c>
    </row>
    <row r="190" spans="1:20" x14ac:dyDescent="0.2">
      <c r="A190" s="9" t="str">
        <v>Mxd Cocktails</v>
      </c>
      <c r="B190" s="10" t="str">
        <f>IF($A190="","",_xlfn.XLOOKUP($A190,'[1]Brand Family Territory (Enc)'!$A:$A,'[1]Brand Family Territory (Enc)'!$B:$B,"** NO TERRITORY SET **"))</f>
        <v>Core Market</v>
      </c>
      <c r="C190" s="11" t="str">
        <f>IF($A190="","",_xlfn.LET(_xlpm.t,MATCH($B190,'[1]Territory Definitions'!$B$5:$B$14,0),IF(ISNA(_xlpm.t),"NO TERRITORY",IF(INDEX('[1]Territory Definitions'!$D$5:$M$14,_xlpm.t,MATCH(C$4,'[1]Territory Definitions'!$D$4:$M$4,0))&lt;&gt;1,"NOT IN TERRITORY",IF(COUNTIFS('[1]Blackout Brand Fam Areas (Enc)'!$B$6:$B$998,$A190,'[1]Blackout Brand Fam Areas (Enc)'!$C$6:$C$998,C$4,'[1]Blackout Brand Fam Areas (Enc)'!$D$6:$D$998,"Inactive")&gt;0,"BLOCKED","CAN SELL")))))</f>
        <v>CAN SELL</v>
      </c>
      <c r="D190" s="11" t="str">
        <f>IF($A190="","",_xlfn.LET(_xlpm.t,MATCH($B190,'[1]Territory Definitions'!$B$5:$B$14,0),IF(ISNA(_xlpm.t),"NO TERRITORY",IF(INDEX('[1]Territory Definitions'!$D$5:$M$14,_xlpm.t,MATCH(D$4,'[1]Territory Definitions'!$D$4:$M$4,0))&lt;&gt;1,"NOT IN TERRITORY",IF(COUNTIFS('[1]Blackout Brand Fam Areas (Enc)'!$B$6:$B$998,$A190,'[1]Blackout Brand Fam Areas (Enc)'!$C$6:$C$998,D$4,'[1]Blackout Brand Fam Areas (Enc)'!$D$6:$D$998,"Inactive")&gt;0,"BLOCKED","CAN SELL")))))</f>
        <v>CAN SELL</v>
      </c>
      <c r="E190" s="11" t="str">
        <f>IF($A190="","",_xlfn.LET(_xlpm.t,MATCH($B190,'[1]Territory Definitions'!$B$5:$B$14,0),IF(ISNA(_xlpm.t),"NO TERRITORY",IF(INDEX('[1]Territory Definitions'!$D$5:$M$14,_xlpm.t,MATCH(E$4,'[1]Territory Definitions'!$D$4:$M$4,0))&lt;&gt;1,"NOT IN TERRITORY",IF(COUNTIFS('[1]Blackout Brand Fam Areas (Enc)'!$B$6:$B$998,$A190,'[1]Blackout Brand Fam Areas (Enc)'!$C$6:$C$998,E$4,'[1]Blackout Brand Fam Areas (Enc)'!$D$6:$D$998,"Inactive")&gt;0,"BLOCKED","CAN SELL")))))</f>
        <v>CAN SELL</v>
      </c>
      <c r="F190" s="11" t="str">
        <f>IF($A190="","",_xlfn.LET(_xlpm.t,MATCH($B190,'[1]Territory Definitions'!$B$5:$B$14,0),IF(ISNA(_xlpm.t),"NO TERRITORY",IF(INDEX('[1]Territory Definitions'!$D$5:$M$14,_xlpm.t,MATCH(F$4,'[1]Territory Definitions'!$D$4:$M$4,0))&lt;&gt;1,"NOT IN TERRITORY",IF(COUNTIFS('[1]Blackout Brand Fam Areas (Enc)'!$B$6:$B$998,$A190,'[1]Blackout Brand Fam Areas (Enc)'!$C$6:$C$998,F$4,'[1]Blackout Brand Fam Areas (Enc)'!$D$6:$D$998,"Inactive")&gt;0,"BLOCKED","CAN SELL")))))</f>
        <v>NOT IN TERRITORY</v>
      </c>
      <c r="G190" s="11" t="str">
        <f>IF($A190="","",_xlfn.LET(_xlpm.t,MATCH($B190,'[1]Territory Definitions'!$B$5:$B$14,0),IF(ISNA(_xlpm.t),"NO TERRITORY",IF(INDEX('[1]Territory Definitions'!$D$5:$M$14,_xlpm.t,MATCH(G$4,'[1]Territory Definitions'!$D$4:$M$4,0))&lt;&gt;1,"NOT IN TERRITORY",IF(COUNTIFS('[1]Blackout Brand Fam Areas (Enc)'!$B$6:$B$998,$A190,'[1]Blackout Brand Fam Areas (Enc)'!$C$6:$C$998,G$4,'[1]Blackout Brand Fam Areas (Enc)'!$D$6:$D$998,"Inactive")&gt;0,"BLOCKED","CAN SELL")))))</f>
        <v>NOT IN TERRITORY</v>
      </c>
      <c r="H190" s="11" t="str">
        <f>IF($A190="","",_xlfn.LET(_xlpm.t,MATCH($B190,'[1]Territory Definitions'!$B$5:$B$14,0),IF(ISNA(_xlpm.t),"NO TERRITORY",IF(INDEX('[1]Territory Definitions'!$D$5:$M$14,_xlpm.t,MATCH(H$4,'[1]Territory Definitions'!$D$4:$M$4,0))&lt;&gt;1,"NOT IN TERRITORY",IF(COUNTIFS('[1]Blackout Brand Fam Areas (Enc)'!$B$6:$B$998,$A190,'[1]Blackout Brand Fam Areas (Enc)'!$C$6:$C$998,H$4,'[1]Blackout Brand Fam Areas (Enc)'!$D$6:$D$998,"Inactive")&gt;0,"BLOCKED","CAN SELL")))))</f>
        <v>NOT IN TERRITORY</v>
      </c>
      <c r="I190" s="11" t="str">
        <f>IF($A190="","",_xlfn.LET(_xlpm.t,MATCH($B190,'[1]Territory Definitions'!$B$5:$B$14,0),IF(ISNA(_xlpm.t),"NO TERRITORY",IF(INDEX('[1]Territory Definitions'!$D$5:$M$14,_xlpm.t,MATCH(I$4,'[1]Territory Definitions'!$D$4:$M$4,0))&lt;&gt;1,"NOT IN TERRITORY",IF(COUNTIFS('[1]Blackout Brand Fam Areas (Enc)'!$B$6:$B$998,$A190,'[1]Blackout Brand Fam Areas (Enc)'!$C$6:$C$998,I$4,'[1]Blackout Brand Fam Areas (Enc)'!$D$6:$D$998,"Inactive")&gt;0,"BLOCKED","CAN SELL")))))</f>
        <v>CAN SELL</v>
      </c>
      <c r="J190" s="11" t="str">
        <f>IF($A190="","",_xlfn.LET(_xlpm.t,MATCH($B190,'[1]Territory Definitions'!$B$5:$B$14,0),IF(ISNA(_xlpm.t),"NO TERRITORY",IF(INDEX('[1]Territory Definitions'!$D$5:$M$14,_xlpm.t,MATCH(J$4,'[1]Territory Definitions'!$D$4:$M$4,0))&lt;&gt;1,"NOT IN TERRITORY",IF(COUNTIFS('[1]Blackout Brand Fam Areas (Enc)'!$B$6:$B$998,$A190,'[1]Blackout Brand Fam Areas (Enc)'!$C$6:$C$998,J$4,'[1]Blackout Brand Fam Areas (Enc)'!$D$6:$D$998,"Inactive")&gt;0,"BLOCKED","CAN SELL")))))</f>
        <v>CAN SELL</v>
      </c>
      <c r="K190" s="11" t="str">
        <f>IF($A190="","",_xlfn.LET(_xlpm.t,MATCH($B190,'[1]Territory Definitions'!$B$5:$B$14,0),IF(ISNA(_xlpm.t),"NO TERRITORY",IF(INDEX('[1]Territory Definitions'!$D$5:$M$14,_xlpm.t,MATCH(K$4,'[1]Territory Definitions'!$D$4:$M$4,0))&lt;&gt;1,"NOT IN TERRITORY",IF(COUNTIFS('[1]Blackout Brand Fam Areas (Enc)'!$B$6:$B$998,$A190,'[1]Blackout Brand Fam Areas (Enc)'!$C$6:$C$998,K$4,'[1]Blackout Brand Fam Areas (Enc)'!$D$6:$D$998,"Inactive")&gt;0,"BLOCKED","CAN SELL")))))</f>
        <v>NOT IN TERRITORY</v>
      </c>
      <c r="L190" s="11" t="str">
        <f>IF($A190="","",_xlfn.LET(_xlpm.t,MATCH($B190,'[1]Territory Definitions'!$B$5:$B$14,0),IF(ISNA(_xlpm.t),"NO TERRITORY",IF(INDEX('[1]Territory Definitions'!$D$5:$M$14,_xlpm.t,MATCH(L$4,'[1]Territory Definitions'!$D$4:$M$4,0))&lt;&gt;1,"NOT IN TERRITORY",IF(COUNTIFS('[1]Blackout Brand Fam Areas (Enc)'!$B$6:$B$998,$A190,'[1]Blackout Brand Fam Areas (Enc)'!$C$6:$C$998,L$4,'[1]Blackout Brand Fam Areas (Enc)'!$D$6:$D$998,"Inactive")&gt;0,"BLOCKED","CAN SELL")))))</f>
        <v>CAN SELL</v>
      </c>
      <c r="M190" s="12">
        <f>IF($A190="","",COUNTIF($C190:$L190,"CAN SELL"))</f>
        <v>6</v>
      </c>
      <c r="N190" s="13" cm="1">
        <f t="array" ref="N190">IF($A190="","",SUMPRODUCT(($C190:$L190="CAN SELL")*$C$3:$L$3))</f>
        <v>1596</v>
      </c>
      <c r="O190" s="14" t="str">
        <f>IF($A190="","",IF(COUNTIF($A$5:$A$299,$A190)&gt;1,"DUPLICATE - two different territories assigned",IF($B190="** NO TERRITORY SET **","No territory on Brand Family Territory (Enc)","")))</f>
        <v/>
      </c>
      <c r="P190" s="18" t="str">
        <f>IF($A190="","",IFERROR(INDEX([1]Products!$H$4:$H$4801,MATCH($A190,[1]Products!$G$4:$G$4801,0)),"(no products)"))</f>
        <v>Mark Anthony</v>
      </c>
      <c r="Q190" s="19">
        <f>IF($A190="","",COUNTIFS([1]Products!$G$4:$G$4801,$A190,[1]Products!$L$4:$L$4801,"Yes"))</f>
        <v>9</v>
      </c>
      <c r="R190" s="19">
        <f>IF($A190="","",COUNTIFS([1]Products!$G$4:$G$4801,$A190,[1]Products!$L$4:$L$4801,"Yes",[1]Products!$K$4:$K$4801,"Draft"))</f>
        <v>0</v>
      </c>
      <c r="S190" s="19">
        <f>IF($A190="","",COUNTIFS([1]Products!$G$4:$G$4801,$A190,[1]Products!$L$4:$L$4801,"Yes",[1]Products!$K$4:$K$4801,"Package"))</f>
        <v>9</v>
      </c>
      <c r="T190" s="20" t="str" cm="1">
        <f t="array" ref="T190">IF($A190="","",_xlfn.IFS($Q190=0,"NO ACTIVE SKUs",AND($R190&gt;0,$S190&gt;0),"Draft &amp; Package",$R190&gt;0,"Draft only",TRUE,"Package only"))</f>
        <v>Package only</v>
      </c>
    </row>
    <row r="191" spans="1:20" x14ac:dyDescent="0.2">
      <c r="A191" s="9" t="str">
        <v>Mythos</v>
      </c>
      <c r="B191" s="10" t="str">
        <f>IF($A191="","",_xlfn.XLOOKUP($A191,'[1]Brand Family Territory (Enc)'!$A:$A,'[1]Brand Family Territory (Enc)'!$B:$B,"** NO TERRITORY SET **"))</f>
        <v>All Counties</v>
      </c>
      <c r="C191" s="11" t="str">
        <f>IF($A191="","",_xlfn.LET(_xlpm.t,MATCH($B191,'[1]Territory Definitions'!$B$5:$B$14,0),IF(ISNA(_xlpm.t),"NO TERRITORY",IF(INDEX('[1]Territory Definitions'!$D$5:$M$14,_xlpm.t,MATCH(C$4,'[1]Territory Definitions'!$D$4:$M$4,0))&lt;&gt;1,"NOT IN TERRITORY",IF(COUNTIFS('[1]Blackout Brand Fam Areas (Enc)'!$B$6:$B$998,$A191,'[1]Blackout Brand Fam Areas (Enc)'!$C$6:$C$998,C$4,'[1]Blackout Brand Fam Areas (Enc)'!$D$6:$D$998,"Inactive")&gt;0,"BLOCKED","CAN SELL")))))</f>
        <v>CAN SELL</v>
      </c>
      <c r="D191" s="11" t="str">
        <f>IF($A191="","",_xlfn.LET(_xlpm.t,MATCH($B191,'[1]Territory Definitions'!$B$5:$B$14,0),IF(ISNA(_xlpm.t),"NO TERRITORY",IF(INDEX('[1]Territory Definitions'!$D$5:$M$14,_xlpm.t,MATCH(D$4,'[1]Territory Definitions'!$D$4:$M$4,0))&lt;&gt;1,"NOT IN TERRITORY",IF(COUNTIFS('[1]Blackout Brand Fam Areas (Enc)'!$B$6:$B$998,$A191,'[1]Blackout Brand Fam Areas (Enc)'!$C$6:$C$998,D$4,'[1]Blackout Brand Fam Areas (Enc)'!$D$6:$D$998,"Inactive")&gt;0,"BLOCKED","CAN SELL")))))</f>
        <v>CAN SELL</v>
      </c>
      <c r="E191" s="11" t="str">
        <f>IF($A191="","",_xlfn.LET(_xlpm.t,MATCH($B191,'[1]Territory Definitions'!$B$5:$B$14,0),IF(ISNA(_xlpm.t),"NO TERRITORY",IF(INDEX('[1]Territory Definitions'!$D$5:$M$14,_xlpm.t,MATCH(E$4,'[1]Territory Definitions'!$D$4:$M$4,0))&lt;&gt;1,"NOT IN TERRITORY",IF(COUNTIFS('[1]Blackout Brand Fam Areas (Enc)'!$B$6:$B$998,$A191,'[1]Blackout Brand Fam Areas (Enc)'!$C$6:$C$998,E$4,'[1]Blackout Brand Fam Areas (Enc)'!$D$6:$D$998,"Inactive")&gt;0,"BLOCKED","CAN SELL")))))</f>
        <v>CAN SELL</v>
      </c>
      <c r="F191" s="11" t="str">
        <f>IF($A191="","",_xlfn.LET(_xlpm.t,MATCH($B191,'[1]Territory Definitions'!$B$5:$B$14,0),IF(ISNA(_xlpm.t),"NO TERRITORY",IF(INDEX('[1]Territory Definitions'!$D$5:$M$14,_xlpm.t,MATCH(F$4,'[1]Territory Definitions'!$D$4:$M$4,0))&lt;&gt;1,"NOT IN TERRITORY",IF(COUNTIFS('[1]Blackout Brand Fam Areas (Enc)'!$B$6:$B$998,$A191,'[1]Blackout Brand Fam Areas (Enc)'!$C$6:$C$998,F$4,'[1]Blackout Brand Fam Areas (Enc)'!$D$6:$D$998,"Inactive")&gt;0,"BLOCKED","CAN SELL")))))</f>
        <v>CAN SELL</v>
      </c>
      <c r="G191" s="11" t="str">
        <f>IF($A191="","",_xlfn.LET(_xlpm.t,MATCH($B191,'[1]Territory Definitions'!$B$5:$B$14,0),IF(ISNA(_xlpm.t),"NO TERRITORY",IF(INDEX('[1]Territory Definitions'!$D$5:$M$14,_xlpm.t,MATCH(G$4,'[1]Territory Definitions'!$D$4:$M$4,0))&lt;&gt;1,"NOT IN TERRITORY",IF(COUNTIFS('[1]Blackout Brand Fam Areas (Enc)'!$B$6:$B$998,$A191,'[1]Blackout Brand Fam Areas (Enc)'!$C$6:$C$998,G$4,'[1]Blackout Brand Fam Areas (Enc)'!$D$6:$D$998,"Inactive")&gt;0,"BLOCKED","CAN SELL")))))</f>
        <v>CAN SELL</v>
      </c>
      <c r="H191" s="11" t="str">
        <f>IF($A191="","",_xlfn.LET(_xlpm.t,MATCH($B191,'[1]Territory Definitions'!$B$5:$B$14,0),IF(ISNA(_xlpm.t),"NO TERRITORY",IF(INDEX('[1]Territory Definitions'!$D$5:$M$14,_xlpm.t,MATCH(H$4,'[1]Territory Definitions'!$D$4:$M$4,0))&lt;&gt;1,"NOT IN TERRITORY",IF(COUNTIFS('[1]Blackout Brand Fam Areas (Enc)'!$B$6:$B$998,$A191,'[1]Blackout Brand Fam Areas (Enc)'!$C$6:$C$998,H$4,'[1]Blackout Brand Fam Areas (Enc)'!$D$6:$D$998,"Inactive")&gt;0,"BLOCKED","CAN SELL")))))</f>
        <v>CAN SELL</v>
      </c>
      <c r="I191" s="11" t="str">
        <f>IF($A191="","",_xlfn.LET(_xlpm.t,MATCH($B191,'[1]Territory Definitions'!$B$5:$B$14,0),IF(ISNA(_xlpm.t),"NO TERRITORY",IF(INDEX('[1]Territory Definitions'!$D$5:$M$14,_xlpm.t,MATCH(I$4,'[1]Territory Definitions'!$D$4:$M$4,0))&lt;&gt;1,"NOT IN TERRITORY",IF(COUNTIFS('[1]Blackout Brand Fam Areas (Enc)'!$B$6:$B$998,$A191,'[1]Blackout Brand Fam Areas (Enc)'!$C$6:$C$998,I$4,'[1]Blackout Brand Fam Areas (Enc)'!$D$6:$D$998,"Inactive")&gt;0,"BLOCKED","CAN SELL")))))</f>
        <v>CAN SELL</v>
      </c>
      <c r="J191" s="11" t="str">
        <f>IF($A191="","",_xlfn.LET(_xlpm.t,MATCH($B191,'[1]Territory Definitions'!$B$5:$B$14,0),IF(ISNA(_xlpm.t),"NO TERRITORY",IF(INDEX('[1]Territory Definitions'!$D$5:$M$14,_xlpm.t,MATCH(J$4,'[1]Territory Definitions'!$D$4:$M$4,0))&lt;&gt;1,"NOT IN TERRITORY",IF(COUNTIFS('[1]Blackout Brand Fam Areas (Enc)'!$B$6:$B$998,$A191,'[1]Blackout Brand Fam Areas (Enc)'!$C$6:$C$998,J$4,'[1]Blackout Brand Fam Areas (Enc)'!$D$6:$D$998,"Inactive")&gt;0,"BLOCKED","CAN SELL")))))</f>
        <v>CAN SELL</v>
      </c>
      <c r="K191" s="11" t="str">
        <f>IF($A191="","",_xlfn.LET(_xlpm.t,MATCH($B191,'[1]Territory Definitions'!$B$5:$B$14,0),IF(ISNA(_xlpm.t),"NO TERRITORY",IF(INDEX('[1]Territory Definitions'!$D$5:$M$14,_xlpm.t,MATCH(K$4,'[1]Territory Definitions'!$D$4:$M$4,0))&lt;&gt;1,"NOT IN TERRITORY",IF(COUNTIFS('[1]Blackout Brand Fam Areas (Enc)'!$B$6:$B$998,$A191,'[1]Blackout Brand Fam Areas (Enc)'!$C$6:$C$998,K$4,'[1]Blackout Brand Fam Areas (Enc)'!$D$6:$D$998,"Inactive")&gt;0,"BLOCKED","CAN SELL")))))</f>
        <v>CAN SELL</v>
      </c>
      <c r="L191" s="11" t="str">
        <f>IF($A191="","",_xlfn.LET(_xlpm.t,MATCH($B191,'[1]Territory Definitions'!$B$5:$B$14,0),IF(ISNA(_xlpm.t),"NO TERRITORY",IF(INDEX('[1]Territory Definitions'!$D$5:$M$14,_xlpm.t,MATCH(L$4,'[1]Territory Definitions'!$D$4:$M$4,0))&lt;&gt;1,"NOT IN TERRITORY",IF(COUNTIFS('[1]Blackout Brand Fam Areas (Enc)'!$B$6:$B$998,$A191,'[1]Blackout Brand Fam Areas (Enc)'!$C$6:$C$998,L$4,'[1]Blackout Brand Fam Areas (Enc)'!$D$6:$D$998,"Inactive")&gt;0,"BLOCKED","CAN SELL")))))</f>
        <v>CAN SELL</v>
      </c>
      <c r="M191" s="12">
        <f>IF($A191="","",COUNTIF($C191:$L191,"CAN SELL"))</f>
        <v>10</v>
      </c>
      <c r="N191" s="13" cm="1">
        <f t="array" ref="N191">IF($A191="","",SUMPRODUCT(($C191:$L191="CAN SELL")*$C$3:$L$3))</f>
        <v>2306</v>
      </c>
      <c r="O191" s="14" t="str">
        <f>IF($A191="","",IF(COUNTIF($A$5:$A$299,$A191)&gt;1,"DUPLICATE - two different territories assigned",IF($B191="** NO TERRITORY SET **","No territory on Brand Family Territory (Enc)","")))</f>
        <v/>
      </c>
      <c r="P191" s="18" t="str">
        <f>IF($A191="","",IFERROR(INDEX([1]Products!$H$4:$H$4801,MATCH($A191,[1]Products!$G$4:$G$4801,0)),"(no products)"))</f>
        <v>Prestige</v>
      </c>
      <c r="Q191" s="19">
        <f>IF($A191="","",COUNTIFS([1]Products!$G$4:$G$4801,$A191,[1]Products!$L$4:$L$4801,"Yes"))</f>
        <v>1</v>
      </c>
      <c r="R191" s="19">
        <f>IF($A191="","",COUNTIFS([1]Products!$G$4:$G$4801,$A191,[1]Products!$L$4:$L$4801,"Yes",[1]Products!$K$4:$K$4801,"Draft"))</f>
        <v>0</v>
      </c>
      <c r="S191" s="19">
        <f>IF($A191="","",COUNTIFS([1]Products!$G$4:$G$4801,$A191,[1]Products!$L$4:$L$4801,"Yes",[1]Products!$K$4:$K$4801,"Package"))</f>
        <v>1</v>
      </c>
      <c r="T191" s="20" t="str" cm="1">
        <f t="array" ref="T191">IF($A191="","",_xlfn.IFS($Q191=0,"NO ACTIVE SKUs",AND($R191&gt;0,$S191&gt;0),"Draft &amp; Package",$R191&gt;0,"Draft only",TRUE,"Package only"))</f>
        <v>Package only</v>
      </c>
    </row>
    <row r="192" spans="1:20" x14ac:dyDescent="0.2">
      <c r="A192" s="9" t="str">
        <v>Narragansett</v>
      </c>
      <c r="B192" s="10" t="str">
        <f>IF($A192="","",_xlfn.XLOOKUP($A192,'[1]Brand Family Territory (Enc)'!$A:$A,'[1]Brand Family Territory (Enc)'!$B:$B,"** NO TERRITORY SET **"))</f>
        <v>Core Market</v>
      </c>
      <c r="C192" s="11" t="str">
        <f>IF($A192="","",_xlfn.LET(_xlpm.t,MATCH($B192,'[1]Territory Definitions'!$B$5:$B$14,0),IF(ISNA(_xlpm.t),"NO TERRITORY",IF(INDEX('[1]Territory Definitions'!$D$5:$M$14,_xlpm.t,MATCH(C$4,'[1]Territory Definitions'!$D$4:$M$4,0))&lt;&gt;1,"NOT IN TERRITORY",IF(COUNTIFS('[1]Blackout Brand Fam Areas (Enc)'!$B$6:$B$998,$A192,'[1]Blackout Brand Fam Areas (Enc)'!$C$6:$C$998,C$4,'[1]Blackout Brand Fam Areas (Enc)'!$D$6:$D$998,"Inactive")&gt;0,"BLOCKED","CAN SELL")))))</f>
        <v>CAN SELL</v>
      </c>
      <c r="D192" s="11" t="str">
        <f>IF($A192="","",_xlfn.LET(_xlpm.t,MATCH($B192,'[1]Territory Definitions'!$B$5:$B$14,0),IF(ISNA(_xlpm.t),"NO TERRITORY",IF(INDEX('[1]Territory Definitions'!$D$5:$M$14,_xlpm.t,MATCH(D$4,'[1]Territory Definitions'!$D$4:$M$4,0))&lt;&gt;1,"NOT IN TERRITORY",IF(COUNTIFS('[1]Blackout Brand Fam Areas (Enc)'!$B$6:$B$998,$A192,'[1]Blackout Brand Fam Areas (Enc)'!$C$6:$C$998,D$4,'[1]Blackout Brand Fam Areas (Enc)'!$D$6:$D$998,"Inactive")&gt;0,"BLOCKED","CAN SELL")))))</f>
        <v>CAN SELL</v>
      </c>
      <c r="E192" s="11" t="str">
        <f>IF($A192="","",_xlfn.LET(_xlpm.t,MATCH($B192,'[1]Territory Definitions'!$B$5:$B$14,0),IF(ISNA(_xlpm.t),"NO TERRITORY",IF(INDEX('[1]Territory Definitions'!$D$5:$M$14,_xlpm.t,MATCH(E$4,'[1]Territory Definitions'!$D$4:$M$4,0))&lt;&gt;1,"NOT IN TERRITORY",IF(COUNTIFS('[1]Blackout Brand Fam Areas (Enc)'!$B$6:$B$998,$A192,'[1]Blackout Brand Fam Areas (Enc)'!$C$6:$C$998,E$4,'[1]Blackout Brand Fam Areas (Enc)'!$D$6:$D$998,"Inactive")&gt;0,"BLOCKED","CAN SELL")))))</f>
        <v>CAN SELL</v>
      </c>
      <c r="F192" s="11" t="str">
        <f>IF($A192="","",_xlfn.LET(_xlpm.t,MATCH($B192,'[1]Territory Definitions'!$B$5:$B$14,0),IF(ISNA(_xlpm.t),"NO TERRITORY",IF(INDEX('[1]Territory Definitions'!$D$5:$M$14,_xlpm.t,MATCH(F$4,'[1]Territory Definitions'!$D$4:$M$4,0))&lt;&gt;1,"NOT IN TERRITORY",IF(COUNTIFS('[1]Blackout Brand Fam Areas (Enc)'!$B$6:$B$998,$A192,'[1]Blackout Brand Fam Areas (Enc)'!$C$6:$C$998,F$4,'[1]Blackout Brand Fam Areas (Enc)'!$D$6:$D$998,"Inactive")&gt;0,"BLOCKED","CAN SELL")))))</f>
        <v>NOT IN TERRITORY</v>
      </c>
      <c r="G192" s="11" t="str">
        <f>IF($A192="","",_xlfn.LET(_xlpm.t,MATCH($B192,'[1]Territory Definitions'!$B$5:$B$14,0),IF(ISNA(_xlpm.t),"NO TERRITORY",IF(INDEX('[1]Territory Definitions'!$D$5:$M$14,_xlpm.t,MATCH(G$4,'[1]Territory Definitions'!$D$4:$M$4,0))&lt;&gt;1,"NOT IN TERRITORY",IF(COUNTIFS('[1]Blackout Brand Fam Areas (Enc)'!$B$6:$B$998,$A192,'[1]Blackout Brand Fam Areas (Enc)'!$C$6:$C$998,G$4,'[1]Blackout Brand Fam Areas (Enc)'!$D$6:$D$998,"Inactive")&gt;0,"BLOCKED","CAN SELL")))))</f>
        <v>NOT IN TERRITORY</v>
      </c>
      <c r="H192" s="11" t="str">
        <f>IF($A192="","",_xlfn.LET(_xlpm.t,MATCH($B192,'[1]Territory Definitions'!$B$5:$B$14,0),IF(ISNA(_xlpm.t),"NO TERRITORY",IF(INDEX('[1]Territory Definitions'!$D$5:$M$14,_xlpm.t,MATCH(H$4,'[1]Territory Definitions'!$D$4:$M$4,0))&lt;&gt;1,"NOT IN TERRITORY",IF(COUNTIFS('[1]Blackout Brand Fam Areas (Enc)'!$B$6:$B$998,$A192,'[1]Blackout Brand Fam Areas (Enc)'!$C$6:$C$998,H$4,'[1]Blackout Brand Fam Areas (Enc)'!$D$6:$D$998,"Inactive")&gt;0,"BLOCKED","CAN SELL")))))</f>
        <v>NOT IN TERRITORY</v>
      </c>
      <c r="I192" s="11" t="str">
        <f>IF($A192="","",_xlfn.LET(_xlpm.t,MATCH($B192,'[1]Territory Definitions'!$B$5:$B$14,0),IF(ISNA(_xlpm.t),"NO TERRITORY",IF(INDEX('[1]Territory Definitions'!$D$5:$M$14,_xlpm.t,MATCH(I$4,'[1]Territory Definitions'!$D$4:$M$4,0))&lt;&gt;1,"NOT IN TERRITORY",IF(COUNTIFS('[1]Blackout Brand Fam Areas (Enc)'!$B$6:$B$998,$A192,'[1]Blackout Brand Fam Areas (Enc)'!$C$6:$C$998,I$4,'[1]Blackout Brand Fam Areas (Enc)'!$D$6:$D$998,"Inactive")&gt;0,"BLOCKED","CAN SELL")))))</f>
        <v>CAN SELL</v>
      </c>
      <c r="J192" s="11" t="str">
        <f>IF($A192="","",_xlfn.LET(_xlpm.t,MATCH($B192,'[1]Territory Definitions'!$B$5:$B$14,0),IF(ISNA(_xlpm.t),"NO TERRITORY",IF(INDEX('[1]Territory Definitions'!$D$5:$M$14,_xlpm.t,MATCH(J$4,'[1]Territory Definitions'!$D$4:$M$4,0))&lt;&gt;1,"NOT IN TERRITORY",IF(COUNTIFS('[1]Blackout Brand Fam Areas (Enc)'!$B$6:$B$998,$A192,'[1]Blackout Brand Fam Areas (Enc)'!$C$6:$C$998,J$4,'[1]Blackout Brand Fam Areas (Enc)'!$D$6:$D$998,"Inactive")&gt;0,"BLOCKED","CAN SELL")))))</f>
        <v>CAN SELL</v>
      </c>
      <c r="K192" s="11" t="str">
        <f>IF($A192="","",_xlfn.LET(_xlpm.t,MATCH($B192,'[1]Territory Definitions'!$B$5:$B$14,0),IF(ISNA(_xlpm.t),"NO TERRITORY",IF(INDEX('[1]Territory Definitions'!$D$5:$M$14,_xlpm.t,MATCH(K$4,'[1]Territory Definitions'!$D$4:$M$4,0))&lt;&gt;1,"NOT IN TERRITORY",IF(COUNTIFS('[1]Blackout Brand Fam Areas (Enc)'!$B$6:$B$998,$A192,'[1]Blackout Brand Fam Areas (Enc)'!$C$6:$C$998,K$4,'[1]Blackout Brand Fam Areas (Enc)'!$D$6:$D$998,"Inactive")&gt;0,"BLOCKED","CAN SELL")))))</f>
        <v>NOT IN TERRITORY</v>
      </c>
      <c r="L192" s="11" t="str">
        <f>IF($A192="","",_xlfn.LET(_xlpm.t,MATCH($B192,'[1]Territory Definitions'!$B$5:$B$14,0),IF(ISNA(_xlpm.t),"NO TERRITORY",IF(INDEX('[1]Territory Definitions'!$D$5:$M$14,_xlpm.t,MATCH(L$4,'[1]Territory Definitions'!$D$4:$M$4,0))&lt;&gt;1,"NOT IN TERRITORY",IF(COUNTIFS('[1]Blackout Brand Fam Areas (Enc)'!$B$6:$B$998,$A192,'[1]Blackout Brand Fam Areas (Enc)'!$C$6:$C$998,L$4,'[1]Blackout Brand Fam Areas (Enc)'!$D$6:$D$998,"Inactive")&gt;0,"BLOCKED","CAN SELL")))))</f>
        <v>CAN SELL</v>
      </c>
      <c r="M192" s="12">
        <f>IF($A192="","",COUNTIF($C192:$L192,"CAN SELL"))</f>
        <v>6</v>
      </c>
      <c r="N192" s="13" cm="1">
        <f t="array" ref="N192">IF($A192="","",SUMPRODUCT(($C192:$L192="CAN SELL")*$C$3:$L$3))</f>
        <v>1596</v>
      </c>
      <c r="O192" s="14" t="str">
        <f>IF($A192="","",IF(COUNTIF($A$5:$A$299,$A192)&gt;1,"DUPLICATE - two different territories assigned",IF($B192="** NO TERRITORY SET **","No territory on Brand Family Territory (Enc)","")))</f>
        <v/>
      </c>
      <c r="P192" s="18" t="str">
        <f>IF($A192="","",IFERROR(INDEX([1]Products!$H$4:$H$4801,MATCH($A192,[1]Products!$G$4:$G$4801,0)),"(no products)"))</f>
        <v>Narragansett</v>
      </c>
      <c r="Q192" s="19">
        <f>IF($A192="","",COUNTIFS([1]Products!$G$4:$G$4801,$A192,[1]Products!$L$4:$L$4801,"Yes"))</f>
        <v>7</v>
      </c>
      <c r="R192" s="19">
        <f>IF($A192="","",COUNTIFS([1]Products!$G$4:$G$4801,$A192,[1]Products!$L$4:$L$4801,"Yes",[1]Products!$K$4:$K$4801,"Draft"))</f>
        <v>1</v>
      </c>
      <c r="S192" s="19">
        <f>IF($A192="","",COUNTIFS([1]Products!$G$4:$G$4801,$A192,[1]Products!$L$4:$L$4801,"Yes",[1]Products!$K$4:$K$4801,"Package"))</f>
        <v>6</v>
      </c>
      <c r="T192" s="20" t="str" cm="1">
        <f t="array" ref="T192">IF($A192="","",_xlfn.IFS($Q192=0,"NO ACTIVE SKUs",AND($R192&gt;0,$S192&gt;0),"Draft &amp; Package",$R192&gt;0,"Draft only",TRUE,"Package only"))</f>
        <v>Draft &amp; Package</v>
      </c>
    </row>
    <row r="193" spans="1:20" x14ac:dyDescent="0.2">
      <c r="A193" s="9" t="str">
        <v>New Belgium Brewing Company</v>
      </c>
      <c r="B193" s="10" t="str">
        <f>IF($A193="","",_xlfn.XLOOKUP($A193,'[1]Brand Family Territory (Enc)'!$A:$A,'[1]Brand Family Territory (Enc)'!$B:$B,"** NO TERRITORY SET **"))</f>
        <v>Core Market</v>
      </c>
      <c r="C193" s="11" t="str">
        <f>IF($A193="","",_xlfn.LET(_xlpm.t,MATCH($B193,'[1]Territory Definitions'!$B$5:$B$14,0),IF(ISNA(_xlpm.t),"NO TERRITORY",IF(INDEX('[1]Territory Definitions'!$D$5:$M$14,_xlpm.t,MATCH(C$4,'[1]Territory Definitions'!$D$4:$M$4,0))&lt;&gt;1,"NOT IN TERRITORY",IF(COUNTIFS('[1]Blackout Brand Fam Areas (Enc)'!$B$6:$B$998,$A193,'[1]Blackout Brand Fam Areas (Enc)'!$C$6:$C$998,C$4,'[1]Blackout Brand Fam Areas (Enc)'!$D$6:$D$998,"Inactive")&gt;0,"BLOCKED","CAN SELL")))))</f>
        <v>CAN SELL</v>
      </c>
      <c r="D193" s="11" t="str">
        <f>IF($A193="","",_xlfn.LET(_xlpm.t,MATCH($B193,'[1]Territory Definitions'!$B$5:$B$14,0),IF(ISNA(_xlpm.t),"NO TERRITORY",IF(INDEX('[1]Territory Definitions'!$D$5:$M$14,_xlpm.t,MATCH(D$4,'[1]Territory Definitions'!$D$4:$M$4,0))&lt;&gt;1,"NOT IN TERRITORY",IF(COUNTIFS('[1]Blackout Brand Fam Areas (Enc)'!$B$6:$B$998,$A193,'[1]Blackout Brand Fam Areas (Enc)'!$C$6:$C$998,D$4,'[1]Blackout Brand Fam Areas (Enc)'!$D$6:$D$998,"Inactive")&gt;0,"BLOCKED","CAN SELL")))))</f>
        <v>CAN SELL</v>
      </c>
      <c r="E193" s="11" t="str">
        <f>IF($A193="","",_xlfn.LET(_xlpm.t,MATCH($B193,'[1]Territory Definitions'!$B$5:$B$14,0),IF(ISNA(_xlpm.t),"NO TERRITORY",IF(INDEX('[1]Territory Definitions'!$D$5:$M$14,_xlpm.t,MATCH(E$4,'[1]Territory Definitions'!$D$4:$M$4,0))&lt;&gt;1,"NOT IN TERRITORY",IF(COUNTIFS('[1]Blackout Brand Fam Areas (Enc)'!$B$6:$B$998,$A193,'[1]Blackout Brand Fam Areas (Enc)'!$C$6:$C$998,E$4,'[1]Blackout Brand Fam Areas (Enc)'!$D$6:$D$998,"Inactive")&gt;0,"BLOCKED","CAN SELL")))))</f>
        <v>CAN SELL</v>
      </c>
      <c r="F193" s="11" t="str">
        <f>IF($A193="","",_xlfn.LET(_xlpm.t,MATCH($B193,'[1]Territory Definitions'!$B$5:$B$14,0),IF(ISNA(_xlpm.t),"NO TERRITORY",IF(INDEX('[1]Territory Definitions'!$D$5:$M$14,_xlpm.t,MATCH(F$4,'[1]Territory Definitions'!$D$4:$M$4,0))&lt;&gt;1,"NOT IN TERRITORY",IF(COUNTIFS('[1]Blackout Brand Fam Areas (Enc)'!$B$6:$B$998,$A193,'[1]Blackout Brand Fam Areas (Enc)'!$C$6:$C$998,F$4,'[1]Blackout Brand Fam Areas (Enc)'!$D$6:$D$998,"Inactive")&gt;0,"BLOCKED","CAN SELL")))))</f>
        <v>NOT IN TERRITORY</v>
      </c>
      <c r="G193" s="11" t="str">
        <f>IF($A193="","",_xlfn.LET(_xlpm.t,MATCH($B193,'[1]Territory Definitions'!$B$5:$B$14,0),IF(ISNA(_xlpm.t),"NO TERRITORY",IF(INDEX('[1]Territory Definitions'!$D$5:$M$14,_xlpm.t,MATCH(G$4,'[1]Territory Definitions'!$D$4:$M$4,0))&lt;&gt;1,"NOT IN TERRITORY",IF(COUNTIFS('[1]Blackout Brand Fam Areas (Enc)'!$B$6:$B$998,$A193,'[1]Blackout Brand Fam Areas (Enc)'!$C$6:$C$998,G$4,'[1]Blackout Brand Fam Areas (Enc)'!$D$6:$D$998,"Inactive")&gt;0,"BLOCKED","CAN SELL")))))</f>
        <v>NOT IN TERRITORY</v>
      </c>
      <c r="H193" s="11" t="str">
        <f>IF($A193="","",_xlfn.LET(_xlpm.t,MATCH($B193,'[1]Territory Definitions'!$B$5:$B$14,0),IF(ISNA(_xlpm.t),"NO TERRITORY",IF(INDEX('[1]Territory Definitions'!$D$5:$M$14,_xlpm.t,MATCH(H$4,'[1]Territory Definitions'!$D$4:$M$4,0))&lt;&gt;1,"NOT IN TERRITORY",IF(COUNTIFS('[1]Blackout Brand Fam Areas (Enc)'!$B$6:$B$998,$A193,'[1]Blackout Brand Fam Areas (Enc)'!$C$6:$C$998,H$4,'[1]Blackout Brand Fam Areas (Enc)'!$D$6:$D$998,"Inactive")&gt;0,"BLOCKED","CAN SELL")))))</f>
        <v>NOT IN TERRITORY</v>
      </c>
      <c r="I193" s="11" t="str">
        <f>IF($A193="","",_xlfn.LET(_xlpm.t,MATCH($B193,'[1]Territory Definitions'!$B$5:$B$14,0),IF(ISNA(_xlpm.t),"NO TERRITORY",IF(INDEX('[1]Territory Definitions'!$D$5:$M$14,_xlpm.t,MATCH(I$4,'[1]Territory Definitions'!$D$4:$M$4,0))&lt;&gt;1,"NOT IN TERRITORY",IF(COUNTIFS('[1]Blackout Brand Fam Areas (Enc)'!$B$6:$B$998,$A193,'[1]Blackout Brand Fam Areas (Enc)'!$C$6:$C$998,I$4,'[1]Blackout Brand Fam Areas (Enc)'!$D$6:$D$998,"Inactive")&gt;0,"BLOCKED","CAN SELL")))))</f>
        <v>CAN SELL</v>
      </c>
      <c r="J193" s="11" t="str">
        <f>IF($A193="","",_xlfn.LET(_xlpm.t,MATCH($B193,'[1]Territory Definitions'!$B$5:$B$14,0),IF(ISNA(_xlpm.t),"NO TERRITORY",IF(INDEX('[1]Territory Definitions'!$D$5:$M$14,_xlpm.t,MATCH(J$4,'[1]Territory Definitions'!$D$4:$M$4,0))&lt;&gt;1,"NOT IN TERRITORY",IF(COUNTIFS('[1]Blackout Brand Fam Areas (Enc)'!$B$6:$B$998,$A193,'[1]Blackout Brand Fam Areas (Enc)'!$C$6:$C$998,J$4,'[1]Blackout Brand Fam Areas (Enc)'!$D$6:$D$998,"Inactive")&gt;0,"BLOCKED","CAN SELL")))))</f>
        <v>CAN SELL</v>
      </c>
      <c r="K193" s="11" t="str">
        <f>IF($A193="","",_xlfn.LET(_xlpm.t,MATCH($B193,'[1]Territory Definitions'!$B$5:$B$14,0),IF(ISNA(_xlpm.t),"NO TERRITORY",IF(INDEX('[1]Territory Definitions'!$D$5:$M$14,_xlpm.t,MATCH(K$4,'[1]Territory Definitions'!$D$4:$M$4,0))&lt;&gt;1,"NOT IN TERRITORY",IF(COUNTIFS('[1]Blackout Brand Fam Areas (Enc)'!$B$6:$B$998,$A193,'[1]Blackout Brand Fam Areas (Enc)'!$C$6:$C$998,K$4,'[1]Blackout Brand Fam Areas (Enc)'!$D$6:$D$998,"Inactive")&gt;0,"BLOCKED","CAN SELL")))))</f>
        <v>NOT IN TERRITORY</v>
      </c>
      <c r="L193" s="11" t="str">
        <f>IF($A193="","",_xlfn.LET(_xlpm.t,MATCH($B193,'[1]Territory Definitions'!$B$5:$B$14,0),IF(ISNA(_xlpm.t),"NO TERRITORY",IF(INDEX('[1]Territory Definitions'!$D$5:$M$14,_xlpm.t,MATCH(L$4,'[1]Territory Definitions'!$D$4:$M$4,0))&lt;&gt;1,"NOT IN TERRITORY",IF(COUNTIFS('[1]Blackout Brand Fam Areas (Enc)'!$B$6:$B$998,$A193,'[1]Blackout Brand Fam Areas (Enc)'!$C$6:$C$998,L$4,'[1]Blackout Brand Fam Areas (Enc)'!$D$6:$D$998,"Inactive")&gt;0,"BLOCKED","CAN SELL")))))</f>
        <v>CAN SELL</v>
      </c>
      <c r="M193" s="12">
        <f>IF($A193="","",COUNTIF($C193:$L193,"CAN SELL"))</f>
        <v>6</v>
      </c>
      <c r="N193" s="13" cm="1">
        <f t="array" ref="N193">IF($A193="","",SUMPRODUCT(($C193:$L193="CAN SELL")*$C$3:$L$3))</f>
        <v>1596</v>
      </c>
      <c r="O193" s="14" t="str">
        <f>IF($A193="","",IF(COUNTIF($A$5:$A$299,$A193)&gt;1,"DUPLICATE - two different territories assigned",IF($B193="** NO TERRITORY SET **","No territory on Brand Family Territory (Enc)","")))</f>
        <v/>
      </c>
      <c r="P193" s="18" t="str">
        <f>IF($A193="","",IFERROR(INDEX([1]Products!$H$4:$H$4801,MATCH($A193,[1]Products!$G$4:$G$4801,0)),"(no products)"))</f>
        <v>New Belgium Brewing Company</v>
      </c>
      <c r="Q193" s="19">
        <f>IF($A193="","",COUNTIFS([1]Products!$G$4:$G$4801,$A193,[1]Products!$L$4:$L$4801,"Yes"))</f>
        <v>34</v>
      </c>
      <c r="R193" s="19">
        <f>IF($A193="","",COUNTIFS([1]Products!$G$4:$G$4801,$A193,[1]Products!$L$4:$L$4801,"Yes",[1]Products!$K$4:$K$4801,"Draft"))</f>
        <v>15</v>
      </c>
      <c r="S193" s="19">
        <f>IF($A193="","",COUNTIFS([1]Products!$G$4:$G$4801,$A193,[1]Products!$L$4:$L$4801,"Yes",[1]Products!$K$4:$K$4801,"Package"))</f>
        <v>19</v>
      </c>
      <c r="T193" s="20" t="str" cm="1">
        <f t="array" ref="T193">IF($A193="","",_xlfn.IFS($Q193=0,"NO ACTIVE SKUs",AND($R193&gt;0,$S193&gt;0),"Draft &amp; Package",$R193&gt;0,"Draft only",TRUE,"Package only"))</f>
        <v>Draft &amp; Package</v>
      </c>
    </row>
    <row r="194" spans="1:20" x14ac:dyDescent="0.2">
      <c r="A194" s="9" t="str">
        <v>New Holland Brewing Co</v>
      </c>
      <c r="B194" s="10" t="str">
        <f>IF($A194="","",_xlfn.XLOOKUP($A194,'[1]Brand Family Territory (Enc)'!$A:$A,'[1]Brand Family Territory (Enc)'!$B:$B,"** NO TERRITORY SET **"))</f>
        <v>All Counties</v>
      </c>
      <c r="C194" s="11" t="str">
        <f>IF($A194="","",_xlfn.LET(_xlpm.t,MATCH($B194,'[1]Territory Definitions'!$B$5:$B$14,0),IF(ISNA(_xlpm.t),"NO TERRITORY",IF(INDEX('[1]Territory Definitions'!$D$5:$M$14,_xlpm.t,MATCH(C$4,'[1]Territory Definitions'!$D$4:$M$4,0))&lt;&gt;1,"NOT IN TERRITORY",IF(COUNTIFS('[1]Blackout Brand Fam Areas (Enc)'!$B$6:$B$998,$A194,'[1]Blackout Brand Fam Areas (Enc)'!$C$6:$C$998,C$4,'[1]Blackout Brand Fam Areas (Enc)'!$D$6:$D$998,"Inactive")&gt;0,"BLOCKED","CAN SELL")))))</f>
        <v>CAN SELL</v>
      </c>
      <c r="D194" s="11" t="str">
        <f>IF($A194="","",_xlfn.LET(_xlpm.t,MATCH($B194,'[1]Territory Definitions'!$B$5:$B$14,0),IF(ISNA(_xlpm.t),"NO TERRITORY",IF(INDEX('[1]Territory Definitions'!$D$5:$M$14,_xlpm.t,MATCH(D$4,'[1]Territory Definitions'!$D$4:$M$4,0))&lt;&gt;1,"NOT IN TERRITORY",IF(COUNTIFS('[1]Blackout Brand Fam Areas (Enc)'!$B$6:$B$998,$A194,'[1]Blackout Brand Fam Areas (Enc)'!$C$6:$C$998,D$4,'[1]Blackout Brand Fam Areas (Enc)'!$D$6:$D$998,"Inactive")&gt;0,"BLOCKED","CAN SELL")))))</f>
        <v>CAN SELL</v>
      </c>
      <c r="E194" s="11" t="str">
        <f>IF($A194="","",_xlfn.LET(_xlpm.t,MATCH($B194,'[1]Territory Definitions'!$B$5:$B$14,0),IF(ISNA(_xlpm.t),"NO TERRITORY",IF(INDEX('[1]Territory Definitions'!$D$5:$M$14,_xlpm.t,MATCH(E$4,'[1]Territory Definitions'!$D$4:$M$4,0))&lt;&gt;1,"NOT IN TERRITORY",IF(COUNTIFS('[1]Blackout Brand Fam Areas (Enc)'!$B$6:$B$998,$A194,'[1]Blackout Brand Fam Areas (Enc)'!$C$6:$C$998,E$4,'[1]Blackout Brand Fam Areas (Enc)'!$D$6:$D$998,"Inactive")&gt;0,"BLOCKED","CAN SELL")))))</f>
        <v>CAN SELL</v>
      </c>
      <c r="F194" s="11" t="str">
        <f>IF($A194="","",_xlfn.LET(_xlpm.t,MATCH($B194,'[1]Territory Definitions'!$B$5:$B$14,0),IF(ISNA(_xlpm.t),"NO TERRITORY",IF(INDEX('[1]Territory Definitions'!$D$5:$M$14,_xlpm.t,MATCH(F$4,'[1]Territory Definitions'!$D$4:$M$4,0))&lt;&gt;1,"NOT IN TERRITORY",IF(COUNTIFS('[1]Blackout Brand Fam Areas (Enc)'!$B$6:$B$998,$A194,'[1]Blackout Brand Fam Areas (Enc)'!$C$6:$C$998,F$4,'[1]Blackout Brand Fam Areas (Enc)'!$D$6:$D$998,"Inactive")&gt;0,"BLOCKED","CAN SELL")))))</f>
        <v>CAN SELL</v>
      </c>
      <c r="G194" s="11" t="str">
        <f>IF($A194="","",_xlfn.LET(_xlpm.t,MATCH($B194,'[1]Territory Definitions'!$B$5:$B$14,0),IF(ISNA(_xlpm.t),"NO TERRITORY",IF(INDEX('[1]Territory Definitions'!$D$5:$M$14,_xlpm.t,MATCH(G$4,'[1]Territory Definitions'!$D$4:$M$4,0))&lt;&gt;1,"NOT IN TERRITORY",IF(COUNTIFS('[1]Blackout Brand Fam Areas (Enc)'!$B$6:$B$998,$A194,'[1]Blackout Brand Fam Areas (Enc)'!$C$6:$C$998,G$4,'[1]Blackout Brand Fam Areas (Enc)'!$D$6:$D$998,"Inactive")&gt;0,"BLOCKED","CAN SELL")))))</f>
        <v>CAN SELL</v>
      </c>
      <c r="H194" s="11" t="str">
        <f>IF($A194="","",_xlfn.LET(_xlpm.t,MATCH($B194,'[1]Territory Definitions'!$B$5:$B$14,0),IF(ISNA(_xlpm.t),"NO TERRITORY",IF(INDEX('[1]Territory Definitions'!$D$5:$M$14,_xlpm.t,MATCH(H$4,'[1]Territory Definitions'!$D$4:$M$4,0))&lt;&gt;1,"NOT IN TERRITORY",IF(COUNTIFS('[1]Blackout Brand Fam Areas (Enc)'!$B$6:$B$998,$A194,'[1]Blackout Brand Fam Areas (Enc)'!$C$6:$C$998,H$4,'[1]Blackout Brand Fam Areas (Enc)'!$D$6:$D$998,"Inactive")&gt;0,"BLOCKED","CAN SELL")))))</f>
        <v>CAN SELL</v>
      </c>
      <c r="I194" s="11" t="str">
        <f>IF($A194="","",_xlfn.LET(_xlpm.t,MATCH($B194,'[1]Territory Definitions'!$B$5:$B$14,0),IF(ISNA(_xlpm.t),"NO TERRITORY",IF(INDEX('[1]Territory Definitions'!$D$5:$M$14,_xlpm.t,MATCH(I$4,'[1]Territory Definitions'!$D$4:$M$4,0))&lt;&gt;1,"NOT IN TERRITORY",IF(COUNTIFS('[1]Blackout Brand Fam Areas (Enc)'!$B$6:$B$998,$A194,'[1]Blackout Brand Fam Areas (Enc)'!$C$6:$C$998,I$4,'[1]Blackout Brand Fam Areas (Enc)'!$D$6:$D$998,"Inactive")&gt;0,"BLOCKED","CAN SELL")))))</f>
        <v>CAN SELL</v>
      </c>
      <c r="J194" s="11" t="str">
        <f>IF($A194="","",_xlfn.LET(_xlpm.t,MATCH($B194,'[1]Territory Definitions'!$B$5:$B$14,0),IF(ISNA(_xlpm.t),"NO TERRITORY",IF(INDEX('[1]Territory Definitions'!$D$5:$M$14,_xlpm.t,MATCH(J$4,'[1]Territory Definitions'!$D$4:$M$4,0))&lt;&gt;1,"NOT IN TERRITORY",IF(COUNTIFS('[1]Blackout Brand Fam Areas (Enc)'!$B$6:$B$998,$A194,'[1]Blackout Brand Fam Areas (Enc)'!$C$6:$C$998,J$4,'[1]Blackout Brand Fam Areas (Enc)'!$D$6:$D$998,"Inactive")&gt;0,"BLOCKED","CAN SELL")))))</f>
        <v>CAN SELL</v>
      </c>
      <c r="K194" s="11" t="str">
        <f>IF($A194="","",_xlfn.LET(_xlpm.t,MATCH($B194,'[1]Territory Definitions'!$B$5:$B$14,0),IF(ISNA(_xlpm.t),"NO TERRITORY",IF(INDEX('[1]Territory Definitions'!$D$5:$M$14,_xlpm.t,MATCH(K$4,'[1]Territory Definitions'!$D$4:$M$4,0))&lt;&gt;1,"NOT IN TERRITORY",IF(COUNTIFS('[1]Blackout Brand Fam Areas (Enc)'!$B$6:$B$998,$A194,'[1]Blackout Brand Fam Areas (Enc)'!$C$6:$C$998,K$4,'[1]Blackout Brand Fam Areas (Enc)'!$D$6:$D$998,"Inactive")&gt;0,"BLOCKED","CAN SELL")))))</f>
        <v>CAN SELL</v>
      </c>
      <c r="L194" s="11" t="str">
        <f>IF($A194="","",_xlfn.LET(_xlpm.t,MATCH($B194,'[1]Territory Definitions'!$B$5:$B$14,0),IF(ISNA(_xlpm.t),"NO TERRITORY",IF(INDEX('[1]Territory Definitions'!$D$5:$M$14,_xlpm.t,MATCH(L$4,'[1]Territory Definitions'!$D$4:$M$4,0))&lt;&gt;1,"NOT IN TERRITORY",IF(COUNTIFS('[1]Blackout Brand Fam Areas (Enc)'!$B$6:$B$998,$A194,'[1]Blackout Brand Fam Areas (Enc)'!$C$6:$C$998,L$4,'[1]Blackout Brand Fam Areas (Enc)'!$D$6:$D$998,"Inactive")&gt;0,"BLOCKED","CAN SELL")))))</f>
        <v>CAN SELL</v>
      </c>
      <c r="M194" s="12">
        <f>IF($A194="","",COUNTIF($C194:$L194,"CAN SELL"))</f>
        <v>10</v>
      </c>
      <c r="N194" s="13" cm="1">
        <f t="array" ref="N194">IF($A194="","",SUMPRODUCT(($C194:$L194="CAN SELL")*$C$3:$L$3))</f>
        <v>2306</v>
      </c>
      <c r="O194" s="14" t="str">
        <f>IF($A194="","",IF(COUNTIF($A$5:$A$299,$A194)&gt;1,"DUPLICATE - two different territories assigned",IF($B194="** NO TERRITORY SET **","No territory on Brand Family Territory (Enc)","")))</f>
        <v/>
      </c>
      <c r="P194" s="18" t="str">
        <f>IF($A194="","",IFERROR(INDEX([1]Products!$H$4:$H$4801,MATCH($A194,[1]Products!$G$4:$G$4801,0)),"(no products)"))</f>
        <v>Pabst Brewing Company</v>
      </c>
      <c r="Q194" s="19">
        <f>IF($A194="","",COUNTIFS([1]Products!$G$4:$G$4801,$A194,[1]Products!$L$4:$L$4801,"Yes"))</f>
        <v>11</v>
      </c>
      <c r="R194" s="19">
        <f>IF($A194="","",COUNTIFS([1]Products!$G$4:$G$4801,$A194,[1]Products!$L$4:$L$4801,"Yes",[1]Products!$K$4:$K$4801,"Draft"))</f>
        <v>2</v>
      </c>
      <c r="S194" s="19">
        <f>IF($A194="","",COUNTIFS([1]Products!$G$4:$G$4801,$A194,[1]Products!$L$4:$L$4801,"Yes",[1]Products!$K$4:$K$4801,"Package"))</f>
        <v>9</v>
      </c>
      <c r="T194" s="20" t="str" cm="1">
        <f t="array" ref="T194">IF($A194="","",_xlfn.IFS($Q194=0,"NO ACTIVE SKUs",AND($R194&gt;0,$S194&gt;0),"Draft &amp; Package",$R194&gt;0,"Draft only",TRUE,"Package only"))</f>
        <v>Draft &amp; Package</v>
      </c>
    </row>
    <row r="195" spans="1:20" x14ac:dyDescent="0.2">
      <c r="A195" s="9" t="str">
        <v>Newburgh</v>
      </c>
      <c r="B195" s="10" t="str">
        <f>IF($A195="","",_xlfn.XLOOKUP($A195,'[1]Brand Family Territory (Enc)'!$A:$A,'[1]Brand Family Territory (Enc)'!$B:$B,"** NO TERRITORY SET **"))</f>
        <v>All Counties</v>
      </c>
      <c r="C195" s="11" t="str">
        <f>IF($A195="","",_xlfn.LET(_xlpm.t,MATCH($B195,'[1]Territory Definitions'!$B$5:$B$14,0),IF(ISNA(_xlpm.t),"NO TERRITORY",IF(INDEX('[1]Territory Definitions'!$D$5:$M$14,_xlpm.t,MATCH(C$4,'[1]Territory Definitions'!$D$4:$M$4,0))&lt;&gt;1,"NOT IN TERRITORY",IF(COUNTIFS('[1]Blackout Brand Fam Areas (Enc)'!$B$6:$B$998,$A195,'[1]Blackout Brand Fam Areas (Enc)'!$C$6:$C$998,C$4,'[1]Blackout Brand Fam Areas (Enc)'!$D$6:$D$998,"Inactive")&gt;0,"BLOCKED","CAN SELL")))))</f>
        <v>CAN SELL</v>
      </c>
      <c r="D195" s="11" t="str">
        <f>IF($A195="","",_xlfn.LET(_xlpm.t,MATCH($B195,'[1]Territory Definitions'!$B$5:$B$14,0),IF(ISNA(_xlpm.t),"NO TERRITORY",IF(INDEX('[1]Territory Definitions'!$D$5:$M$14,_xlpm.t,MATCH(D$4,'[1]Territory Definitions'!$D$4:$M$4,0))&lt;&gt;1,"NOT IN TERRITORY",IF(COUNTIFS('[1]Blackout Brand Fam Areas (Enc)'!$B$6:$B$998,$A195,'[1]Blackout Brand Fam Areas (Enc)'!$C$6:$C$998,D$4,'[1]Blackout Brand Fam Areas (Enc)'!$D$6:$D$998,"Inactive")&gt;0,"BLOCKED","CAN SELL")))))</f>
        <v>CAN SELL</v>
      </c>
      <c r="E195" s="11" t="str">
        <f>IF($A195="","",_xlfn.LET(_xlpm.t,MATCH($B195,'[1]Territory Definitions'!$B$5:$B$14,0),IF(ISNA(_xlpm.t),"NO TERRITORY",IF(INDEX('[1]Territory Definitions'!$D$5:$M$14,_xlpm.t,MATCH(E$4,'[1]Territory Definitions'!$D$4:$M$4,0))&lt;&gt;1,"NOT IN TERRITORY",IF(COUNTIFS('[1]Blackout Brand Fam Areas (Enc)'!$B$6:$B$998,$A195,'[1]Blackout Brand Fam Areas (Enc)'!$C$6:$C$998,E$4,'[1]Blackout Brand Fam Areas (Enc)'!$D$6:$D$998,"Inactive")&gt;0,"BLOCKED","CAN SELL")))))</f>
        <v>CAN SELL</v>
      </c>
      <c r="F195" s="11" t="str">
        <f>IF($A195="","",_xlfn.LET(_xlpm.t,MATCH($B195,'[1]Territory Definitions'!$B$5:$B$14,0),IF(ISNA(_xlpm.t),"NO TERRITORY",IF(INDEX('[1]Territory Definitions'!$D$5:$M$14,_xlpm.t,MATCH(F$4,'[1]Territory Definitions'!$D$4:$M$4,0))&lt;&gt;1,"NOT IN TERRITORY",IF(COUNTIFS('[1]Blackout Brand Fam Areas (Enc)'!$B$6:$B$998,$A195,'[1]Blackout Brand Fam Areas (Enc)'!$C$6:$C$998,F$4,'[1]Blackout Brand Fam Areas (Enc)'!$D$6:$D$998,"Inactive")&gt;0,"BLOCKED","CAN SELL")))))</f>
        <v>CAN SELL</v>
      </c>
      <c r="G195" s="11" t="str">
        <f>IF($A195="","",_xlfn.LET(_xlpm.t,MATCH($B195,'[1]Territory Definitions'!$B$5:$B$14,0),IF(ISNA(_xlpm.t),"NO TERRITORY",IF(INDEX('[1]Territory Definitions'!$D$5:$M$14,_xlpm.t,MATCH(G$4,'[1]Territory Definitions'!$D$4:$M$4,0))&lt;&gt;1,"NOT IN TERRITORY",IF(COUNTIFS('[1]Blackout Brand Fam Areas (Enc)'!$B$6:$B$998,$A195,'[1]Blackout Brand Fam Areas (Enc)'!$C$6:$C$998,G$4,'[1]Blackout Brand Fam Areas (Enc)'!$D$6:$D$998,"Inactive")&gt;0,"BLOCKED","CAN SELL")))))</f>
        <v>CAN SELL</v>
      </c>
      <c r="H195" s="11" t="str">
        <f>IF($A195="","",_xlfn.LET(_xlpm.t,MATCH($B195,'[1]Territory Definitions'!$B$5:$B$14,0),IF(ISNA(_xlpm.t),"NO TERRITORY",IF(INDEX('[1]Territory Definitions'!$D$5:$M$14,_xlpm.t,MATCH(H$4,'[1]Territory Definitions'!$D$4:$M$4,0))&lt;&gt;1,"NOT IN TERRITORY",IF(COUNTIFS('[1]Blackout Brand Fam Areas (Enc)'!$B$6:$B$998,$A195,'[1]Blackout Brand Fam Areas (Enc)'!$C$6:$C$998,H$4,'[1]Blackout Brand Fam Areas (Enc)'!$D$6:$D$998,"Inactive")&gt;0,"BLOCKED","CAN SELL")))))</f>
        <v>CAN SELL</v>
      </c>
      <c r="I195" s="11" t="str">
        <f>IF($A195="","",_xlfn.LET(_xlpm.t,MATCH($B195,'[1]Territory Definitions'!$B$5:$B$14,0),IF(ISNA(_xlpm.t),"NO TERRITORY",IF(INDEX('[1]Territory Definitions'!$D$5:$M$14,_xlpm.t,MATCH(I$4,'[1]Territory Definitions'!$D$4:$M$4,0))&lt;&gt;1,"NOT IN TERRITORY",IF(COUNTIFS('[1]Blackout Brand Fam Areas (Enc)'!$B$6:$B$998,$A195,'[1]Blackout Brand Fam Areas (Enc)'!$C$6:$C$998,I$4,'[1]Blackout Brand Fam Areas (Enc)'!$D$6:$D$998,"Inactive")&gt;0,"BLOCKED","CAN SELL")))))</f>
        <v>CAN SELL</v>
      </c>
      <c r="J195" s="11" t="str">
        <f>IF($A195="","",_xlfn.LET(_xlpm.t,MATCH($B195,'[1]Territory Definitions'!$B$5:$B$14,0),IF(ISNA(_xlpm.t),"NO TERRITORY",IF(INDEX('[1]Territory Definitions'!$D$5:$M$14,_xlpm.t,MATCH(J$4,'[1]Territory Definitions'!$D$4:$M$4,0))&lt;&gt;1,"NOT IN TERRITORY",IF(COUNTIFS('[1]Blackout Brand Fam Areas (Enc)'!$B$6:$B$998,$A195,'[1]Blackout Brand Fam Areas (Enc)'!$C$6:$C$998,J$4,'[1]Blackout Brand Fam Areas (Enc)'!$D$6:$D$998,"Inactive")&gt;0,"BLOCKED","CAN SELL")))))</f>
        <v>CAN SELL</v>
      </c>
      <c r="K195" s="11" t="str">
        <f>IF($A195="","",_xlfn.LET(_xlpm.t,MATCH($B195,'[1]Territory Definitions'!$B$5:$B$14,0),IF(ISNA(_xlpm.t),"NO TERRITORY",IF(INDEX('[1]Territory Definitions'!$D$5:$M$14,_xlpm.t,MATCH(K$4,'[1]Territory Definitions'!$D$4:$M$4,0))&lt;&gt;1,"NOT IN TERRITORY",IF(COUNTIFS('[1]Blackout Brand Fam Areas (Enc)'!$B$6:$B$998,$A195,'[1]Blackout Brand Fam Areas (Enc)'!$C$6:$C$998,K$4,'[1]Blackout Brand Fam Areas (Enc)'!$D$6:$D$998,"Inactive")&gt;0,"BLOCKED","CAN SELL")))))</f>
        <v>CAN SELL</v>
      </c>
      <c r="L195" s="11" t="str">
        <f>IF($A195="","",_xlfn.LET(_xlpm.t,MATCH($B195,'[1]Territory Definitions'!$B$5:$B$14,0),IF(ISNA(_xlpm.t),"NO TERRITORY",IF(INDEX('[1]Territory Definitions'!$D$5:$M$14,_xlpm.t,MATCH(L$4,'[1]Territory Definitions'!$D$4:$M$4,0))&lt;&gt;1,"NOT IN TERRITORY",IF(COUNTIFS('[1]Blackout Brand Fam Areas (Enc)'!$B$6:$B$998,$A195,'[1]Blackout Brand Fam Areas (Enc)'!$C$6:$C$998,L$4,'[1]Blackout Brand Fam Areas (Enc)'!$D$6:$D$998,"Inactive")&gt;0,"BLOCKED","CAN SELL")))))</f>
        <v>CAN SELL</v>
      </c>
      <c r="M195" s="12">
        <f>IF($A195="","",COUNTIF($C195:$L195,"CAN SELL"))</f>
        <v>10</v>
      </c>
      <c r="N195" s="13" cm="1">
        <f t="array" ref="N195">IF($A195="","",SUMPRODUCT(($C195:$L195="CAN SELL")*$C$3:$L$3))</f>
        <v>2306</v>
      </c>
      <c r="O195" s="14" t="str">
        <f>IF($A195="","",IF(COUNTIF($A$5:$A$299,$A195)&gt;1,"DUPLICATE - two different territories assigned",IF($B195="** NO TERRITORY SET **","No territory on Brand Family Territory (Enc)","")))</f>
        <v/>
      </c>
      <c r="P195" s="18" t="str">
        <f>IF($A195="","",IFERROR(INDEX([1]Products!$H$4:$H$4801,MATCH($A195,[1]Products!$G$4:$G$4801,0)),"(no products)"))</f>
        <v>Newburgh Brewing</v>
      </c>
      <c r="Q195" s="19">
        <f>IF($A195="","",COUNTIFS([1]Products!$G$4:$G$4801,$A195,[1]Products!$L$4:$L$4801,"Yes"))</f>
        <v>11</v>
      </c>
      <c r="R195" s="19">
        <f>IF($A195="","",COUNTIFS([1]Products!$G$4:$G$4801,$A195,[1]Products!$L$4:$L$4801,"Yes",[1]Products!$K$4:$K$4801,"Draft"))</f>
        <v>6</v>
      </c>
      <c r="S195" s="19">
        <f>IF($A195="","",COUNTIFS([1]Products!$G$4:$G$4801,$A195,[1]Products!$L$4:$L$4801,"Yes",[1]Products!$K$4:$K$4801,"Package"))</f>
        <v>5</v>
      </c>
      <c r="T195" s="20" t="str" cm="1">
        <f t="array" ref="T195">IF($A195="","",_xlfn.IFS($Q195=0,"NO ACTIVE SKUs",AND($R195&gt;0,$S195&gt;0),"Draft &amp; Package",$R195&gt;0,"Draft only",TRUE,"Package only"))</f>
        <v>Draft &amp; Package</v>
      </c>
    </row>
    <row r="196" spans="1:20" x14ac:dyDescent="0.2">
      <c r="A196" s="9" t="str">
        <v>Old English</v>
      </c>
      <c r="B196" s="10" t="str">
        <f>IF($A196="","",_xlfn.XLOOKUP($A196,'[1]Brand Family Territory (Enc)'!$A:$A,'[1]Brand Family Territory (Enc)'!$B:$B,"** NO TERRITORY SET **"))</f>
        <v>Core Market</v>
      </c>
      <c r="C196" s="11" t="str">
        <f>IF($A196="","",_xlfn.LET(_xlpm.t,MATCH($B196,'[1]Territory Definitions'!$B$5:$B$14,0),IF(ISNA(_xlpm.t),"NO TERRITORY",IF(INDEX('[1]Territory Definitions'!$D$5:$M$14,_xlpm.t,MATCH(C$4,'[1]Territory Definitions'!$D$4:$M$4,0))&lt;&gt;1,"NOT IN TERRITORY",IF(COUNTIFS('[1]Blackout Brand Fam Areas (Enc)'!$B$6:$B$998,$A196,'[1]Blackout Brand Fam Areas (Enc)'!$C$6:$C$998,C$4,'[1]Blackout Brand Fam Areas (Enc)'!$D$6:$D$998,"Inactive")&gt;0,"BLOCKED","CAN SELL")))))</f>
        <v>CAN SELL</v>
      </c>
      <c r="D196" s="11" t="str">
        <f>IF($A196="","",_xlfn.LET(_xlpm.t,MATCH($B196,'[1]Territory Definitions'!$B$5:$B$14,0),IF(ISNA(_xlpm.t),"NO TERRITORY",IF(INDEX('[1]Territory Definitions'!$D$5:$M$14,_xlpm.t,MATCH(D$4,'[1]Territory Definitions'!$D$4:$M$4,0))&lt;&gt;1,"NOT IN TERRITORY",IF(COUNTIFS('[1]Blackout Brand Fam Areas (Enc)'!$B$6:$B$998,$A196,'[1]Blackout Brand Fam Areas (Enc)'!$C$6:$C$998,D$4,'[1]Blackout Brand Fam Areas (Enc)'!$D$6:$D$998,"Inactive")&gt;0,"BLOCKED","CAN SELL")))))</f>
        <v>CAN SELL</v>
      </c>
      <c r="E196" s="11" t="str">
        <f>IF($A196="","",_xlfn.LET(_xlpm.t,MATCH($B196,'[1]Territory Definitions'!$B$5:$B$14,0),IF(ISNA(_xlpm.t),"NO TERRITORY",IF(INDEX('[1]Territory Definitions'!$D$5:$M$14,_xlpm.t,MATCH(E$4,'[1]Territory Definitions'!$D$4:$M$4,0))&lt;&gt;1,"NOT IN TERRITORY",IF(COUNTIFS('[1]Blackout Brand Fam Areas (Enc)'!$B$6:$B$998,$A196,'[1]Blackout Brand Fam Areas (Enc)'!$C$6:$C$998,E$4,'[1]Blackout Brand Fam Areas (Enc)'!$D$6:$D$998,"Inactive")&gt;0,"BLOCKED","CAN SELL")))))</f>
        <v>CAN SELL</v>
      </c>
      <c r="F196" s="11" t="str">
        <f>IF($A196="","",_xlfn.LET(_xlpm.t,MATCH($B196,'[1]Territory Definitions'!$B$5:$B$14,0),IF(ISNA(_xlpm.t),"NO TERRITORY",IF(INDEX('[1]Territory Definitions'!$D$5:$M$14,_xlpm.t,MATCH(F$4,'[1]Territory Definitions'!$D$4:$M$4,0))&lt;&gt;1,"NOT IN TERRITORY",IF(COUNTIFS('[1]Blackout Brand Fam Areas (Enc)'!$B$6:$B$998,$A196,'[1]Blackout Brand Fam Areas (Enc)'!$C$6:$C$998,F$4,'[1]Blackout Brand Fam Areas (Enc)'!$D$6:$D$998,"Inactive")&gt;0,"BLOCKED","CAN SELL")))))</f>
        <v>NOT IN TERRITORY</v>
      </c>
      <c r="G196" s="11" t="str">
        <f>IF($A196="","",_xlfn.LET(_xlpm.t,MATCH($B196,'[1]Territory Definitions'!$B$5:$B$14,0),IF(ISNA(_xlpm.t),"NO TERRITORY",IF(INDEX('[1]Territory Definitions'!$D$5:$M$14,_xlpm.t,MATCH(G$4,'[1]Territory Definitions'!$D$4:$M$4,0))&lt;&gt;1,"NOT IN TERRITORY",IF(COUNTIFS('[1]Blackout Brand Fam Areas (Enc)'!$B$6:$B$998,$A196,'[1]Blackout Brand Fam Areas (Enc)'!$C$6:$C$998,G$4,'[1]Blackout Brand Fam Areas (Enc)'!$D$6:$D$998,"Inactive")&gt;0,"BLOCKED","CAN SELL")))))</f>
        <v>NOT IN TERRITORY</v>
      </c>
      <c r="H196" s="11" t="str">
        <f>IF($A196="","",_xlfn.LET(_xlpm.t,MATCH($B196,'[1]Territory Definitions'!$B$5:$B$14,0),IF(ISNA(_xlpm.t),"NO TERRITORY",IF(INDEX('[1]Territory Definitions'!$D$5:$M$14,_xlpm.t,MATCH(H$4,'[1]Territory Definitions'!$D$4:$M$4,0))&lt;&gt;1,"NOT IN TERRITORY",IF(COUNTIFS('[1]Blackout Brand Fam Areas (Enc)'!$B$6:$B$998,$A196,'[1]Blackout Brand Fam Areas (Enc)'!$C$6:$C$998,H$4,'[1]Blackout Brand Fam Areas (Enc)'!$D$6:$D$998,"Inactive")&gt;0,"BLOCKED","CAN SELL")))))</f>
        <v>NOT IN TERRITORY</v>
      </c>
      <c r="I196" s="11" t="str">
        <f>IF($A196="","",_xlfn.LET(_xlpm.t,MATCH($B196,'[1]Territory Definitions'!$B$5:$B$14,0),IF(ISNA(_xlpm.t),"NO TERRITORY",IF(INDEX('[1]Territory Definitions'!$D$5:$M$14,_xlpm.t,MATCH(I$4,'[1]Territory Definitions'!$D$4:$M$4,0))&lt;&gt;1,"NOT IN TERRITORY",IF(COUNTIFS('[1]Blackout Brand Fam Areas (Enc)'!$B$6:$B$998,$A196,'[1]Blackout Brand Fam Areas (Enc)'!$C$6:$C$998,I$4,'[1]Blackout Brand Fam Areas (Enc)'!$D$6:$D$998,"Inactive")&gt;0,"BLOCKED","CAN SELL")))))</f>
        <v>CAN SELL</v>
      </c>
      <c r="J196" s="11" t="str">
        <f>IF($A196="","",_xlfn.LET(_xlpm.t,MATCH($B196,'[1]Territory Definitions'!$B$5:$B$14,0),IF(ISNA(_xlpm.t),"NO TERRITORY",IF(INDEX('[1]Territory Definitions'!$D$5:$M$14,_xlpm.t,MATCH(J$4,'[1]Territory Definitions'!$D$4:$M$4,0))&lt;&gt;1,"NOT IN TERRITORY",IF(COUNTIFS('[1]Blackout Brand Fam Areas (Enc)'!$B$6:$B$998,$A196,'[1]Blackout Brand Fam Areas (Enc)'!$C$6:$C$998,J$4,'[1]Blackout Brand Fam Areas (Enc)'!$D$6:$D$998,"Inactive")&gt;0,"BLOCKED","CAN SELL")))))</f>
        <v>CAN SELL</v>
      </c>
      <c r="K196" s="11" t="str">
        <f>IF($A196="","",_xlfn.LET(_xlpm.t,MATCH($B196,'[1]Territory Definitions'!$B$5:$B$14,0),IF(ISNA(_xlpm.t),"NO TERRITORY",IF(INDEX('[1]Territory Definitions'!$D$5:$M$14,_xlpm.t,MATCH(K$4,'[1]Territory Definitions'!$D$4:$M$4,0))&lt;&gt;1,"NOT IN TERRITORY",IF(COUNTIFS('[1]Blackout Brand Fam Areas (Enc)'!$B$6:$B$998,$A196,'[1]Blackout Brand Fam Areas (Enc)'!$C$6:$C$998,K$4,'[1]Blackout Brand Fam Areas (Enc)'!$D$6:$D$998,"Inactive")&gt;0,"BLOCKED","CAN SELL")))))</f>
        <v>NOT IN TERRITORY</v>
      </c>
      <c r="L196" s="11" t="str">
        <f>IF($A196="","",_xlfn.LET(_xlpm.t,MATCH($B196,'[1]Territory Definitions'!$B$5:$B$14,0),IF(ISNA(_xlpm.t),"NO TERRITORY",IF(INDEX('[1]Territory Definitions'!$D$5:$M$14,_xlpm.t,MATCH(L$4,'[1]Territory Definitions'!$D$4:$M$4,0))&lt;&gt;1,"NOT IN TERRITORY",IF(COUNTIFS('[1]Blackout Brand Fam Areas (Enc)'!$B$6:$B$998,$A196,'[1]Blackout Brand Fam Areas (Enc)'!$C$6:$C$998,L$4,'[1]Blackout Brand Fam Areas (Enc)'!$D$6:$D$998,"Inactive")&gt;0,"BLOCKED","CAN SELL")))))</f>
        <v>CAN SELL</v>
      </c>
      <c r="M196" s="12">
        <f>IF($A196="","",COUNTIF($C196:$L196,"CAN SELL"))</f>
        <v>6</v>
      </c>
      <c r="N196" s="13" cm="1">
        <f t="array" ref="N196">IF($A196="","",SUMPRODUCT(($C196:$L196="CAN SELL")*$C$3:$L$3))</f>
        <v>1596</v>
      </c>
      <c r="O196" s="14" t="str">
        <f>IF($A196="","",IF(COUNTIF($A$5:$A$299,$A196)&gt;1,"DUPLICATE - two different territories assigned",IF($B196="** NO TERRITORY SET **","No territory on Brand Family Territory (Enc)","")))</f>
        <v/>
      </c>
      <c r="P196" s="18" t="str">
        <f>IF($A196="","",IFERROR(INDEX([1]Products!$H$4:$H$4801,MATCH($A196,[1]Products!$G$4:$G$4801,0)),"(no products)"))</f>
        <v>MolsonCoors Beverage Company</v>
      </c>
      <c r="Q196" s="19">
        <f>IF($A196="","",COUNTIFS([1]Products!$G$4:$G$4801,$A196,[1]Products!$L$4:$L$4801,"Yes"))</f>
        <v>3</v>
      </c>
      <c r="R196" s="19">
        <f>IF($A196="","",COUNTIFS([1]Products!$G$4:$G$4801,$A196,[1]Products!$L$4:$L$4801,"Yes",[1]Products!$K$4:$K$4801,"Draft"))</f>
        <v>0</v>
      </c>
      <c r="S196" s="19">
        <f>IF($A196="","",COUNTIFS([1]Products!$G$4:$G$4801,$A196,[1]Products!$L$4:$L$4801,"Yes",[1]Products!$K$4:$K$4801,"Package"))</f>
        <v>3</v>
      </c>
      <c r="T196" s="20" t="str" cm="1">
        <f t="array" ref="T196">IF($A196="","",_xlfn.IFS($Q196=0,"NO ACTIVE SKUs",AND($R196&gt;0,$S196&gt;0),"Draft &amp; Package",$R196&gt;0,"Draft only",TRUE,"Package only"))</f>
        <v>Package only</v>
      </c>
    </row>
    <row r="197" spans="1:20" x14ac:dyDescent="0.2">
      <c r="A197" s="9" t="str">
        <v>Old Milwaukee</v>
      </c>
      <c r="B197" s="10" t="str">
        <f>IF($A197="","",_xlfn.XLOOKUP($A197,'[1]Brand Family Territory (Enc)'!$A:$A,'[1]Brand Family Territory (Enc)'!$B:$B,"** NO TERRITORY SET **"))</f>
        <v>All Counties</v>
      </c>
      <c r="C197" s="11" t="str">
        <f>IF($A197="","",_xlfn.LET(_xlpm.t,MATCH($B197,'[1]Territory Definitions'!$B$5:$B$14,0),IF(ISNA(_xlpm.t),"NO TERRITORY",IF(INDEX('[1]Territory Definitions'!$D$5:$M$14,_xlpm.t,MATCH(C$4,'[1]Territory Definitions'!$D$4:$M$4,0))&lt;&gt;1,"NOT IN TERRITORY",IF(COUNTIFS('[1]Blackout Brand Fam Areas (Enc)'!$B$6:$B$998,$A197,'[1]Blackout Brand Fam Areas (Enc)'!$C$6:$C$998,C$4,'[1]Blackout Brand Fam Areas (Enc)'!$D$6:$D$998,"Inactive")&gt;0,"BLOCKED","CAN SELL")))))</f>
        <v>CAN SELL</v>
      </c>
      <c r="D197" s="11" t="str">
        <f>IF($A197="","",_xlfn.LET(_xlpm.t,MATCH($B197,'[1]Territory Definitions'!$B$5:$B$14,0),IF(ISNA(_xlpm.t),"NO TERRITORY",IF(INDEX('[1]Territory Definitions'!$D$5:$M$14,_xlpm.t,MATCH(D$4,'[1]Territory Definitions'!$D$4:$M$4,0))&lt;&gt;1,"NOT IN TERRITORY",IF(COUNTIFS('[1]Blackout Brand Fam Areas (Enc)'!$B$6:$B$998,$A197,'[1]Blackout Brand Fam Areas (Enc)'!$C$6:$C$998,D$4,'[1]Blackout Brand Fam Areas (Enc)'!$D$6:$D$998,"Inactive")&gt;0,"BLOCKED","CAN SELL")))))</f>
        <v>CAN SELL</v>
      </c>
      <c r="E197" s="11" t="str">
        <f>IF($A197="","",_xlfn.LET(_xlpm.t,MATCH($B197,'[1]Territory Definitions'!$B$5:$B$14,0),IF(ISNA(_xlpm.t),"NO TERRITORY",IF(INDEX('[1]Territory Definitions'!$D$5:$M$14,_xlpm.t,MATCH(E$4,'[1]Territory Definitions'!$D$4:$M$4,0))&lt;&gt;1,"NOT IN TERRITORY",IF(COUNTIFS('[1]Blackout Brand Fam Areas (Enc)'!$B$6:$B$998,$A197,'[1]Blackout Brand Fam Areas (Enc)'!$C$6:$C$998,E$4,'[1]Blackout Brand Fam Areas (Enc)'!$D$6:$D$998,"Inactive")&gt;0,"BLOCKED","CAN SELL")))))</f>
        <v>CAN SELL</v>
      </c>
      <c r="F197" s="11" t="str">
        <f>IF($A197="","",_xlfn.LET(_xlpm.t,MATCH($B197,'[1]Territory Definitions'!$B$5:$B$14,0),IF(ISNA(_xlpm.t),"NO TERRITORY",IF(INDEX('[1]Territory Definitions'!$D$5:$M$14,_xlpm.t,MATCH(F$4,'[1]Territory Definitions'!$D$4:$M$4,0))&lt;&gt;1,"NOT IN TERRITORY",IF(COUNTIFS('[1]Blackout Brand Fam Areas (Enc)'!$B$6:$B$998,$A197,'[1]Blackout Brand Fam Areas (Enc)'!$C$6:$C$998,F$4,'[1]Blackout Brand Fam Areas (Enc)'!$D$6:$D$998,"Inactive")&gt;0,"BLOCKED","CAN SELL")))))</f>
        <v>CAN SELL</v>
      </c>
      <c r="G197" s="11" t="str">
        <f>IF($A197="","",_xlfn.LET(_xlpm.t,MATCH($B197,'[1]Territory Definitions'!$B$5:$B$14,0),IF(ISNA(_xlpm.t),"NO TERRITORY",IF(INDEX('[1]Territory Definitions'!$D$5:$M$14,_xlpm.t,MATCH(G$4,'[1]Territory Definitions'!$D$4:$M$4,0))&lt;&gt;1,"NOT IN TERRITORY",IF(COUNTIFS('[1]Blackout Brand Fam Areas (Enc)'!$B$6:$B$998,$A197,'[1]Blackout Brand Fam Areas (Enc)'!$C$6:$C$998,G$4,'[1]Blackout Brand Fam Areas (Enc)'!$D$6:$D$998,"Inactive")&gt;0,"BLOCKED","CAN SELL")))))</f>
        <v>CAN SELL</v>
      </c>
      <c r="H197" s="11" t="str">
        <f>IF($A197="","",_xlfn.LET(_xlpm.t,MATCH($B197,'[1]Territory Definitions'!$B$5:$B$14,0),IF(ISNA(_xlpm.t),"NO TERRITORY",IF(INDEX('[1]Territory Definitions'!$D$5:$M$14,_xlpm.t,MATCH(H$4,'[1]Territory Definitions'!$D$4:$M$4,0))&lt;&gt;1,"NOT IN TERRITORY",IF(COUNTIFS('[1]Blackout Brand Fam Areas (Enc)'!$B$6:$B$998,$A197,'[1]Blackout Brand Fam Areas (Enc)'!$C$6:$C$998,H$4,'[1]Blackout Brand Fam Areas (Enc)'!$D$6:$D$998,"Inactive")&gt;0,"BLOCKED","CAN SELL")))))</f>
        <v>CAN SELL</v>
      </c>
      <c r="I197" s="11" t="str">
        <f>IF($A197="","",_xlfn.LET(_xlpm.t,MATCH($B197,'[1]Territory Definitions'!$B$5:$B$14,0),IF(ISNA(_xlpm.t),"NO TERRITORY",IF(INDEX('[1]Territory Definitions'!$D$5:$M$14,_xlpm.t,MATCH(I$4,'[1]Territory Definitions'!$D$4:$M$4,0))&lt;&gt;1,"NOT IN TERRITORY",IF(COUNTIFS('[1]Blackout Brand Fam Areas (Enc)'!$B$6:$B$998,$A197,'[1]Blackout Brand Fam Areas (Enc)'!$C$6:$C$998,I$4,'[1]Blackout Brand Fam Areas (Enc)'!$D$6:$D$998,"Inactive")&gt;0,"BLOCKED","CAN SELL")))))</f>
        <v>CAN SELL</v>
      </c>
      <c r="J197" s="11" t="str">
        <f>IF($A197="","",_xlfn.LET(_xlpm.t,MATCH($B197,'[1]Territory Definitions'!$B$5:$B$14,0),IF(ISNA(_xlpm.t),"NO TERRITORY",IF(INDEX('[1]Territory Definitions'!$D$5:$M$14,_xlpm.t,MATCH(J$4,'[1]Territory Definitions'!$D$4:$M$4,0))&lt;&gt;1,"NOT IN TERRITORY",IF(COUNTIFS('[1]Blackout Brand Fam Areas (Enc)'!$B$6:$B$998,$A197,'[1]Blackout Brand Fam Areas (Enc)'!$C$6:$C$998,J$4,'[1]Blackout Brand Fam Areas (Enc)'!$D$6:$D$998,"Inactive")&gt;0,"BLOCKED","CAN SELL")))))</f>
        <v>CAN SELL</v>
      </c>
      <c r="K197" s="11" t="str">
        <f>IF($A197="","",_xlfn.LET(_xlpm.t,MATCH($B197,'[1]Territory Definitions'!$B$5:$B$14,0),IF(ISNA(_xlpm.t),"NO TERRITORY",IF(INDEX('[1]Territory Definitions'!$D$5:$M$14,_xlpm.t,MATCH(K$4,'[1]Territory Definitions'!$D$4:$M$4,0))&lt;&gt;1,"NOT IN TERRITORY",IF(COUNTIFS('[1]Blackout Brand Fam Areas (Enc)'!$B$6:$B$998,$A197,'[1]Blackout Brand Fam Areas (Enc)'!$C$6:$C$998,K$4,'[1]Blackout Brand Fam Areas (Enc)'!$D$6:$D$998,"Inactive")&gt;0,"BLOCKED","CAN SELL")))))</f>
        <v>CAN SELL</v>
      </c>
      <c r="L197" s="11" t="str">
        <f>IF($A197="","",_xlfn.LET(_xlpm.t,MATCH($B197,'[1]Territory Definitions'!$B$5:$B$14,0),IF(ISNA(_xlpm.t),"NO TERRITORY",IF(INDEX('[1]Territory Definitions'!$D$5:$M$14,_xlpm.t,MATCH(L$4,'[1]Territory Definitions'!$D$4:$M$4,0))&lt;&gt;1,"NOT IN TERRITORY",IF(COUNTIFS('[1]Blackout Brand Fam Areas (Enc)'!$B$6:$B$998,$A197,'[1]Blackout Brand Fam Areas (Enc)'!$C$6:$C$998,L$4,'[1]Blackout Brand Fam Areas (Enc)'!$D$6:$D$998,"Inactive")&gt;0,"BLOCKED","CAN SELL")))))</f>
        <v>CAN SELL</v>
      </c>
      <c r="M197" s="12">
        <f>IF($A197="","",COUNTIF($C197:$L197,"CAN SELL"))</f>
        <v>10</v>
      </c>
      <c r="N197" s="13" cm="1">
        <f t="array" ref="N197">IF($A197="","",SUMPRODUCT(($C197:$L197="CAN SELL")*$C$3:$L$3))</f>
        <v>2306</v>
      </c>
      <c r="O197" s="14" t="str">
        <f>IF($A197="","",IF(COUNTIF($A$5:$A$299,$A197)&gt;1,"DUPLICATE - two different territories assigned",IF($B197="** NO TERRITORY SET **","No territory on Brand Family Territory (Enc)","")))</f>
        <v/>
      </c>
      <c r="P197" s="18" t="str">
        <f>IF($A197="","",IFERROR(INDEX([1]Products!$H$4:$H$4801,MATCH($A197,[1]Products!$G$4:$G$4801,0)),"(no products)"))</f>
        <v>Pabst Brewing Company</v>
      </c>
      <c r="Q197" s="19">
        <f>IF($A197="","",COUNTIFS([1]Products!$G$4:$G$4801,$A197,[1]Products!$L$4:$L$4801,"Yes"))</f>
        <v>1</v>
      </c>
      <c r="R197" s="19">
        <f>IF($A197="","",COUNTIFS([1]Products!$G$4:$G$4801,$A197,[1]Products!$L$4:$L$4801,"Yes",[1]Products!$K$4:$K$4801,"Draft"))</f>
        <v>0</v>
      </c>
      <c r="S197" s="19">
        <f>IF($A197="","",COUNTIFS([1]Products!$G$4:$G$4801,$A197,[1]Products!$L$4:$L$4801,"Yes",[1]Products!$K$4:$K$4801,"Package"))</f>
        <v>1</v>
      </c>
      <c r="T197" s="20" t="str" cm="1">
        <f t="array" ref="T197">IF($A197="","",_xlfn.IFS($Q197=0,"NO ACTIVE SKUs",AND($R197&gt;0,$S197&gt;0),"Draft &amp; Package",$R197&gt;0,"Draft only",TRUE,"Package only"))</f>
        <v>Package only</v>
      </c>
    </row>
    <row r="198" spans="1:20" x14ac:dyDescent="0.2">
      <c r="A198" s="9" t="str">
        <v>Ole</v>
      </c>
      <c r="B198" s="10" t="str">
        <f>IF($A198="","",_xlfn.XLOOKUP($A198,'[1]Brand Family Territory (Enc)'!$A:$A,'[1]Brand Family Territory (Enc)'!$B:$B,"** NO TERRITORY SET **"))</f>
        <v>Core Market</v>
      </c>
      <c r="C198" s="11" t="str">
        <f>IF($A198="","",_xlfn.LET(_xlpm.t,MATCH($B198,'[1]Territory Definitions'!$B$5:$B$14,0),IF(ISNA(_xlpm.t),"NO TERRITORY",IF(INDEX('[1]Territory Definitions'!$D$5:$M$14,_xlpm.t,MATCH(C$4,'[1]Territory Definitions'!$D$4:$M$4,0))&lt;&gt;1,"NOT IN TERRITORY",IF(COUNTIFS('[1]Blackout Brand Fam Areas (Enc)'!$B$6:$B$998,$A198,'[1]Blackout Brand Fam Areas (Enc)'!$C$6:$C$998,C$4,'[1]Blackout Brand Fam Areas (Enc)'!$D$6:$D$998,"Inactive")&gt;0,"BLOCKED","CAN SELL")))))</f>
        <v>CAN SELL</v>
      </c>
      <c r="D198" s="11" t="str">
        <f>IF($A198="","",_xlfn.LET(_xlpm.t,MATCH($B198,'[1]Territory Definitions'!$B$5:$B$14,0),IF(ISNA(_xlpm.t),"NO TERRITORY",IF(INDEX('[1]Territory Definitions'!$D$5:$M$14,_xlpm.t,MATCH(D$4,'[1]Territory Definitions'!$D$4:$M$4,0))&lt;&gt;1,"NOT IN TERRITORY",IF(COUNTIFS('[1]Blackout Brand Fam Areas (Enc)'!$B$6:$B$998,$A198,'[1]Blackout Brand Fam Areas (Enc)'!$C$6:$C$998,D$4,'[1]Blackout Brand Fam Areas (Enc)'!$D$6:$D$998,"Inactive")&gt;0,"BLOCKED","CAN SELL")))))</f>
        <v>CAN SELL</v>
      </c>
      <c r="E198" s="11" t="str">
        <f>IF($A198="","",_xlfn.LET(_xlpm.t,MATCH($B198,'[1]Territory Definitions'!$B$5:$B$14,0),IF(ISNA(_xlpm.t),"NO TERRITORY",IF(INDEX('[1]Territory Definitions'!$D$5:$M$14,_xlpm.t,MATCH(E$4,'[1]Territory Definitions'!$D$4:$M$4,0))&lt;&gt;1,"NOT IN TERRITORY",IF(COUNTIFS('[1]Blackout Brand Fam Areas (Enc)'!$B$6:$B$998,$A198,'[1]Blackout Brand Fam Areas (Enc)'!$C$6:$C$998,E$4,'[1]Blackout Brand Fam Areas (Enc)'!$D$6:$D$998,"Inactive")&gt;0,"BLOCKED","CAN SELL")))))</f>
        <v>CAN SELL</v>
      </c>
      <c r="F198" s="11" t="str">
        <f>IF($A198="","",_xlfn.LET(_xlpm.t,MATCH($B198,'[1]Territory Definitions'!$B$5:$B$14,0),IF(ISNA(_xlpm.t),"NO TERRITORY",IF(INDEX('[1]Territory Definitions'!$D$5:$M$14,_xlpm.t,MATCH(F$4,'[1]Territory Definitions'!$D$4:$M$4,0))&lt;&gt;1,"NOT IN TERRITORY",IF(COUNTIFS('[1]Blackout Brand Fam Areas (Enc)'!$B$6:$B$998,$A198,'[1]Blackout Brand Fam Areas (Enc)'!$C$6:$C$998,F$4,'[1]Blackout Brand Fam Areas (Enc)'!$D$6:$D$998,"Inactive")&gt;0,"BLOCKED","CAN SELL")))))</f>
        <v>NOT IN TERRITORY</v>
      </c>
      <c r="G198" s="11" t="str">
        <f>IF($A198="","",_xlfn.LET(_xlpm.t,MATCH($B198,'[1]Territory Definitions'!$B$5:$B$14,0),IF(ISNA(_xlpm.t),"NO TERRITORY",IF(INDEX('[1]Territory Definitions'!$D$5:$M$14,_xlpm.t,MATCH(G$4,'[1]Territory Definitions'!$D$4:$M$4,0))&lt;&gt;1,"NOT IN TERRITORY",IF(COUNTIFS('[1]Blackout Brand Fam Areas (Enc)'!$B$6:$B$998,$A198,'[1]Blackout Brand Fam Areas (Enc)'!$C$6:$C$998,G$4,'[1]Blackout Brand Fam Areas (Enc)'!$D$6:$D$998,"Inactive")&gt;0,"BLOCKED","CAN SELL")))))</f>
        <v>NOT IN TERRITORY</v>
      </c>
      <c r="H198" s="11" t="str">
        <f>IF($A198="","",_xlfn.LET(_xlpm.t,MATCH($B198,'[1]Territory Definitions'!$B$5:$B$14,0),IF(ISNA(_xlpm.t),"NO TERRITORY",IF(INDEX('[1]Territory Definitions'!$D$5:$M$14,_xlpm.t,MATCH(H$4,'[1]Territory Definitions'!$D$4:$M$4,0))&lt;&gt;1,"NOT IN TERRITORY",IF(COUNTIFS('[1]Blackout Brand Fam Areas (Enc)'!$B$6:$B$998,$A198,'[1]Blackout Brand Fam Areas (Enc)'!$C$6:$C$998,H$4,'[1]Blackout Brand Fam Areas (Enc)'!$D$6:$D$998,"Inactive")&gt;0,"BLOCKED","CAN SELL")))))</f>
        <v>NOT IN TERRITORY</v>
      </c>
      <c r="I198" s="11" t="str">
        <f>IF($A198="","",_xlfn.LET(_xlpm.t,MATCH($B198,'[1]Territory Definitions'!$B$5:$B$14,0),IF(ISNA(_xlpm.t),"NO TERRITORY",IF(INDEX('[1]Territory Definitions'!$D$5:$M$14,_xlpm.t,MATCH(I$4,'[1]Territory Definitions'!$D$4:$M$4,0))&lt;&gt;1,"NOT IN TERRITORY",IF(COUNTIFS('[1]Blackout Brand Fam Areas (Enc)'!$B$6:$B$998,$A198,'[1]Blackout Brand Fam Areas (Enc)'!$C$6:$C$998,I$4,'[1]Blackout Brand Fam Areas (Enc)'!$D$6:$D$998,"Inactive")&gt;0,"BLOCKED","CAN SELL")))))</f>
        <v>CAN SELL</v>
      </c>
      <c r="J198" s="11" t="str">
        <f>IF($A198="","",_xlfn.LET(_xlpm.t,MATCH($B198,'[1]Territory Definitions'!$B$5:$B$14,0),IF(ISNA(_xlpm.t),"NO TERRITORY",IF(INDEX('[1]Territory Definitions'!$D$5:$M$14,_xlpm.t,MATCH(J$4,'[1]Territory Definitions'!$D$4:$M$4,0))&lt;&gt;1,"NOT IN TERRITORY",IF(COUNTIFS('[1]Blackout Brand Fam Areas (Enc)'!$B$6:$B$998,$A198,'[1]Blackout Brand Fam Areas (Enc)'!$C$6:$C$998,J$4,'[1]Blackout Brand Fam Areas (Enc)'!$D$6:$D$998,"Inactive")&gt;0,"BLOCKED","CAN SELL")))))</f>
        <v>CAN SELL</v>
      </c>
      <c r="K198" s="11" t="str">
        <f>IF($A198="","",_xlfn.LET(_xlpm.t,MATCH($B198,'[1]Territory Definitions'!$B$5:$B$14,0),IF(ISNA(_xlpm.t),"NO TERRITORY",IF(INDEX('[1]Territory Definitions'!$D$5:$M$14,_xlpm.t,MATCH(K$4,'[1]Territory Definitions'!$D$4:$M$4,0))&lt;&gt;1,"NOT IN TERRITORY",IF(COUNTIFS('[1]Blackout Brand Fam Areas (Enc)'!$B$6:$B$998,$A198,'[1]Blackout Brand Fam Areas (Enc)'!$C$6:$C$998,K$4,'[1]Blackout Brand Fam Areas (Enc)'!$D$6:$D$998,"Inactive")&gt;0,"BLOCKED","CAN SELL")))))</f>
        <v>NOT IN TERRITORY</v>
      </c>
      <c r="L198" s="11" t="str">
        <f>IF($A198="","",_xlfn.LET(_xlpm.t,MATCH($B198,'[1]Territory Definitions'!$B$5:$B$14,0),IF(ISNA(_xlpm.t),"NO TERRITORY",IF(INDEX('[1]Territory Definitions'!$D$5:$M$14,_xlpm.t,MATCH(L$4,'[1]Territory Definitions'!$D$4:$M$4,0))&lt;&gt;1,"NOT IN TERRITORY",IF(COUNTIFS('[1]Blackout Brand Fam Areas (Enc)'!$B$6:$B$998,$A198,'[1]Blackout Brand Fam Areas (Enc)'!$C$6:$C$998,L$4,'[1]Blackout Brand Fam Areas (Enc)'!$D$6:$D$998,"Inactive")&gt;0,"BLOCKED","CAN SELL")))))</f>
        <v>CAN SELL</v>
      </c>
      <c r="M198" s="12">
        <f>IF($A198="","",COUNTIF($C198:$L198,"CAN SELL"))</f>
        <v>6</v>
      </c>
      <c r="N198" s="13" cm="1">
        <f t="array" ref="N198">IF($A198="","",SUMPRODUCT(($C198:$L198="CAN SELL")*$C$3:$L$3))</f>
        <v>1596</v>
      </c>
      <c r="O198" s="14" t="str">
        <f>IF($A198="","",IF(COUNTIF($A$5:$A$299,$A198)&gt;1,"DUPLICATE - two different territories assigned",IF($B198="** NO TERRITORY SET **","No territory on Brand Family Territory (Enc)","")))</f>
        <v/>
      </c>
      <c r="P198" s="18" t="str">
        <f>IF($A198="","",IFERROR(INDEX([1]Products!$H$4:$H$4801,MATCH($A198,[1]Products!$G$4:$G$4801,0)),"(no products)"))</f>
        <v>Mark Anthony</v>
      </c>
      <c r="Q198" s="19">
        <f>IF($A198="","",COUNTIFS([1]Products!$G$4:$G$4801,$A198,[1]Products!$L$4:$L$4801,"Yes"))</f>
        <v>5</v>
      </c>
      <c r="R198" s="19">
        <f>IF($A198="","",COUNTIFS([1]Products!$G$4:$G$4801,$A198,[1]Products!$L$4:$L$4801,"Yes",[1]Products!$K$4:$K$4801,"Draft"))</f>
        <v>0</v>
      </c>
      <c r="S198" s="19">
        <f>IF($A198="","",COUNTIFS([1]Products!$G$4:$G$4801,$A198,[1]Products!$L$4:$L$4801,"Yes",[1]Products!$K$4:$K$4801,"Package"))</f>
        <v>0</v>
      </c>
      <c r="T198" s="20" t="str" cm="1">
        <f t="array" ref="T198">IF($A198="","",_xlfn.IFS($Q198=0,"NO ACTIVE SKUs",AND($R198&gt;0,$S198&gt;0),"Draft &amp; Package",$R198&gt;0,"Draft only",TRUE,"Package only"))</f>
        <v>Package only</v>
      </c>
    </row>
    <row r="199" spans="1:20" x14ac:dyDescent="0.2">
      <c r="A199" s="9" t="str">
        <v>Other Half</v>
      </c>
      <c r="B199" s="10" t="str">
        <f>IF($A199="","",_xlfn.XLOOKUP($A199,'[1]Brand Family Territory (Enc)'!$A:$A,'[1]Brand Family Territory (Enc)'!$B:$B,"** NO TERRITORY SET **"))</f>
        <v>All Counties</v>
      </c>
      <c r="C199" s="11" t="str">
        <f>IF($A199="","",_xlfn.LET(_xlpm.t,MATCH($B199,'[1]Territory Definitions'!$B$5:$B$14,0),IF(ISNA(_xlpm.t),"NO TERRITORY",IF(INDEX('[1]Territory Definitions'!$D$5:$M$14,_xlpm.t,MATCH(C$4,'[1]Territory Definitions'!$D$4:$M$4,0))&lt;&gt;1,"NOT IN TERRITORY",IF(COUNTIFS('[1]Blackout Brand Fam Areas (Enc)'!$B$6:$B$998,$A199,'[1]Blackout Brand Fam Areas (Enc)'!$C$6:$C$998,C$4,'[1]Blackout Brand Fam Areas (Enc)'!$D$6:$D$998,"Inactive")&gt;0,"BLOCKED","CAN SELL")))))</f>
        <v>CAN SELL</v>
      </c>
      <c r="D199" s="11" t="str">
        <f>IF($A199="","",_xlfn.LET(_xlpm.t,MATCH($B199,'[1]Territory Definitions'!$B$5:$B$14,0),IF(ISNA(_xlpm.t),"NO TERRITORY",IF(INDEX('[1]Territory Definitions'!$D$5:$M$14,_xlpm.t,MATCH(D$4,'[1]Territory Definitions'!$D$4:$M$4,0))&lt;&gt;1,"NOT IN TERRITORY",IF(COUNTIFS('[1]Blackout Brand Fam Areas (Enc)'!$B$6:$B$998,$A199,'[1]Blackout Brand Fam Areas (Enc)'!$C$6:$C$998,D$4,'[1]Blackout Brand Fam Areas (Enc)'!$D$6:$D$998,"Inactive")&gt;0,"BLOCKED","CAN SELL")))))</f>
        <v>CAN SELL</v>
      </c>
      <c r="E199" s="11" t="str">
        <f>IF($A199="","",_xlfn.LET(_xlpm.t,MATCH($B199,'[1]Territory Definitions'!$B$5:$B$14,0),IF(ISNA(_xlpm.t),"NO TERRITORY",IF(INDEX('[1]Territory Definitions'!$D$5:$M$14,_xlpm.t,MATCH(E$4,'[1]Territory Definitions'!$D$4:$M$4,0))&lt;&gt;1,"NOT IN TERRITORY",IF(COUNTIFS('[1]Blackout Brand Fam Areas (Enc)'!$B$6:$B$998,$A199,'[1]Blackout Brand Fam Areas (Enc)'!$C$6:$C$998,E$4,'[1]Blackout Brand Fam Areas (Enc)'!$D$6:$D$998,"Inactive")&gt;0,"BLOCKED","CAN SELL")))))</f>
        <v>CAN SELL</v>
      </c>
      <c r="F199" s="11" t="str">
        <f>IF($A199="","",_xlfn.LET(_xlpm.t,MATCH($B199,'[1]Territory Definitions'!$B$5:$B$14,0),IF(ISNA(_xlpm.t),"NO TERRITORY",IF(INDEX('[1]Territory Definitions'!$D$5:$M$14,_xlpm.t,MATCH(F$4,'[1]Territory Definitions'!$D$4:$M$4,0))&lt;&gt;1,"NOT IN TERRITORY",IF(COUNTIFS('[1]Blackout Brand Fam Areas (Enc)'!$B$6:$B$998,$A199,'[1]Blackout Brand Fam Areas (Enc)'!$C$6:$C$998,F$4,'[1]Blackout Brand Fam Areas (Enc)'!$D$6:$D$998,"Inactive")&gt;0,"BLOCKED","CAN SELL")))))</f>
        <v>CAN SELL</v>
      </c>
      <c r="G199" s="11" t="str">
        <f>IF($A199="","",_xlfn.LET(_xlpm.t,MATCH($B199,'[1]Territory Definitions'!$B$5:$B$14,0),IF(ISNA(_xlpm.t),"NO TERRITORY",IF(INDEX('[1]Territory Definitions'!$D$5:$M$14,_xlpm.t,MATCH(G$4,'[1]Territory Definitions'!$D$4:$M$4,0))&lt;&gt;1,"NOT IN TERRITORY",IF(COUNTIFS('[1]Blackout Brand Fam Areas (Enc)'!$B$6:$B$998,$A199,'[1]Blackout Brand Fam Areas (Enc)'!$C$6:$C$998,G$4,'[1]Blackout Brand Fam Areas (Enc)'!$D$6:$D$998,"Inactive")&gt;0,"BLOCKED","CAN SELL")))))</f>
        <v>CAN SELL</v>
      </c>
      <c r="H199" s="11" t="str">
        <f>IF($A199="","",_xlfn.LET(_xlpm.t,MATCH($B199,'[1]Territory Definitions'!$B$5:$B$14,0),IF(ISNA(_xlpm.t),"NO TERRITORY",IF(INDEX('[1]Territory Definitions'!$D$5:$M$14,_xlpm.t,MATCH(H$4,'[1]Territory Definitions'!$D$4:$M$4,0))&lt;&gt;1,"NOT IN TERRITORY",IF(COUNTIFS('[1]Blackout Brand Fam Areas (Enc)'!$B$6:$B$998,$A199,'[1]Blackout Brand Fam Areas (Enc)'!$C$6:$C$998,H$4,'[1]Blackout Brand Fam Areas (Enc)'!$D$6:$D$998,"Inactive")&gt;0,"BLOCKED","CAN SELL")))))</f>
        <v>CAN SELL</v>
      </c>
      <c r="I199" s="11" t="str">
        <f>IF($A199="","",_xlfn.LET(_xlpm.t,MATCH($B199,'[1]Territory Definitions'!$B$5:$B$14,0),IF(ISNA(_xlpm.t),"NO TERRITORY",IF(INDEX('[1]Territory Definitions'!$D$5:$M$14,_xlpm.t,MATCH(I$4,'[1]Territory Definitions'!$D$4:$M$4,0))&lt;&gt;1,"NOT IN TERRITORY",IF(COUNTIFS('[1]Blackout Brand Fam Areas (Enc)'!$B$6:$B$998,$A199,'[1]Blackout Brand Fam Areas (Enc)'!$C$6:$C$998,I$4,'[1]Blackout Brand Fam Areas (Enc)'!$D$6:$D$998,"Inactive")&gt;0,"BLOCKED","CAN SELL")))))</f>
        <v>CAN SELL</v>
      </c>
      <c r="J199" s="11" t="str">
        <f>IF($A199="","",_xlfn.LET(_xlpm.t,MATCH($B199,'[1]Territory Definitions'!$B$5:$B$14,0),IF(ISNA(_xlpm.t),"NO TERRITORY",IF(INDEX('[1]Territory Definitions'!$D$5:$M$14,_xlpm.t,MATCH(J$4,'[1]Territory Definitions'!$D$4:$M$4,0))&lt;&gt;1,"NOT IN TERRITORY",IF(COUNTIFS('[1]Blackout Brand Fam Areas (Enc)'!$B$6:$B$998,$A199,'[1]Blackout Brand Fam Areas (Enc)'!$C$6:$C$998,J$4,'[1]Blackout Brand Fam Areas (Enc)'!$D$6:$D$998,"Inactive")&gt;0,"BLOCKED","CAN SELL")))))</f>
        <v>CAN SELL</v>
      </c>
      <c r="K199" s="11" t="str">
        <f>IF($A199="","",_xlfn.LET(_xlpm.t,MATCH($B199,'[1]Territory Definitions'!$B$5:$B$14,0),IF(ISNA(_xlpm.t),"NO TERRITORY",IF(INDEX('[1]Territory Definitions'!$D$5:$M$14,_xlpm.t,MATCH(K$4,'[1]Territory Definitions'!$D$4:$M$4,0))&lt;&gt;1,"NOT IN TERRITORY",IF(COUNTIFS('[1]Blackout Brand Fam Areas (Enc)'!$B$6:$B$998,$A199,'[1]Blackout Brand Fam Areas (Enc)'!$C$6:$C$998,K$4,'[1]Blackout Brand Fam Areas (Enc)'!$D$6:$D$998,"Inactive")&gt;0,"BLOCKED","CAN SELL")))))</f>
        <v>CAN SELL</v>
      </c>
      <c r="L199" s="11" t="str">
        <f>IF($A199="","",_xlfn.LET(_xlpm.t,MATCH($B199,'[1]Territory Definitions'!$B$5:$B$14,0),IF(ISNA(_xlpm.t),"NO TERRITORY",IF(INDEX('[1]Territory Definitions'!$D$5:$M$14,_xlpm.t,MATCH(L$4,'[1]Territory Definitions'!$D$4:$M$4,0))&lt;&gt;1,"NOT IN TERRITORY",IF(COUNTIFS('[1]Blackout Brand Fam Areas (Enc)'!$B$6:$B$998,$A199,'[1]Blackout Brand Fam Areas (Enc)'!$C$6:$C$998,L$4,'[1]Blackout Brand Fam Areas (Enc)'!$D$6:$D$998,"Inactive")&gt;0,"BLOCKED","CAN SELL")))))</f>
        <v>CAN SELL</v>
      </c>
      <c r="M199" s="12">
        <f>IF($A199="","",COUNTIF($C199:$L199,"CAN SELL"))</f>
        <v>10</v>
      </c>
      <c r="N199" s="13" cm="1">
        <f t="array" ref="N199">IF($A199="","",SUMPRODUCT(($C199:$L199="CAN SELL")*$C$3:$L$3))</f>
        <v>2306</v>
      </c>
      <c r="O199" s="14" t="str">
        <f>IF($A199="","",IF(COUNTIF($A$5:$A$299,$A199)&gt;1,"DUPLICATE - two different territories assigned",IF($B199="** NO TERRITORY SET **","No territory on Brand Family Territory (Enc)","")))</f>
        <v/>
      </c>
      <c r="P199" s="18" t="str">
        <f>IF($A199="","",IFERROR(INDEX([1]Products!$H$4:$H$4801,MATCH($A199,[1]Products!$G$4:$G$4801,0)),"(no products)"))</f>
        <v>Other Half Brewing Co</v>
      </c>
      <c r="Q199" s="19">
        <f>IF($A199="","",COUNTIFS([1]Products!$G$4:$G$4801,$A199,[1]Products!$L$4:$L$4801,"Yes"))</f>
        <v>41</v>
      </c>
      <c r="R199" s="19">
        <f>IF($A199="","",COUNTIFS([1]Products!$G$4:$G$4801,$A199,[1]Products!$L$4:$L$4801,"Yes",[1]Products!$K$4:$K$4801,"Draft"))</f>
        <v>21</v>
      </c>
      <c r="S199" s="19">
        <f>IF($A199="","",COUNTIFS([1]Products!$G$4:$G$4801,$A199,[1]Products!$L$4:$L$4801,"Yes",[1]Products!$K$4:$K$4801,"Package"))</f>
        <v>20</v>
      </c>
      <c r="T199" s="20" t="str" cm="1">
        <f t="array" ref="T199">IF($A199="","",_xlfn.IFS($Q199=0,"NO ACTIVE SKUs",AND($R199&gt;0,$S199&gt;0),"Draft &amp; Package",$R199&gt;0,"Draft only",TRUE,"Package only"))</f>
        <v>Draft &amp; Package</v>
      </c>
    </row>
    <row r="200" spans="1:20" x14ac:dyDescent="0.2">
      <c r="A200" s="9" t="str">
        <v>Otter Creek</v>
      </c>
      <c r="B200" s="10" t="str">
        <f>IF($A200="","",_xlfn.XLOOKUP($A200,'[1]Brand Family Territory (Enc)'!$A:$A,'[1]Brand Family Territory (Enc)'!$B:$B,"** NO TERRITORY SET **"))</f>
        <v>All Counties</v>
      </c>
      <c r="C200" s="11" t="str">
        <f>IF($A200="","",_xlfn.LET(_xlpm.t,MATCH($B200,'[1]Territory Definitions'!$B$5:$B$14,0),IF(ISNA(_xlpm.t),"NO TERRITORY",IF(INDEX('[1]Territory Definitions'!$D$5:$M$14,_xlpm.t,MATCH(C$4,'[1]Territory Definitions'!$D$4:$M$4,0))&lt;&gt;1,"NOT IN TERRITORY",IF(COUNTIFS('[1]Blackout Brand Fam Areas (Enc)'!$B$6:$B$998,$A200,'[1]Blackout Brand Fam Areas (Enc)'!$C$6:$C$998,C$4,'[1]Blackout Brand Fam Areas (Enc)'!$D$6:$D$998,"Inactive")&gt;0,"BLOCKED","CAN SELL")))))</f>
        <v>CAN SELL</v>
      </c>
      <c r="D200" s="11" t="str">
        <f>IF($A200="","",_xlfn.LET(_xlpm.t,MATCH($B200,'[1]Territory Definitions'!$B$5:$B$14,0),IF(ISNA(_xlpm.t),"NO TERRITORY",IF(INDEX('[1]Territory Definitions'!$D$5:$M$14,_xlpm.t,MATCH(D$4,'[1]Territory Definitions'!$D$4:$M$4,0))&lt;&gt;1,"NOT IN TERRITORY",IF(COUNTIFS('[1]Blackout Brand Fam Areas (Enc)'!$B$6:$B$998,$A200,'[1]Blackout Brand Fam Areas (Enc)'!$C$6:$C$998,D$4,'[1]Blackout Brand Fam Areas (Enc)'!$D$6:$D$998,"Inactive")&gt;0,"BLOCKED","CAN SELL")))))</f>
        <v>CAN SELL</v>
      </c>
      <c r="E200" s="11" t="str">
        <f>IF($A200="","",_xlfn.LET(_xlpm.t,MATCH($B200,'[1]Territory Definitions'!$B$5:$B$14,0),IF(ISNA(_xlpm.t),"NO TERRITORY",IF(INDEX('[1]Territory Definitions'!$D$5:$M$14,_xlpm.t,MATCH(E$4,'[1]Territory Definitions'!$D$4:$M$4,0))&lt;&gt;1,"NOT IN TERRITORY",IF(COUNTIFS('[1]Blackout Brand Fam Areas (Enc)'!$B$6:$B$998,$A200,'[1]Blackout Brand Fam Areas (Enc)'!$C$6:$C$998,E$4,'[1]Blackout Brand Fam Areas (Enc)'!$D$6:$D$998,"Inactive")&gt;0,"BLOCKED","CAN SELL")))))</f>
        <v>CAN SELL</v>
      </c>
      <c r="F200" s="11" t="str">
        <f>IF($A200="","",_xlfn.LET(_xlpm.t,MATCH($B200,'[1]Territory Definitions'!$B$5:$B$14,0),IF(ISNA(_xlpm.t),"NO TERRITORY",IF(INDEX('[1]Territory Definitions'!$D$5:$M$14,_xlpm.t,MATCH(F$4,'[1]Territory Definitions'!$D$4:$M$4,0))&lt;&gt;1,"NOT IN TERRITORY",IF(COUNTIFS('[1]Blackout Brand Fam Areas (Enc)'!$B$6:$B$998,$A200,'[1]Blackout Brand Fam Areas (Enc)'!$C$6:$C$998,F$4,'[1]Blackout Brand Fam Areas (Enc)'!$D$6:$D$998,"Inactive")&gt;0,"BLOCKED","CAN SELL")))))</f>
        <v>CAN SELL</v>
      </c>
      <c r="G200" s="11" t="str">
        <f>IF($A200="","",_xlfn.LET(_xlpm.t,MATCH($B200,'[1]Territory Definitions'!$B$5:$B$14,0),IF(ISNA(_xlpm.t),"NO TERRITORY",IF(INDEX('[1]Territory Definitions'!$D$5:$M$14,_xlpm.t,MATCH(G$4,'[1]Territory Definitions'!$D$4:$M$4,0))&lt;&gt;1,"NOT IN TERRITORY",IF(COUNTIFS('[1]Blackout Brand Fam Areas (Enc)'!$B$6:$B$998,$A200,'[1]Blackout Brand Fam Areas (Enc)'!$C$6:$C$998,G$4,'[1]Blackout Brand Fam Areas (Enc)'!$D$6:$D$998,"Inactive")&gt;0,"BLOCKED","CAN SELL")))))</f>
        <v>CAN SELL</v>
      </c>
      <c r="H200" s="11" t="str">
        <f>IF($A200="","",_xlfn.LET(_xlpm.t,MATCH($B200,'[1]Territory Definitions'!$B$5:$B$14,0),IF(ISNA(_xlpm.t),"NO TERRITORY",IF(INDEX('[1]Territory Definitions'!$D$5:$M$14,_xlpm.t,MATCH(H$4,'[1]Territory Definitions'!$D$4:$M$4,0))&lt;&gt;1,"NOT IN TERRITORY",IF(COUNTIFS('[1]Blackout Brand Fam Areas (Enc)'!$B$6:$B$998,$A200,'[1]Blackout Brand Fam Areas (Enc)'!$C$6:$C$998,H$4,'[1]Blackout Brand Fam Areas (Enc)'!$D$6:$D$998,"Inactive")&gt;0,"BLOCKED","CAN SELL")))))</f>
        <v>BLOCKED</v>
      </c>
      <c r="I200" s="11" t="str">
        <f>IF($A200="","",_xlfn.LET(_xlpm.t,MATCH($B200,'[1]Territory Definitions'!$B$5:$B$14,0),IF(ISNA(_xlpm.t),"NO TERRITORY",IF(INDEX('[1]Territory Definitions'!$D$5:$M$14,_xlpm.t,MATCH(I$4,'[1]Territory Definitions'!$D$4:$M$4,0))&lt;&gt;1,"NOT IN TERRITORY",IF(COUNTIFS('[1]Blackout Brand Fam Areas (Enc)'!$B$6:$B$998,$A200,'[1]Blackout Brand Fam Areas (Enc)'!$C$6:$C$998,I$4,'[1]Blackout Brand Fam Areas (Enc)'!$D$6:$D$998,"Inactive")&gt;0,"BLOCKED","CAN SELL")))))</f>
        <v>CAN SELL</v>
      </c>
      <c r="J200" s="11" t="str">
        <f>IF($A200="","",_xlfn.LET(_xlpm.t,MATCH($B200,'[1]Territory Definitions'!$B$5:$B$14,0),IF(ISNA(_xlpm.t),"NO TERRITORY",IF(INDEX('[1]Territory Definitions'!$D$5:$M$14,_xlpm.t,MATCH(J$4,'[1]Territory Definitions'!$D$4:$M$4,0))&lt;&gt;1,"NOT IN TERRITORY",IF(COUNTIFS('[1]Blackout Brand Fam Areas (Enc)'!$B$6:$B$998,$A200,'[1]Blackout Brand Fam Areas (Enc)'!$C$6:$C$998,J$4,'[1]Blackout Brand Fam Areas (Enc)'!$D$6:$D$998,"Inactive")&gt;0,"BLOCKED","CAN SELL")))))</f>
        <v>CAN SELL</v>
      </c>
      <c r="K200" s="11" t="str">
        <f>IF($A200="","",_xlfn.LET(_xlpm.t,MATCH($B200,'[1]Territory Definitions'!$B$5:$B$14,0),IF(ISNA(_xlpm.t),"NO TERRITORY",IF(INDEX('[1]Territory Definitions'!$D$5:$M$14,_xlpm.t,MATCH(K$4,'[1]Territory Definitions'!$D$4:$M$4,0))&lt;&gt;1,"NOT IN TERRITORY",IF(COUNTIFS('[1]Blackout Brand Fam Areas (Enc)'!$B$6:$B$998,$A200,'[1]Blackout Brand Fam Areas (Enc)'!$C$6:$C$998,K$4,'[1]Blackout Brand Fam Areas (Enc)'!$D$6:$D$998,"Inactive")&gt;0,"BLOCKED","CAN SELL")))))</f>
        <v>BLOCKED</v>
      </c>
      <c r="L200" s="11" t="str">
        <f>IF($A200="","",_xlfn.LET(_xlpm.t,MATCH($B200,'[1]Territory Definitions'!$B$5:$B$14,0),IF(ISNA(_xlpm.t),"NO TERRITORY",IF(INDEX('[1]Territory Definitions'!$D$5:$M$14,_xlpm.t,MATCH(L$4,'[1]Territory Definitions'!$D$4:$M$4,0))&lt;&gt;1,"NOT IN TERRITORY",IF(COUNTIFS('[1]Blackout Brand Fam Areas (Enc)'!$B$6:$B$998,$A200,'[1]Blackout Brand Fam Areas (Enc)'!$C$6:$C$998,L$4,'[1]Blackout Brand Fam Areas (Enc)'!$D$6:$D$998,"Inactive")&gt;0,"BLOCKED","CAN SELL")))))</f>
        <v>BLOCKED</v>
      </c>
      <c r="M200" s="12">
        <f>IF($A200="","",COUNTIF($C200:$L200,"CAN SELL"))</f>
        <v>7</v>
      </c>
      <c r="N200" s="13" cm="1">
        <f t="array" ref="N200">IF($A200="","",SUMPRODUCT(($C200:$L200="CAN SELL")*$C$3:$L$3))</f>
        <v>2137</v>
      </c>
      <c r="O200" s="14" t="str">
        <f>IF($A200="","",IF(COUNTIF($A$5:$A$299,$A200)&gt;1,"DUPLICATE - two different territories assigned",IF($B200="** NO TERRITORY SET **","No territory on Brand Family Territory (Enc)","")))</f>
        <v/>
      </c>
      <c r="P200" s="18" t="str">
        <f>IF($A200="","",IFERROR(INDEX([1]Products!$H$4:$H$4801,MATCH($A200,[1]Products!$G$4:$G$4801,0)),"(no products)"))</f>
        <v>Harpoon Brewery</v>
      </c>
      <c r="Q200" s="19">
        <f>IF($A200="","",COUNTIFS([1]Products!$G$4:$G$4801,$A200,[1]Products!$L$4:$L$4801,"Yes"))</f>
        <v>2</v>
      </c>
      <c r="R200" s="19">
        <f>IF($A200="","",COUNTIFS([1]Products!$G$4:$G$4801,$A200,[1]Products!$L$4:$L$4801,"Yes",[1]Products!$K$4:$K$4801,"Draft"))</f>
        <v>0</v>
      </c>
      <c r="S200" s="19">
        <f>IF($A200="","",COUNTIFS([1]Products!$G$4:$G$4801,$A200,[1]Products!$L$4:$L$4801,"Yes",[1]Products!$K$4:$K$4801,"Package"))</f>
        <v>2</v>
      </c>
      <c r="T200" s="20" t="str" cm="1">
        <f t="array" ref="T200">IF($A200="","",_xlfn.IFS($Q200=0,"NO ACTIVE SKUs",AND($R200&gt;0,$S200&gt;0),"Draft &amp; Package",$R200&gt;0,"Draft only",TRUE,"Package only"))</f>
        <v>Package only</v>
      </c>
    </row>
    <row r="201" spans="1:20" x14ac:dyDescent="0.2">
      <c r="A201" s="9" t="str">
        <v>OVO Vodka</v>
      </c>
      <c r="B201" s="10" t="str">
        <f>IF($A201="","",_xlfn.XLOOKUP($A201,'[1]Brand Family Territory (Enc)'!$A:$A,'[1]Brand Family Territory (Enc)'!$B:$B,"** NO TERRITORY SET **"))</f>
        <v>All Counties</v>
      </c>
      <c r="C201" s="11" t="str">
        <f>IF($A201="","",_xlfn.LET(_xlpm.t,MATCH($B201,'[1]Territory Definitions'!$B$5:$B$14,0),IF(ISNA(_xlpm.t),"NO TERRITORY",IF(INDEX('[1]Territory Definitions'!$D$5:$M$14,_xlpm.t,MATCH(C$4,'[1]Territory Definitions'!$D$4:$M$4,0))&lt;&gt;1,"NOT IN TERRITORY",IF(COUNTIFS('[1]Blackout Brand Fam Areas (Enc)'!$B$6:$B$998,$A201,'[1]Blackout Brand Fam Areas (Enc)'!$C$6:$C$998,C$4,'[1]Blackout Brand Fam Areas (Enc)'!$D$6:$D$998,"Inactive")&gt;0,"BLOCKED","CAN SELL")))))</f>
        <v>CAN SELL</v>
      </c>
      <c r="D201" s="11" t="str">
        <f>IF($A201="","",_xlfn.LET(_xlpm.t,MATCH($B201,'[1]Territory Definitions'!$B$5:$B$14,0),IF(ISNA(_xlpm.t),"NO TERRITORY",IF(INDEX('[1]Territory Definitions'!$D$5:$M$14,_xlpm.t,MATCH(D$4,'[1]Territory Definitions'!$D$4:$M$4,0))&lt;&gt;1,"NOT IN TERRITORY",IF(COUNTIFS('[1]Blackout Brand Fam Areas (Enc)'!$B$6:$B$998,$A201,'[1]Blackout Brand Fam Areas (Enc)'!$C$6:$C$998,D$4,'[1]Blackout Brand Fam Areas (Enc)'!$D$6:$D$998,"Inactive")&gt;0,"BLOCKED","CAN SELL")))))</f>
        <v>CAN SELL</v>
      </c>
      <c r="E201" s="11" t="str">
        <f>IF($A201="","",_xlfn.LET(_xlpm.t,MATCH($B201,'[1]Territory Definitions'!$B$5:$B$14,0),IF(ISNA(_xlpm.t),"NO TERRITORY",IF(INDEX('[1]Territory Definitions'!$D$5:$M$14,_xlpm.t,MATCH(E$4,'[1]Territory Definitions'!$D$4:$M$4,0))&lt;&gt;1,"NOT IN TERRITORY",IF(COUNTIFS('[1]Blackout Brand Fam Areas (Enc)'!$B$6:$B$998,$A201,'[1]Blackout Brand Fam Areas (Enc)'!$C$6:$C$998,E$4,'[1]Blackout Brand Fam Areas (Enc)'!$D$6:$D$998,"Inactive")&gt;0,"BLOCKED","CAN SELL")))))</f>
        <v>CAN SELL</v>
      </c>
      <c r="F201" s="11" t="str">
        <f>IF($A201="","",_xlfn.LET(_xlpm.t,MATCH($B201,'[1]Territory Definitions'!$B$5:$B$14,0),IF(ISNA(_xlpm.t),"NO TERRITORY",IF(INDEX('[1]Territory Definitions'!$D$5:$M$14,_xlpm.t,MATCH(F$4,'[1]Territory Definitions'!$D$4:$M$4,0))&lt;&gt;1,"NOT IN TERRITORY",IF(COUNTIFS('[1]Blackout Brand Fam Areas (Enc)'!$B$6:$B$998,$A201,'[1]Blackout Brand Fam Areas (Enc)'!$C$6:$C$998,F$4,'[1]Blackout Brand Fam Areas (Enc)'!$D$6:$D$998,"Inactive")&gt;0,"BLOCKED","CAN SELL")))))</f>
        <v>CAN SELL</v>
      </c>
      <c r="G201" s="11" t="str">
        <f>IF($A201="","",_xlfn.LET(_xlpm.t,MATCH($B201,'[1]Territory Definitions'!$B$5:$B$14,0),IF(ISNA(_xlpm.t),"NO TERRITORY",IF(INDEX('[1]Territory Definitions'!$D$5:$M$14,_xlpm.t,MATCH(G$4,'[1]Territory Definitions'!$D$4:$M$4,0))&lt;&gt;1,"NOT IN TERRITORY",IF(COUNTIFS('[1]Blackout Brand Fam Areas (Enc)'!$B$6:$B$998,$A201,'[1]Blackout Brand Fam Areas (Enc)'!$C$6:$C$998,G$4,'[1]Blackout Brand Fam Areas (Enc)'!$D$6:$D$998,"Inactive")&gt;0,"BLOCKED","CAN SELL")))))</f>
        <v>CAN SELL</v>
      </c>
      <c r="H201" s="11" t="str">
        <f>IF($A201="","",_xlfn.LET(_xlpm.t,MATCH($B201,'[1]Territory Definitions'!$B$5:$B$14,0),IF(ISNA(_xlpm.t),"NO TERRITORY",IF(INDEX('[1]Territory Definitions'!$D$5:$M$14,_xlpm.t,MATCH(H$4,'[1]Territory Definitions'!$D$4:$M$4,0))&lt;&gt;1,"NOT IN TERRITORY",IF(COUNTIFS('[1]Blackout Brand Fam Areas (Enc)'!$B$6:$B$998,$A201,'[1]Blackout Brand Fam Areas (Enc)'!$C$6:$C$998,H$4,'[1]Blackout Brand Fam Areas (Enc)'!$D$6:$D$998,"Inactive")&gt;0,"BLOCKED","CAN SELL")))))</f>
        <v>CAN SELL</v>
      </c>
      <c r="I201" s="11" t="str">
        <f>IF($A201="","",_xlfn.LET(_xlpm.t,MATCH($B201,'[1]Territory Definitions'!$B$5:$B$14,0),IF(ISNA(_xlpm.t),"NO TERRITORY",IF(INDEX('[1]Territory Definitions'!$D$5:$M$14,_xlpm.t,MATCH(I$4,'[1]Territory Definitions'!$D$4:$M$4,0))&lt;&gt;1,"NOT IN TERRITORY",IF(COUNTIFS('[1]Blackout Brand Fam Areas (Enc)'!$B$6:$B$998,$A201,'[1]Blackout Brand Fam Areas (Enc)'!$C$6:$C$998,I$4,'[1]Blackout Brand Fam Areas (Enc)'!$D$6:$D$998,"Inactive")&gt;0,"BLOCKED","CAN SELL")))))</f>
        <v>CAN SELL</v>
      </c>
      <c r="J201" s="11" t="str">
        <f>IF($A201="","",_xlfn.LET(_xlpm.t,MATCH($B201,'[1]Territory Definitions'!$B$5:$B$14,0),IF(ISNA(_xlpm.t),"NO TERRITORY",IF(INDEX('[1]Territory Definitions'!$D$5:$M$14,_xlpm.t,MATCH(J$4,'[1]Territory Definitions'!$D$4:$M$4,0))&lt;&gt;1,"NOT IN TERRITORY",IF(COUNTIFS('[1]Blackout Brand Fam Areas (Enc)'!$B$6:$B$998,$A201,'[1]Blackout Brand Fam Areas (Enc)'!$C$6:$C$998,J$4,'[1]Blackout Brand Fam Areas (Enc)'!$D$6:$D$998,"Inactive")&gt;0,"BLOCKED","CAN SELL")))))</f>
        <v>CAN SELL</v>
      </c>
      <c r="K201" s="11" t="str">
        <f>IF($A201="","",_xlfn.LET(_xlpm.t,MATCH($B201,'[1]Territory Definitions'!$B$5:$B$14,0),IF(ISNA(_xlpm.t),"NO TERRITORY",IF(INDEX('[1]Territory Definitions'!$D$5:$M$14,_xlpm.t,MATCH(K$4,'[1]Territory Definitions'!$D$4:$M$4,0))&lt;&gt;1,"NOT IN TERRITORY",IF(COUNTIFS('[1]Blackout Brand Fam Areas (Enc)'!$B$6:$B$998,$A201,'[1]Blackout Brand Fam Areas (Enc)'!$C$6:$C$998,K$4,'[1]Blackout Brand Fam Areas (Enc)'!$D$6:$D$998,"Inactive")&gt;0,"BLOCKED","CAN SELL")))))</f>
        <v>CAN SELL</v>
      </c>
      <c r="L201" s="11" t="str">
        <f>IF($A201="","",_xlfn.LET(_xlpm.t,MATCH($B201,'[1]Territory Definitions'!$B$5:$B$14,0),IF(ISNA(_xlpm.t),"NO TERRITORY",IF(INDEX('[1]Territory Definitions'!$D$5:$M$14,_xlpm.t,MATCH(L$4,'[1]Territory Definitions'!$D$4:$M$4,0))&lt;&gt;1,"NOT IN TERRITORY",IF(COUNTIFS('[1]Blackout Brand Fam Areas (Enc)'!$B$6:$B$998,$A201,'[1]Blackout Brand Fam Areas (Enc)'!$C$6:$C$998,L$4,'[1]Blackout Brand Fam Areas (Enc)'!$D$6:$D$998,"Inactive")&gt;0,"BLOCKED","CAN SELL")))))</f>
        <v>CAN SELL</v>
      </c>
      <c r="M201" s="12">
        <f>IF($A201="","",COUNTIF($C201:$L201,"CAN SELL"))</f>
        <v>10</v>
      </c>
      <c r="N201" s="13" cm="1">
        <f t="array" ref="N201">IF($A201="","",SUMPRODUCT(($C201:$L201="CAN SELL")*$C$3:$L$3))</f>
        <v>2306</v>
      </c>
      <c r="O201" s="14" t="str">
        <f>IF($A201="","",IF(COUNTIF($A$5:$A$299,$A201)&gt;1,"DUPLICATE - two different territories assigned",IF($B201="** NO TERRITORY SET **","No territory on Brand Family Territory (Enc)","")))</f>
        <v/>
      </c>
      <c r="P201" s="18" t="str">
        <f>IF($A201="","",IFERROR(INDEX([1]Products!$H$4:$H$4801,MATCH($A201,[1]Products!$G$4:$G$4801,0)),"(no products)"))</f>
        <v>OVO Vodka LLC</v>
      </c>
      <c r="Q201" s="19">
        <f>IF($A201="","",COUNTIFS([1]Products!$G$4:$G$4801,$A201,[1]Products!$L$4:$L$4801,"Yes"))</f>
        <v>3</v>
      </c>
      <c r="R201" s="19">
        <f>IF($A201="","",COUNTIFS([1]Products!$G$4:$G$4801,$A201,[1]Products!$L$4:$L$4801,"Yes",[1]Products!$K$4:$K$4801,"Draft"))</f>
        <v>0</v>
      </c>
      <c r="S201" s="19">
        <f>IF($A201="","",COUNTIFS([1]Products!$G$4:$G$4801,$A201,[1]Products!$L$4:$L$4801,"Yes",[1]Products!$K$4:$K$4801,"Package"))</f>
        <v>0</v>
      </c>
      <c r="T201" s="20" t="str" cm="1">
        <f t="array" ref="T201">IF($A201="","",_xlfn.IFS($Q201=0,"NO ACTIVE SKUs",AND($R201&gt;0,$S201&gt;0),"Draft &amp; Package",$R201&gt;0,"Draft only",TRUE,"Package only"))</f>
        <v>Package only</v>
      </c>
    </row>
    <row r="202" spans="1:20" x14ac:dyDescent="0.2">
      <c r="A202" s="9" t="str">
        <v>Pabst Blue Ribbon</v>
      </c>
      <c r="B202" s="10" t="str">
        <f>IF($A202="","",_xlfn.XLOOKUP($A202,'[1]Brand Family Territory (Enc)'!$A:$A,'[1]Brand Family Territory (Enc)'!$B:$B,"** NO TERRITORY SET **"))</f>
        <v>All Counties</v>
      </c>
      <c r="C202" s="11" t="str">
        <f>IF($A202="","",_xlfn.LET(_xlpm.t,MATCH($B202,'[1]Territory Definitions'!$B$5:$B$14,0),IF(ISNA(_xlpm.t),"NO TERRITORY",IF(INDEX('[1]Territory Definitions'!$D$5:$M$14,_xlpm.t,MATCH(C$4,'[1]Territory Definitions'!$D$4:$M$4,0))&lt;&gt;1,"NOT IN TERRITORY",IF(COUNTIFS('[1]Blackout Brand Fam Areas (Enc)'!$B$6:$B$998,$A202,'[1]Blackout Brand Fam Areas (Enc)'!$C$6:$C$998,C$4,'[1]Blackout Brand Fam Areas (Enc)'!$D$6:$D$998,"Inactive")&gt;0,"BLOCKED","CAN SELL")))))</f>
        <v>CAN SELL</v>
      </c>
      <c r="D202" s="11" t="str">
        <f>IF($A202="","",_xlfn.LET(_xlpm.t,MATCH($B202,'[1]Territory Definitions'!$B$5:$B$14,0),IF(ISNA(_xlpm.t),"NO TERRITORY",IF(INDEX('[1]Territory Definitions'!$D$5:$M$14,_xlpm.t,MATCH(D$4,'[1]Territory Definitions'!$D$4:$M$4,0))&lt;&gt;1,"NOT IN TERRITORY",IF(COUNTIFS('[1]Blackout Brand Fam Areas (Enc)'!$B$6:$B$998,$A202,'[1]Blackout Brand Fam Areas (Enc)'!$C$6:$C$998,D$4,'[1]Blackout Brand Fam Areas (Enc)'!$D$6:$D$998,"Inactive")&gt;0,"BLOCKED","CAN SELL")))))</f>
        <v>CAN SELL</v>
      </c>
      <c r="E202" s="11" t="str">
        <f>IF($A202="","",_xlfn.LET(_xlpm.t,MATCH($B202,'[1]Territory Definitions'!$B$5:$B$14,0),IF(ISNA(_xlpm.t),"NO TERRITORY",IF(INDEX('[1]Territory Definitions'!$D$5:$M$14,_xlpm.t,MATCH(E$4,'[1]Territory Definitions'!$D$4:$M$4,0))&lt;&gt;1,"NOT IN TERRITORY",IF(COUNTIFS('[1]Blackout Brand Fam Areas (Enc)'!$B$6:$B$998,$A202,'[1]Blackout Brand Fam Areas (Enc)'!$C$6:$C$998,E$4,'[1]Blackout Brand Fam Areas (Enc)'!$D$6:$D$998,"Inactive")&gt;0,"BLOCKED","CAN SELL")))))</f>
        <v>CAN SELL</v>
      </c>
      <c r="F202" s="11" t="str">
        <f>IF($A202="","",_xlfn.LET(_xlpm.t,MATCH($B202,'[1]Territory Definitions'!$B$5:$B$14,0),IF(ISNA(_xlpm.t),"NO TERRITORY",IF(INDEX('[1]Territory Definitions'!$D$5:$M$14,_xlpm.t,MATCH(F$4,'[1]Territory Definitions'!$D$4:$M$4,0))&lt;&gt;1,"NOT IN TERRITORY",IF(COUNTIFS('[1]Blackout Brand Fam Areas (Enc)'!$B$6:$B$998,$A202,'[1]Blackout Brand Fam Areas (Enc)'!$C$6:$C$998,F$4,'[1]Blackout Brand Fam Areas (Enc)'!$D$6:$D$998,"Inactive")&gt;0,"BLOCKED","CAN SELL")))))</f>
        <v>CAN SELL</v>
      </c>
      <c r="G202" s="11" t="str">
        <f>IF($A202="","",_xlfn.LET(_xlpm.t,MATCH($B202,'[1]Territory Definitions'!$B$5:$B$14,0),IF(ISNA(_xlpm.t),"NO TERRITORY",IF(INDEX('[1]Territory Definitions'!$D$5:$M$14,_xlpm.t,MATCH(G$4,'[1]Territory Definitions'!$D$4:$M$4,0))&lt;&gt;1,"NOT IN TERRITORY",IF(COUNTIFS('[1]Blackout Brand Fam Areas (Enc)'!$B$6:$B$998,$A202,'[1]Blackout Brand Fam Areas (Enc)'!$C$6:$C$998,G$4,'[1]Blackout Brand Fam Areas (Enc)'!$D$6:$D$998,"Inactive")&gt;0,"BLOCKED","CAN SELL")))))</f>
        <v>CAN SELL</v>
      </c>
      <c r="H202" s="11" t="str">
        <f>IF($A202="","",_xlfn.LET(_xlpm.t,MATCH($B202,'[1]Territory Definitions'!$B$5:$B$14,0),IF(ISNA(_xlpm.t),"NO TERRITORY",IF(INDEX('[1]Territory Definitions'!$D$5:$M$14,_xlpm.t,MATCH(H$4,'[1]Territory Definitions'!$D$4:$M$4,0))&lt;&gt;1,"NOT IN TERRITORY",IF(COUNTIFS('[1]Blackout Brand Fam Areas (Enc)'!$B$6:$B$998,$A202,'[1]Blackout Brand Fam Areas (Enc)'!$C$6:$C$998,H$4,'[1]Blackout Brand Fam Areas (Enc)'!$D$6:$D$998,"Inactive")&gt;0,"BLOCKED","CAN SELL")))))</f>
        <v>CAN SELL</v>
      </c>
      <c r="I202" s="11" t="str">
        <f>IF($A202="","",_xlfn.LET(_xlpm.t,MATCH($B202,'[1]Territory Definitions'!$B$5:$B$14,0),IF(ISNA(_xlpm.t),"NO TERRITORY",IF(INDEX('[1]Territory Definitions'!$D$5:$M$14,_xlpm.t,MATCH(I$4,'[1]Territory Definitions'!$D$4:$M$4,0))&lt;&gt;1,"NOT IN TERRITORY",IF(COUNTIFS('[1]Blackout Brand Fam Areas (Enc)'!$B$6:$B$998,$A202,'[1]Blackout Brand Fam Areas (Enc)'!$C$6:$C$998,I$4,'[1]Blackout Brand Fam Areas (Enc)'!$D$6:$D$998,"Inactive")&gt;0,"BLOCKED","CAN SELL")))))</f>
        <v>CAN SELL</v>
      </c>
      <c r="J202" s="11" t="str">
        <f>IF($A202="","",_xlfn.LET(_xlpm.t,MATCH($B202,'[1]Territory Definitions'!$B$5:$B$14,0),IF(ISNA(_xlpm.t),"NO TERRITORY",IF(INDEX('[1]Territory Definitions'!$D$5:$M$14,_xlpm.t,MATCH(J$4,'[1]Territory Definitions'!$D$4:$M$4,0))&lt;&gt;1,"NOT IN TERRITORY",IF(COUNTIFS('[1]Blackout Brand Fam Areas (Enc)'!$B$6:$B$998,$A202,'[1]Blackout Brand Fam Areas (Enc)'!$C$6:$C$998,J$4,'[1]Blackout Brand Fam Areas (Enc)'!$D$6:$D$998,"Inactive")&gt;0,"BLOCKED","CAN SELL")))))</f>
        <v>CAN SELL</v>
      </c>
      <c r="K202" s="11" t="str">
        <f>IF($A202="","",_xlfn.LET(_xlpm.t,MATCH($B202,'[1]Territory Definitions'!$B$5:$B$14,0),IF(ISNA(_xlpm.t),"NO TERRITORY",IF(INDEX('[1]Territory Definitions'!$D$5:$M$14,_xlpm.t,MATCH(K$4,'[1]Territory Definitions'!$D$4:$M$4,0))&lt;&gt;1,"NOT IN TERRITORY",IF(COUNTIFS('[1]Blackout Brand Fam Areas (Enc)'!$B$6:$B$998,$A202,'[1]Blackout Brand Fam Areas (Enc)'!$C$6:$C$998,K$4,'[1]Blackout Brand Fam Areas (Enc)'!$D$6:$D$998,"Inactive")&gt;0,"BLOCKED","CAN SELL")))))</f>
        <v>CAN SELL</v>
      </c>
      <c r="L202" s="11" t="str">
        <f>IF($A202="","",_xlfn.LET(_xlpm.t,MATCH($B202,'[1]Territory Definitions'!$B$5:$B$14,0),IF(ISNA(_xlpm.t),"NO TERRITORY",IF(INDEX('[1]Territory Definitions'!$D$5:$M$14,_xlpm.t,MATCH(L$4,'[1]Territory Definitions'!$D$4:$M$4,0))&lt;&gt;1,"NOT IN TERRITORY",IF(COUNTIFS('[1]Blackout Brand Fam Areas (Enc)'!$B$6:$B$998,$A202,'[1]Blackout Brand Fam Areas (Enc)'!$C$6:$C$998,L$4,'[1]Blackout Brand Fam Areas (Enc)'!$D$6:$D$998,"Inactive")&gt;0,"BLOCKED","CAN SELL")))))</f>
        <v>CAN SELL</v>
      </c>
      <c r="M202" s="12">
        <f>IF($A202="","",COUNTIF($C202:$L202,"CAN SELL"))</f>
        <v>10</v>
      </c>
      <c r="N202" s="13" cm="1">
        <f t="array" ref="N202">IF($A202="","",SUMPRODUCT(($C202:$L202="CAN SELL")*$C$3:$L$3))</f>
        <v>2306</v>
      </c>
      <c r="O202" s="14" t="str">
        <f>IF($A202="","",IF(COUNTIF($A$5:$A$299,$A202)&gt;1,"DUPLICATE - two different territories assigned",IF($B202="** NO TERRITORY SET **","No territory on Brand Family Territory (Enc)","")))</f>
        <v/>
      </c>
      <c r="P202" s="18" t="str">
        <f>IF($A202="","",IFERROR(INDEX([1]Products!$H$4:$H$4801,MATCH($A202,[1]Products!$G$4:$G$4801,0)),"(no products)"))</f>
        <v>Pabst Brewing Company</v>
      </c>
      <c r="Q202" s="19">
        <f>IF($A202="","",COUNTIFS([1]Products!$G$4:$G$4801,$A202,[1]Products!$L$4:$L$4801,"Yes"))</f>
        <v>10</v>
      </c>
      <c r="R202" s="19">
        <f>IF($A202="","",COUNTIFS([1]Products!$G$4:$G$4801,$A202,[1]Products!$L$4:$L$4801,"Yes",[1]Products!$K$4:$K$4801,"Draft"))</f>
        <v>1</v>
      </c>
      <c r="S202" s="19">
        <f>IF($A202="","",COUNTIFS([1]Products!$G$4:$G$4801,$A202,[1]Products!$L$4:$L$4801,"Yes",[1]Products!$K$4:$K$4801,"Package"))</f>
        <v>9</v>
      </c>
      <c r="T202" s="20" t="str" cm="1">
        <f t="array" ref="T202">IF($A202="","",_xlfn.IFS($Q202=0,"NO ACTIVE SKUs",AND($R202&gt;0,$S202&gt;0),"Draft &amp; Package",$R202&gt;0,"Draft only",TRUE,"Package only"))</f>
        <v>Draft &amp; Package</v>
      </c>
    </row>
    <row r="203" spans="1:20" x14ac:dyDescent="0.2">
      <c r="A203" s="9" t="str">
        <v>Pabst Light</v>
      </c>
      <c r="B203" s="10" t="str">
        <f>IF($A203="","",_xlfn.XLOOKUP($A203,'[1]Brand Family Territory (Enc)'!$A:$A,'[1]Brand Family Territory (Enc)'!$B:$B,"** NO TERRITORY SET **"))</f>
        <v>All Counties</v>
      </c>
      <c r="C203" s="11" t="str">
        <f>IF($A203="","",_xlfn.LET(_xlpm.t,MATCH($B203,'[1]Territory Definitions'!$B$5:$B$14,0),IF(ISNA(_xlpm.t),"NO TERRITORY",IF(INDEX('[1]Territory Definitions'!$D$5:$M$14,_xlpm.t,MATCH(C$4,'[1]Territory Definitions'!$D$4:$M$4,0))&lt;&gt;1,"NOT IN TERRITORY",IF(COUNTIFS('[1]Blackout Brand Fam Areas (Enc)'!$B$6:$B$998,$A203,'[1]Blackout Brand Fam Areas (Enc)'!$C$6:$C$998,C$4,'[1]Blackout Brand Fam Areas (Enc)'!$D$6:$D$998,"Inactive")&gt;0,"BLOCKED","CAN SELL")))))</f>
        <v>CAN SELL</v>
      </c>
      <c r="D203" s="11" t="str">
        <f>IF($A203="","",_xlfn.LET(_xlpm.t,MATCH($B203,'[1]Territory Definitions'!$B$5:$B$14,0),IF(ISNA(_xlpm.t),"NO TERRITORY",IF(INDEX('[1]Territory Definitions'!$D$5:$M$14,_xlpm.t,MATCH(D$4,'[1]Territory Definitions'!$D$4:$M$4,0))&lt;&gt;1,"NOT IN TERRITORY",IF(COUNTIFS('[1]Blackout Brand Fam Areas (Enc)'!$B$6:$B$998,$A203,'[1]Blackout Brand Fam Areas (Enc)'!$C$6:$C$998,D$4,'[1]Blackout Brand Fam Areas (Enc)'!$D$6:$D$998,"Inactive")&gt;0,"BLOCKED","CAN SELL")))))</f>
        <v>CAN SELL</v>
      </c>
      <c r="E203" s="11" t="str">
        <f>IF($A203="","",_xlfn.LET(_xlpm.t,MATCH($B203,'[1]Territory Definitions'!$B$5:$B$14,0),IF(ISNA(_xlpm.t),"NO TERRITORY",IF(INDEX('[1]Territory Definitions'!$D$5:$M$14,_xlpm.t,MATCH(E$4,'[1]Territory Definitions'!$D$4:$M$4,0))&lt;&gt;1,"NOT IN TERRITORY",IF(COUNTIFS('[1]Blackout Brand Fam Areas (Enc)'!$B$6:$B$998,$A203,'[1]Blackout Brand Fam Areas (Enc)'!$C$6:$C$998,E$4,'[1]Blackout Brand Fam Areas (Enc)'!$D$6:$D$998,"Inactive")&gt;0,"BLOCKED","CAN SELL")))))</f>
        <v>CAN SELL</v>
      </c>
      <c r="F203" s="11" t="str">
        <f>IF($A203="","",_xlfn.LET(_xlpm.t,MATCH($B203,'[1]Territory Definitions'!$B$5:$B$14,0),IF(ISNA(_xlpm.t),"NO TERRITORY",IF(INDEX('[1]Territory Definitions'!$D$5:$M$14,_xlpm.t,MATCH(F$4,'[1]Territory Definitions'!$D$4:$M$4,0))&lt;&gt;1,"NOT IN TERRITORY",IF(COUNTIFS('[1]Blackout Brand Fam Areas (Enc)'!$B$6:$B$998,$A203,'[1]Blackout Brand Fam Areas (Enc)'!$C$6:$C$998,F$4,'[1]Blackout Brand Fam Areas (Enc)'!$D$6:$D$998,"Inactive")&gt;0,"BLOCKED","CAN SELL")))))</f>
        <v>CAN SELL</v>
      </c>
      <c r="G203" s="11" t="str">
        <f>IF($A203="","",_xlfn.LET(_xlpm.t,MATCH($B203,'[1]Territory Definitions'!$B$5:$B$14,0),IF(ISNA(_xlpm.t),"NO TERRITORY",IF(INDEX('[1]Territory Definitions'!$D$5:$M$14,_xlpm.t,MATCH(G$4,'[1]Territory Definitions'!$D$4:$M$4,0))&lt;&gt;1,"NOT IN TERRITORY",IF(COUNTIFS('[1]Blackout Brand Fam Areas (Enc)'!$B$6:$B$998,$A203,'[1]Blackout Brand Fam Areas (Enc)'!$C$6:$C$998,G$4,'[1]Blackout Brand Fam Areas (Enc)'!$D$6:$D$998,"Inactive")&gt;0,"BLOCKED","CAN SELL")))))</f>
        <v>CAN SELL</v>
      </c>
      <c r="H203" s="11" t="str">
        <f>IF($A203="","",_xlfn.LET(_xlpm.t,MATCH($B203,'[1]Territory Definitions'!$B$5:$B$14,0),IF(ISNA(_xlpm.t),"NO TERRITORY",IF(INDEX('[1]Territory Definitions'!$D$5:$M$14,_xlpm.t,MATCH(H$4,'[1]Territory Definitions'!$D$4:$M$4,0))&lt;&gt;1,"NOT IN TERRITORY",IF(COUNTIFS('[1]Blackout Brand Fam Areas (Enc)'!$B$6:$B$998,$A203,'[1]Blackout Brand Fam Areas (Enc)'!$C$6:$C$998,H$4,'[1]Blackout Brand Fam Areas (Enc)'!$D$6:$D$998,"Inactive")&gt;0,"BLOCKED","CAN SELL")))))</f>
        <v>CAN SELL</v>
      </c>
      <c r="I203" s="11" t="str">
        <f>IF($A203="","",_xlfn.LET(_xlpm.t,MATCH($B203,'[1]Territory Definitions'!$B$5:$B$14,0),IF(ISNA(_xlpm.t),"NO TERRITORY",IF(INDEX('[1]Territory Definitions'!$D$5:$M$14,_xlpm.t,MATCH(I$4,'[1]Territory Definitions'!$D$4:$M$4,0))&lt;&gt;1,"NOT IN TERRITORY",IF(COUNTIFS('[1]Blackout Brand Fam Areas (Enc)'!$B$6:$B$998,$A203,'[1]Blackout Brand Fam Areas (Enc)'!$C$6:$C$998,I$4,'[1]Blackout Brand Fam Areas (Enc)'!$D$6:$D$998,"Inactive")&gt;0,"BLOCKED","CAN SELL")))))</f>
        <v>CAN SELL</v>
      </c>
      <c r="J203" s="11" t="str">
        <f>IF($A203="","",_xlfn.LET(_xlpm.t,MATCH($B203,'[1]Territory Definitions'!$B$5:$B$14,0),IF(ISNA(_xlpm.t),"NO TERRITORY",IF(INDEX('[1]Territory Definitions'!$D$5:$M$14,_xlpm.t,MATCH(J$4,'[1]Territory Definitions'!$D$4:$M$4,0))&lt;&gt;1,"NOT IN TERRITORY",IF(COUNTIFS('[1]Blackout Brand Fam Areas (Enc)'!$B$6:$B$998,$A203,'[1]Blackout Brand Fam Areas (Enc)'!$C$6:$C$998,J$4,'[1]Blackout Brand Fam Areas (Enc)'!$D$6:$D$998,"Inactive")&gt;0,"BLOCKED","CAN SELL")))))</f>
        <v>CAN SELL</v>
      </c>
      <c r="K203" s="11" t="str">
        <f>IF($A203="","",_xlfn.LET(_xlpm.t,MATCH($B203,'[1]Territory Definitions'!$B$5:$B$14,0),IF(ISNA(_xlpm.t),"NO TERRITORY",IF(INDEX('[1]Territory Definitions'!$D$5:$M$14,_xlpm.t,MATCH(K$4,'[1]Territory Definitions'!$D$4:$M$4,0))&lt;&gt;1,"NOT IN TERRITORY",IF(COUNTIFS('[1]Blackout Brand Fam Areas (Enc)'!$B$6:$B$998,$A203,'[1]Blackout Brand Fam Areas (Enc)'!$C$6:$C$998,K$4,'[1]Blackout Brand Fam Areas (Enc)'!$D$6:$D$998,"Inactive")&gt;0,"BLOCKED","CAN SELL")))))</f>
        <v>CAN SELL</v>
      </c>
      <c r="L203" s="11" t="str">
        <f>IF($A203="","",_xlfn.LET(_xlpm.t,MATCH($B203,'[1]Territory Definitions'!$B$5:$B$14,0),IF(ISNA(_xlpm.t),"NO TERRITORY",IF(INDEX('[1]Territory Definitions'!$D$5:$M$14,_xlpm.t,MATCH(L$4,'[1]Territory Definitions'!$D$4:$M$4,0))&lt;&gt;1,"NOT IN TERRITORY",IF(COUNTIFS('[1]Blackout Brand Fam Areas (Enc)'!$B$6:$B$998,$A203,'[1]Blackout Brand Fam Areas (Enc)'!$C$6:$C$998,L$4,'[1]Blackout Brand Fam Areas (Enc)'!$D$6:$D$998,"Inactive")&gt;0,"BLOCKED","CAN SELL")))))</f>
        <v>CAN SELL</v>
      </c>
      <c r="M203" s="12">
        <f>IF($A203="","",COUNTIF($C203:$L203,"CAN SELL"))</f>
        <v>10</v>
      </c>
      <c r="N203" s="13" cm="1">
        <f t="array" ref="N203">IF($A203="","",SUMPRODUCT(($C203:$L203="CAN SELL")*$C$3:$L$3))</f>
        <v>2306</v>
      </c>
      <c r="O203" s="14" t="str">
        <f>IF($A203="","",IF(COUNTIF($A$5:$A$299,$A203)&gt;1,"DUPLICATE - two different territories assigned",IF($B203="** NO TERRITORY SET **","No territory on Brand Family Territory (Enc)","")))</f>
        <v/>
      </c>
      <c r="P203" s="18" t="str">
        <f>IF($A203="","",IFERROR(INDEX([1]Products!$H$4:$H$4801,MATCH($A203,[1]Products!$G$4:$G$4801,0)),"(no products)"))</f>
        <v>Pabst Brewing Company</v>
      </c>
      <c r="Q203" s="19">
        <f>IF($A203="","",COUNTIFS([1]Products!$G$4:$G$4801,$A203,[1]Products!$L$4:$L$4801,"Yes"))</f>
        <v>3</v>
      </c>
      <c r="R203" s="19">
        <f>IF($A203="","",COUNTIFS([1]Products!$G$4:$G$4801,$A203,[1]Products!$L$4:$L$4801,"Yes",[1]Products!$K$4:$K$4801,"Draft"))</f>
        <v>0</v>
      </c>
      <c r="S203" s="19">
        <f>IF($A203="","",COUNTIFS([1]Products!$G$4:$G$4801,$A203,[1]Products!$L$4:$L$4801,"Yes",[1]Products!$K$4:$K$4801,"Package"))</f>
        <v>3</v>
      </c>
      <c r="T203" s="20" t="str" cm="1">
        <f t="array" ref="T203">IF($A203="","",_xlfn.IFS($Q203=0,"NO ACTIVE SKUs",AND($R203&gt;0,$S203&gt;0),"Draft &amp; Package",$R203&gt;0,"Draft only",TRUE,"Package only"))</f>
        <v>Package only</v>
      </c>
    </row>
    <row r="204" spans="1:20" x14ac:dyDescent="0.2">
      <c r="A204" s="9" t="str">
        <v>Pacifico</v>
      </c>
      <c r="B204" s="10" t="str">
        <f>IF($A204="","",_xlfn.XLOOKUP($A204,'[1]Brand Family Territory (Enc)'!$A:$A,'[1]Brand Family Territory (Enc)'!$B:$B,"** NO TERRITORY SET **"))</f>
        <v>Core Market</v>
      </c>
      <c r="C204" s="11" t="str">
        <f>IF($A204="","",_xlfn.LET(_xlpm.t,MATCH($B204,'[1]Territory Definitions'!$B$5:$B$14,0),IF(ISNA(_xlpm.t),"NO TERRITORY",IF(INDEX('[1]Territory Definitions'!$D$5:$M$14,_xlpm.t,MATCH(C$4,'[1]Territory Definitions'!$D$4:$M$4,0))&lt;&gt;1,"NOT IN TERRITORY",IF(COUNTIFS('[1]Blackout Brand Fam Areas (Enc)'!$B$6:$B$998,$A204,'[1]Blackout Brand Fam Areas (Enc)'!$C$6:$C$998,C$4,'[1]Blackout Brand Fam Areas (Enc)'!$D$6:$D$998,"Inactive")&gt;0,"BLOCKED","CAN SELL")))))</f>
        <v>CAN SELL</v>
      </c>
      <c r="D204" s="11" t="str">
        <f>IF($A204="","",_xlfn.LET(_xlpm.t,MATCH($B204,'[1]Territory Definitions'!$B$5:$B$14,0),IF(ISNA(_xlpm.t),"NO TERRITORY",IF(INDEX('[1]Territory Definitions'!$D$5:$M$14,_xlpm.t,MATCH(D$4,'[1]Territory Definitions'!$D$4:$M$4,0))&lt;&gt;1,"NOT IN TERRITORY",IF(COUNTIFS('[1]Blackout Brand Fam Areas (Enc)'!$B$6:$B$998,$A204,'[1]Blackout Brand Fam Areas (Enc)'!$C$6:$C$998,D$4,'[1]Blackout Brand Fam Areas (Enc)'!$D$6:$D$998,"Inactive")&gt;0,"BLOCKED","CAN SELL")))))</f>
        <v>CAN SELL</v>
      </c>
      <c r="E204" s="11" t="str">
        <f>IF($A204="","",_xlfn.LET(_xlpm.t,MATCH($B204,'[1]Territory Definitions'!$B$5:$B$14,0),IF(ISNA(_xlpm.t),"NO TERRITORY",IF(INDEX('[1]Territory Definitions'!$D$5:$M$14,_xlpm.t,MATCH(E$4,'[1]Territory Definitions'!$D$4:$M$4,0))&lt;&gt;1,"NOT IN TERRITORY",IF(COUNTIFS('[1]Blackout Brand Fam Areas (Enc)'!$B$6:$B$998,$A204,'[1]Blackout Brand Fam Areas (Enc)'!$C$6:$C$998,E$4,'[1]Blackout Brand Fam Areas (Enc)'!$D$6:$D$998,"Inactive")&gt;0,"BLOCKED","CAN SELL")))))</f>
        <v>CAN SELL</v>
      </c>
      <c r="F204" s="11" t="str">
        <f>IF($A204="","",_xlfn.LET(_xlpm.t,MATCH($B204,'[1]Territory Definitions'!$B$5:$B$14,0),IF(ISNA(_xlpm.t),"NO TERRITORY",IF(INDEX('[1]Territory Definitions'!$D$5:$M$14,_xlpm.t,MATCH(F$4,'[1]Territory Definitions'!$D$4:$M$4,0))&lt;&gt;1,"NOT IN TERRITORY",IF(COUNTIFS('[1]Blackout Brand Fam Areas (Enc)'!$B$6:$B$998,$A204,'[1]Blackout Brand Fam Areas (Enc)'!$C$6:$C$998,F$4,'[1]Blackout Brand Fam Areas (Enc)'!$D$6:$D$998,"Inactive")&gt;0,"BLOCKED","CAN SELL")))))</f>
        <v>NOT IN TERRITORY</v>
      </c>
      <c r="G204" s="11" t="str">
        <f>IF($A204="","",_xlfn.LET(_xlpm.t,MATCH($B204,'[1]Territory Definitions'!$B$5:$B$14,0),IF(ISNA(_xlpm.t),"NO TERRITORY",IF(INDEX('[1]Territory Definitions'!$D$5:$M$14,_xlpm.t,MATCH(G$4,'[1]Territory Definitions'!$D$4:$M$4,0))&lt;&gt;1,"NOT IN TERRITORY",IF(COUNTIFS('[1]Blackout Brand Fam Areas (Enc)'!$B$6:$B$998,$A204,'[1]Blackout Brand Fam Areas (Enc)'!$C$6:$C$998,G$4,'[1]Blackout Brand Fam Areas (Enc)'!$D$6:$D$998,"Inactive")&gt;0,"BLOCKED","CAN SELL")))))</f>
        <v>NOT IN TERRITORY</v>
      </c>
      <c r="H204" s="11" t="str">
        <f>IF($A204="","",_xlfn.LET(_xlpm.t,MATCH($B204,'[1]Territory Definitions'!$B$5:$B$14,0),IF(ISNA(_xlpm.t),"NO TERRITORY",IF(INDEX('[1]Territory Definitions'!$D$5:$M$14,_xlpm.t,MATCH(H$4,'[1]Territory Definitions'!$D$4:$M$4,0))&lt;&gt;1,"NOT IN TERRITORY",IF(COUNTIFS('[1]Blackout Brand Fam Areas (Enc)'!$B$6:$B$998,$A204,'[1]Blackout Brand Fam Areas (Enc)'!$C$6:$C$998,H$4,'[1]Blackout Brand Fam Areas (Enc)'!$D$6:$D$998,"Inactive")&gt;0,"BLOCKED","CAN SELL")))))</f>
        <v>NOT IN TERRITORY</v>
      </c>
      <c r="I204" s="11" t="str">
        <f>IF($A204="","",_xlfn.LET(_xlpm.t,MATCH($B204,'[1]Territory Definitions'!$B$5:$B$14,0),IF(ISNA(_xlpm.t),"NO TERRITORY",IF(INDEX('[1]Territory Definitions'!$D$5:$M$14,_xlpm.t,MATCH(I$4,'[1]Territory Definitions'!$D$4:$M$4,0))&lt;&gt;1,"NOT IN TERRITORY",IF(COUNTIFS('[1]Blackout Brand Fam Areas (Enc)'!$B$6:$B$998,$A204,'[1]Blackout Brand Fam Areas (Enc)'!$C$6:$C$998,I$4,'[1]Blackout Brand Fam Areas (Enc)'!$D$6:$D$998,"Inactive")&gt;0,"BLOCKED","CAN SELL")))))</f>
        <v>CAN SELL</v>
      </c>
      <c r="J204" s="11" t="str">
        <f>IF($A204="","",_xlfn.LET(_xlpm.t,MATCH($B204,'[1]Territory Definitions'!$B$5:$B$14,0),IF(ISNA(_xlpm.t),"NO TERRITORY",IF(INDEX('[1]Territory Definitions'!$D$5:$M$14,_xlpm.t,MATCH(J$4,'[1]Territory Definitions'!$D$4:$M$4,0))&lt;&gt;1,"NOT IN TERRITORY",IF(COUNTIFS('[1]Blackout Brand Fam Areas (Enc)'!$B$6:$B$998,$A204,'[1]Blackout Brand Fam Areas (Enc)'!$C$6:$C$998,J$4,'[1]Blackout Brand Fam Areas (Enc)'!$D$6:$D$998,"Inactive")&gt;0,"BLOCKED","CAN SELL")))))</f>
        <v>CAN SELL</v>
      </c>
      <c r="K204" s="11" t="str">
        <f>IF($A204="","",_xlfn.LET(_xlpm.t,MATCH($B204,'[1]Territory Definitions'!$B$5:$B$14,0),IF(ISNA(_xlpm.t),"NO TERRITORY",IF(INDEX('[1]Territory Definitions'!$D$5:$M$14,_xlpm.t,MATCH(K$4,'[1]Territory Definitions'!$D$4:$M$4,0))&lt;&gt;1,"NOT IN TERRITORY",IF(COUNTIFS('[1]Blackout Brand Fam Areas (Enc)'!$B$6:$B$998,$A204,'[1]Blackout Brand Fam Areas (Enc)'!$C$6:$C$998,K$4,'[1]Blackout Brand Fam Areas (Enc)'!$D$6:$D$998,"Inactive")&gt;0,"BLOCKED","CAN SELL")))))</f>
        <v>NOT IN TERRITORY</v>
      </c>
      <c r="L204" s="11" t="str">
        <f>IF($A204="","",_xlfn.LET(_xlpm.t,MATCH($B204,'[1]Territory Definitions'!$B$5:$B$14,0),IF(ISNA(_xlpm.t),"NO TERRITORY",IF(INDEX('[1]Territory Definitions'!$D$5:$M$14,_xlpm.t,MATCH(L$4,'[1]Territory Definitions'!$D$4:$M$4,0))&lt;&gt;1,"NOT IN TERRITORY",IF(COUNTIFS('[1]Blackout Brand Fam Areas (Enc)'!$B$6:$B$998,$A204,'[1]Blackout Brand Fam Areas (Enc)'!$C$6:$C$998,L$4,'[1]Blackout Brand Fam Areas (Enc)'!$D$6:$D$998,"Inactive")&gt;0,"BLOCKED","CAN SELL")))))</f>
        <v>CAN SELL</v>
      </c>
      <c r="M204" s="12">
        <f>IF($A204="","",COUNTIF($C204:$L204,"CAN SELL"))</f>
        <v>6</v>
      </c>
      <c r="N204" s="13" cm="1">
        <f t="array" ref="N204">IF($A204="","",SUMPRODUCT(($C204:$L204="CAN SELL")*$C$3:$L$3))</f>
        <v>1596</v>
      </c>
      <c r="O204" s="14" t="str">
        <f>IF($A204="","",IF(COUNTIF($A$5:$A$299,$A204)&gt;1,"DUPLICATE - two different territories assigned",IF($B204="** NO TERRITORY SET **","No territory on Brand Family Territory (Enc)","")))</f>
        <v/>
      </c>
      <c r="P204" s="18" t="str">
        <f>IF($A204="","",IFERROR(INDEX([1]Products!$H$4:$H$4801,MATCH($A204,[1]Products!$G$4:$G$4801,0)),"(no products)"))</f>
        <v>Constellation Brands</v>
      </c>
      <c r="Q204" s="19">
        <f>IF($A204="","",COUNTIFS([1]Products!$G$4:$G$4801,$A204,[1]Products!$L$4:$L$4801,"Yes"))</f>
        <v>8</v>
      </c>
      <c r="R204" s="19">
        <f>IF($A204="","",COUNTIFS([1]Products!$G$4:$G$4801,$A204,[1]Products!$L$4:$L$4801,"Yes",[1]Products!$K$4:$K$4801,"Draft"))</f>
        <v>2</v>
      </c>
      <c r="S204" s="19">
        <f>IF($A204="","",COUNTIFS([1]Products!$G$4:$G$4801,$A204,[1]Products!$L$4:$L$4801,"Yes",[1]Products!$K$4:$K$4801,"Package"))</f>
        <v>6</v>
      </c>
      <c r="T204" s="20" t="str" cm="1">
        <f t="array" ref="T204">IF($A204="","",_xlfn.IFS($Q204=0,"NO ACTIVE SKUs",AND($R204&gt;0,$S204&gt;0),"Draft &amp; Package",$R204&gt;0,"Draft only",TRUE,"Package only"))</f>
        <v>Draft &amp; Package</v>
      </c>
    </row>
    <row r="205" spans="1:20" x14ac:dyDescent="0.2">
      <c r="A205" s="9" t="str">
        <v>Palma</v>
      </c>
      <c r="B205" s="10" t="str">
        <f>IF($A205="","",_xlfn.XLOOKUP($A205,'[1]Brand Family Territory (Enc)'!$A:$A,'[1]Brand Family Territory (Enc)'!$B:$B,"** NO TERRITORY SET **"))</f>
        <v>All Counties</v>
      </c>
      <c r="C205" s="11" t="str">
        <f>IF($A205="","",_xlfn.LET(_xlpm.t,MATCH($B205,'[1]Territory Definitions'!$B$5:$B$14,0),IF(ISNA(_xlpm.t),"NO TERRITORY",IF(INDEX('[1]Territory Definitions'!$D$5:$M$14,_xlpm.t,MATCH(C$4,'[1]Territory Definitions'!$D$4:$M$4,0))&lt;&gt;1,"NOT IN TERRITORY",IF(COUNTIFS('[1]Blackout Brand Fam Areas (Enc)'!$B$6:$B$998,$A205,'[1]Blackout Brand Fam Areas (Enc)'!$C$6:$C$998,C$4,'[1]Blackout Brand Fam Areas (Enc)'!$D$6:$D$998,"Inactive")&gt;0,"BLOCKED","CAN SELL")))))</f>
        <v>CAN SELL</v>
      </c>
      <c r="D205" s="11" t="str">
        <f>IF($A205="","",_xlfn.LET(_xlpm.t,MATCH($B205,'[1]Territory Definitions'!$B$5:$B$14,0),IF(ISNA(_xlpm.t),"NO TERRITORY",IF(INDEX('[1]Territory Definitions'!$D$5:$M$14,_xlpm.t,MATCH(D$4,'[1]Territory Definitions'!$D$4:$M$4,0))&lt;&gt;1,"NOT IN TERRITORY",IF(COUNTIFS('[1]Blackout Brand Fam Areas (Enc)'!$B$6:$B$998,$A205,'[1]Blackout Brand Fam Areas (Enc)'!$C$6:$C$998,D$4,'[1]Blackout Brand Fam Areas (Enc)'!$D$6:$D$998,"Inactive")&gt;0,"BLOCKED","CAN SELL")))))</f>
        <v>CAN SELL</v>
      </c>
      <c r="E205" s="11" t="str">
        <f>IF($A205="","",_xlfn.LET(_xlpm.t,MATCH($B205,'[1]Territory Definitions'!$B$5:$B$14,0),IF(ISNA(_xlpm.t),"NO TERRITORY",IF(INDEX('[1]Territory Definitions'!$D$5:$M$14,_xlpm.t,MATCH(E$4,'[1]Territory Definitions'!$D$4:$M$4,0))&lt;&gt;1,"NOT IN TERRITORY",IF(COUNTIFS('[1]Blackout Brand Fam Areas (Enc)'!$B$6:$B$998,$A205,'[1]Blackout Brand Fam Areas (Enc)'!$C$6:$C$998,E$4,'[1]Blackout Brand Fam Areas (Enc)'!$D$6:$D$998,"Inactive")&gt;0,"BLOCKED","CAN SELL")))))</f>
        <v>CAN SELL</v>
      </c>
      <c r="F205" s="11" t="str">
        <f>IF($A205="","",_xlfn.LET(_xlpm.t,MATCH($B205,'[1]Territory Definitions'!$B$5:$B$14,0),IF(ISNA(_xlpm.t),"NO TERRITORY",IF(INDEX('[1]Territory Definitions'!$D$5:$M$14,_xlpm.t,MATCH(F$4,'[1]Territory Definitions'!$D$4:$M$4,0))&lt;&gt;1,"NOT IN TERRITORY",IF(COUNTIFS('[1]Blackout Brand Fam Areas (Enc)'!$B$6:$B$998,$A205,'[1]Blackout Brand Fam Areas (Enc)'!$C$6:$C$998,F$4,'[1]Blackout Brand Fam Areas (Enc)'!$D$6:$D$998,"Inactive")&gt;0,"BLOCKED","CAN SELL")))))</f>
        <v>CAN SELL</v>
      </c>
      <c r="G205" s="11" t="str">
        <f>IF($A205="","",_xlfn.LET(_xlpm.t,MATCH($B205,'[1]Territory Definitions'!$B$5:$B$14,0),IF(ISNA(_xlpm.t),"NO TERRITORY",IF(INDEX('[1]Territory Definitions'!$D$5:$M$14,_xlpm.t,MATCH(G$4,'[1]Territory Definitions'!$D$4:$M$4,0))&lt;&gt;1,"NOT IN TERRITORY",IF(COUNTIFS('[1]Blackout Brand Fam Areas (Enc)'!$B$6:$B$998,$A205,'[1]Blackout Brand Fam Areas (Enc)'!$C$6:$C$998,G$4,'[1]Blackout Brand Fam Areas (Enc)'!$D$6:$D$998,"Inactive")&gt;0,"BLOCKED","CAN SELL")))))</f>
        <v>CAN SELL</v>
      </c>
      <c r="H205" s="11" t="str">
        <f>IF($A205="","",_xlfn.LET(_xlpm.t,MATCH($B205,'[1]Territory Definitions'!$B$5:$B$14,0),IF(ISNA(_xlpm.t),"NO TERRITORY",IF(INDEX('[1]Territory Definitions'!$D$5:$M$14,_xlpm.t,MATCH(H$4,'[1]Territory Definitions'!$D$4:$M$4,0))&lt;&gt;1,"NOT IN TERRITORY",IF(COUNTIFS('[1]Blackout Brand Fam Areas (Enc)'!$B$6:$B$998,$A205,'[1]Blackout Brand Fam Areas (Enc)'!$C$6:$C$998,H$4,'[1]Blackout Brand Fam Areas (Enc)'!$D$6:$D$998,"Inactive")&gt;0,"BLOCKED","CAN SELL")))))</f>
        <v>CAN SELL</v>
      </c>
      <c r="I205" s="11" t="str">
        <f>IF($A205="","",_xlfn.LET(_xlpm.t,MATCH($B205,'[1]Territory Definitions'!$B$5:$B$14,0),IF(ISNA(_xlpm.t),"NO TERRITORY",IF(INDEX('[1]Territory Definitions'!$D$5:$M$14,_xlpm.t,MATCH(I$4,'[1]Territory Definitions'!$D$4:$M$4,0))&lt;&gt;1,"NOT IN TERRITORY",IF(COUNTIFS('[1]Blackout Brand Fam Areas (Enc)'!$B$6:$B$998,$A205,'[1]Blackout Brand Fam Areas (Enc)'!$C$6:$C$998,I$4,'[1]Blackout Brand Fam Areas (Enc)'!$D$6:$D$998,"Inactive")&gt;0,"BLOCKED","CAN SELL")))))</f>
        <v>CAN SELL</v>
      </c>
      <c r="J205" s="11" t="str">
        <f>IF($A205="","",_xlfn.LET(_xlpm.t,MATCH($B205,'[1]Territory Definitions'!$B$5:$B$14,0),IF(ISNA(_xlpm.t),"NO TERRITORY",IF(INDEX('[1]Territory Definitions'!$D$5:$M$14,_xlpm.t,MATCH(J$4,'[1]Territory Definitions'!$D$4:$M$4,0))&lt;&gt;1,"NOT IN TERRITORY",IF(COUNTIFS('[1]Blackout Brand Fam Areas (Enc)'!$B$6:$B$998,$A205,'[1]Blackout Brand Fam Areas (Enc)'!$C$6:$C$998,J$4,'[1]Blackout Brand Fam Areas (Enc)'!$D$6:$D$998,"Inactive")&gt;0,"BLOCKED","CAN SELL")))))</f>
        <v>CAN SELL</v>
      </c>
      <c r="K205" s="11" t="str">
        <f>IF($A205="","",_xlfn.LET(_xlpm.t,MATCH($B205,'[1]Territory Definitions'!$B$5:$B$14,0),IF(ISNA(_xlpm.t),"NO TERRITORY",IF(INDEX('[1]Territory Definitions'!$D$5:$M$14,_xlpm.t,MATCH(K$4,'[1]Territory Definitions'!$D$4:$M$4,0))&lt;&gt;1,"NOT IN TERRITORY",IF(COUNTIFS('[1]Blackout Brand Fam Areas (Enc)'!$B$6:$B$998,$A205,'[1]Blackout Brand Fam Areas (Enc)'!$C$6:$C$998,K$4,'[1]Blackout Brand Fam Areas (Enc)'!$D$6:$D$998,"Inactive")&gt;0,"BLOCKED","CAN SELL")))))</f>
        <v>CAN SELL</v>
      </c>
      <c r="L205" s="11" t="str">
        <f>IF($A205="","",_xlfn.LET(_xlpm.t,MATCH($B205,'[1]Territory Definitions'!$B$5:$B$14,0),IF(ISNA(_xlpm.t),"NO TERRITORY",IF(INDEX('[1]Territory Definitions'!$D$5:$M$14,_xlpm.t,MATCH(L$4,'[1]Territory Definitions'!$D$4:$M$4,0))&lt;&gt;1,"NOT IN TERRITORY",IF(COUNTIFS('[1]Blackout Brand Fam Areas (Enc)'!$B$6:$B$998,$A205,'[1]Blackout Brand Fam Areas (Enc)'!$C$6:$C$998,L$4,'[1]Blackout Brand Fam Areas (Enc)'!$D$6:$D$998,"Inactive")&gt;0,"BLOCKED","CAN SELL")))))</f>
        <v>CAN SELL</v>
      </c>
      <c r="M205" s="12">
        <f>IF($A205="","",COUNTIF($C205:$L205,"CAN SELL"))</f>
        <v>10</v>
      </c>
      <c r="N205" s="13" cm="1">
        <f t="array" ref="N205">IF($A205="","",SUMPRODUCT(($C205:$L205="CAN SELL")*$C$3:$L$3))</f>
        <v>2306</v>
      </c>
      <c r="O205" s="14" t="str">
        <f>IF($A205="","",IF(COUNTIF($A$5:$A$299,$A205)&gt;1,"DUPLICATE - two different territories assigned",IF($B205="** NO TERRITORY SET **","No territory on Brand Family Territory (Enc)","")))</f>
        <v/>
      </c>
      <c r="P205" s="18" t="str">
        <f>IF($A205="","",IFERROR(INDEX([1]Products!$H$4:$H$4801,MATCH($A205,[1]Products!$G$4:$G$4801,0)),"(no products)"))</f>
        <v>Artisanal Imports</v>
      </c>
      <c r="Q205" s="19">
        <f>IF($A205="","",COUNTIFS([1]Products!$G$4:$G$4801,$A205,[1]Products!$L$4:$L$4801,"Yes"))</f>
        <v>3</v>
      </c>
      <c r="R205" s="19">
        <f>IF($A205="","",COUNTIFS([1]Products!$G$4:$G$4801,$A205,[1]Products!$L$4:$L$4801,"Yes",[1]Products!$K$4:$K$4801,"Draft"))</f>
        <v>0</v>
      </c>
      <c r="S205" s="19">
        <f>IF($A205="","",COUNTIFS([1]Products!$G$4:$G$4801,$A205,[1]Products!$L$4:$L$4801,"Yes",[1]Products!$K$4:$K$4801,"Package"))</f>
        <v>3</v>
      </c>
      <c r="T205" s="20" t="str" cm="1">
        <f t="array" ref="T205">IF($A205="","",_xlfn.IFS($Q205=0,"NO ACTIVE SKUs",AND($R205&gt;0,$S205&gt;0),"Draft &amp; Package",$R205&gt;0,"Draft only",TRUE,"Package only"))</f>
        <v>Package only</v>
      </c>
    </row>
    <row r="206" spans="1:20" x14ac:dyDescent="0.2">
      <c r="A206" s="9" t="str">
        <v>Paradisse</v>
      </c>
      <c r="B206" s="10" t="str">
        <f>IF($A206="","",_xlfn.XLOOKUP($A206,'[1]Brand Family Territory (Enc)'!$A:$A,'[1]Brand Family Territory (Enc)'!$B:$B,"** NO TERRITORY SET **"))</f>
        <v>All Counties</v>
      </c>
      <c r="C206" s="11" t="str">
        <f>IF($A206="","",_xlfn.LET(_xlpm.t,MATCH($B206,'[1]Territory Definitions'!$B$5:$B$14,0),IF(ISNA(_xlpm.t),"NO TERRITORY",IF(INDEX('[1]Territory Definitions'!$D$5:$M$14,_xlpm.t,MATCH(C$4,'[1]Territory Definitions'!$D$4:$M$4,0))&lt;&gt;1,"NOT IN TERRITORY",IF(COUNTIFS('[1]Blackout Brand Fam Areas (Enc)'!$B$6:$B$998,$A206,'[1]Blackout Brand Fam Areas (Enc)'!$C$6:$C$998,C$4,'[1]Blackout Brand Fam Areas (Enc)'!$D$6:$D$998,"Inactive")&gt;0,"BLOCKED","CAN SELL")))))</f>
        <v>CAN SELL</v>
      </c>
      <c r="D206" s="11" t="str">
        <f>IF($A206="","",_xlfn.LET(_xlpm.t,MATCH($B206,'[1]Territory Definitions'!$B$5:$B$14,0),IF(ISNA(_xlpm.t),"NO TERRITORY",IF(INDEX('[1]Territory Definitions'!$D$5:$M$14,_xlpm.t,MATCH(D$4,'[1]Territory Definitions'!$D$4:$M$4,0))&lt;&gt;1,"NOT IN TERRITORY",IF(COUNTIFS('[1]Blackout Brand Fam Areas (Enc)'!$B$6:$B$998,$A206,'[1]Blackout Brand Fam Areas (Enc)'!$C$6:$C$998,D$4,'[1]Blackout Brand Fam Areas (Enc)'!$D$6:$D$998,"Inactive")&gt;0,"BLOCKED","CAN SELL")))))</f>
        <v>CAN SELL</v>
      </c>
      <c r="E206" s="11" t="str">
        <f>IF($A206="","",_xlfn.LET(_xlpm.t,MATCH($B206,'[1]Territory Definitions'!$B$5:$B$14,0),IF(ISNA(_xlpm.t),"NO TERRITORY",IF(INDEX('[1]Territory Definitions'!$D$5:$M$14,_xlpm.t,MATCH(E$4,'[1]Territory Definitions'!$D$4:$M$4,0))&lt;&gt;1,"NOT IN TERRITORY",IF(COUNTIFS('[1]Blackout Brand Fam Areas (Enc)'!$B$6:$B$998,$A206,'[1]Blackout Brand Fam Areas (Enc)'!$C$6:$C$998,E$4,'[1]Blackout Brand Fam Areas (Enc)'!$D$6:$D$998,"Inactive")&gt;0,"BLOCKED","CAN SELL")))))</f>
        <v>CAN SELL</v>
      </c>
      <c r="F206" s="11" t="str">
        <f>IF($A206="","",_xlfn.LET(_xlpm.t,MATCH($B206,'[1]Territory Definitions'!$B$5:$B$14,0),IF(ISNA(_xlpm.t),"NO TERRITORY",IF(INDEX('[1]Territory Definitions'!$D$5:$M$14,_xlpm.t,MATCH(F$4,'[1]Territory Definitions'!$D$4:$M$4,0))&lt;&gt;1,"NOT IN TERRITORY",IF(COUNTIFS('[1]Blackout Brand Fam Areas (Enc)'!$B$6:$B$998,$A206,'[1]Blackout Brand Fam Areas (Enc)'!$C$6:$C$998,F$4,'[1]Blackout Brand Fam Areas (Enc)'!$D$6:$D$998,"Inactive")&gt;0,"BLOCKED","CAN SELL")))))</f>
        <v>CAN SELL</v>
      </c>
      <c r="G206" s="11" t="str">
        <f>IF($A206="","",_xlfn.LET(_xlpm.t,MATCH($B206,'[1]Territory Definitions'!$B$5:$B$14,0),IF(ISNA(_xlpm.t),"NO TERRITORY",IF(INDEX('[1]Territory Definitions'!$D$5:$M$14,_xlpm.t,MATCH(G$4,'[1]Territory Definitions'!$D$4:$M$4,0))&lt;&gt;1,"NOT IN TERRITORY",IF(COUNTIFS('[1]Blackout Brand Fam Areas (Enc)'!$B$6:$B$998,$A206,'[1]Blackout Brand Fam Areas (Enc)'!$C$6:$C$998,G$4,'[1]Blackout Brand Fam Areas (Enc)'!$D$6:$D$998,"Inactive")&gt;0,"BLOCKED","CAN SELL")))))</f>
        <v>CAN SELL</v>
      </c>
      <c r="H206" s="11" t="str">
        <f>IF($A206="","",_xlfn.LET(_xlpm.t,MATCH($B206,'[1]Territory Definitions'!$B$5:$B$14,0),IF(ISNA(_xlpm.t),"NO TERRITORY",IF(INDEX('[1]Territory Definitions'!$D$5:$M$14,_xlpm.t,MATCH(H$4,'[1]Territory Definitions'!$D$4:$M$4,0))&lt;&gt;1,"NOT IN TERRITORY",IF(COUNTIFS('[1]Blackout Brand Fam Areas (Enc)'!$B$6:$B$998,$A206,'[1]Blackout Brand Fam Areas (Enc)'!$C$6:$C$998,H$4,'[1]Blackout Brand Fam Areas (Enc)'!$D$6:$D$998,"Inactive")&gt;0,"BLOCKED","CAN SELL")))))</f>
        <v>CAN SELL</v>
      </c>
      <c r="I206" s="11" t="str">
        <f>IF($A206="","",_xlfn.LET(_xlpm.t,MATCH($B206,'[1]Territory Definitions'!$B$5:$B$14,0),IF(ISNA(_xlpm.t),"NO TERRITORY",IF(INDEX('[1]Territory Definitions'!$D$5:$M$14,_xlpm.t,MATCH(I$4,'[1]Territory Definitions'!$D$4:$M$4,0))&lt;&gt;1,"NOT IN TERRITORY",IF(COUNTIFS('[1]Blackout Brand Fam Areas (Enc)'!$B$6:$B$998,$A206,'[1]Blackout Brand Fam Areas (Enc)'!$C$6:$C$998,I$4,'[1]Blackout Brand Fam Areas (Enc)'!$D$6:$D$998,"Inactive")&gt;0,"BLOCKED","CAN SELL")))))</f>
        <v>CAN SELL</v>
      </c>
      <c r="J206" s="11" t="str">
        <f>IF($A206="","",_xlfn.LET(_xlpm.t,MATCH($B206,'[1]Territory Definitions'!$B$5:$B$14,0),IF(ISNA(_xlpm.t),"NO TERRITORY",IF(INDEX('[1]Territory Definitions'!$D$5:$M$14,_xlpm.t,MATCH(J$4,'[1]Territory Definitions'!$D$4:$M$4,0))&lt;&gt;1,"NOT IN TERRITORY",IF(COUNTIFS('[1]Blackout Brand Fam Areas (Enc)'!$B$6:$B$998,$A206,'[1]Blackout Brand Fam Areas (Enc)'!$C$6:$C$998,J$4,'[1]Blackout Brand Fam Areas (Enc)'!$D$6:$D$998,"Inactive")&gt;0,"BLOCKED","CAN SELL")))))</f>
        <v>CAN SELL</v>
      </c>
      <c r="K206" s="11" t="str">
        <f>IF($A206="","",_xlfn.LET(_xlpm.t,MATCH($B206,'[1]Territory Definitions'!$B$5:$B$14,0),IF(ISNA(_xlpm.t),"NO TERRITORY",IF(INDEX('[1]Territory Definitions'!$D$5:$M$14,_xlpm.t,MATCH(K$4,'[1]Territory Definitions'!$D$4:$M$4,0))&lt;&gt;1,"NOT IN TERRITORY",IF(COUNTIFS('[1]Blackout Brand Fam Areas (Enc)'!$B$6:$B$998,$A206,'[1]Blackout Brand Fam Areas (Enc)'!$C$6:$C$998,K$4,'[1]Blackout Brand Fam Areas (Enc)'!$D$6:$D$998,"Inactive")&gt;0,"BLOCKED","CAN SELL")))))</f>
        <v>CAN SELL</v>
      </c>
      <c r="L206" s="11" t="str">
        <f>IF($A206="","",_xlfn.LET(_xlpm.t,MATCH($B206,'[1]Territory Definitions'!$B$5:$B$14,0),IF(ISNA(_xlpm.t),"NO TERRITORY",IF(INDEX('[1]Territory Definitions'!$D$5:$M$14,_xlpm.t,MATCH(L$4,'[1]Territory Definitions'!$D$4:$M$4,0))&lt;&gt;1,"NOT IN TERRITORY",IF(COUNTIFS('[1]Blackout Brand Fam Areas (Enc)'!$B$6:$B$998,$A206,'[1]Blackout Brand Fam Areas (Enc)'!$C$6:$C$998,L$4,'[1]Blackout Brand Fam Areas (Enc)'!$D$6:$D$998,"Inactive")&gt;0,"BLOCKED","CAN SELL")))))</f>
        <v>CAN SELL</v>
      </c>
      <c r="M206" s="12">
        <f>IF($A206="","",COUNTIF($C206:$L206,"CAN SELL"))</f>
        <v>10</v>
      </c>
      <c r="N206" s="13" cm="1">
        <f t="array" ref="N206">IF($A206="","",SUMPRODUCT(($C206:$L206="CAN SELL")*$C$3:$L$3))</f>
        <v>2306</v>
      </c>
      <c r="O206" s="14" t="str">
        <f>IF($A206="","",IF(COUNTIF($A$5:$A$299,$A206)&gt;1,"DUPLICATE - two different territories assigned",IF($B206="** NO TERRITORY SET **","No territory on Brand Family Territory (Enc)","")))</f>
        <v/>
      </c>
      <c r="P206" s="18" t="str">
        <f>IF($A206="","",IFERROR(INDEX([1]Products!$H$4:$H$4801,MATCH($A206,[1]Products!$G$4:$G$4801,0)),"(no products)"))</f>
        <v>Paradisse Spirits LLC</v>
      </c>
      <c r="Q206" s="19">
        <f>IF($A206="","",COUNTIFS([1]Products!$G$4:$G$4801,$A206,[1]Products!$L$4:$L$4801,"Yes"))</f>
        <v>1</v>
      </c>
      <c r="R206" s="19">
        <f>IF($A206="","",COUNTIFS([1]Products!$G$4:$G$4801,$A206,[1]Products!$L$4:$L$4801,"Yes",[1]Products!$K$4:$K$4801,"Draft"))</f>
        <v>0</v>
      </c>
      <c r="S206" s="19">
        <f>IF($A206="","",COUNTIFS([1]Products!$G$4:$G$4801,$A206,[1]Products!$L$4:$L$4801,"Yes",[1]Products!$K$4:$K$4801,"Package"))</f>
        <v>0</v>
      </c>
      <c r="T206" s="20" t="str" cm="1">
        <f t="array" ref="T206">IF($A206="","",_xlfn.IFS($Q206=0,"NO ACTIVE SKUs",AND($R206&gt;0,$S206&gt;0),"Draft &amp; Package",$R206&gt;0,"Draft only",TRUE,"Package only"))</f>
        <v>Package only</v>
      </c>
    </row>
    <row r="207" spans="1:20" x14ac:dyDescent="0.2">
      <c r="A207" s="9" t="str">
        <v>Paulaner</v>
      </c>
      <c r="B207" s="10" t="str">
        <f>IF($A207="","",_xlfn.XLOOKUP($A207,'[1]Brand Family Territory (Enc)'!$A:$A,'[1]Brand Family Territory (Enc)'!$B:$B,"** NO TERRITORY SET **"))</f>
        <v>Bergen/Passaic/Hudson/Essex</v>
      </c>
      <c r="C207" s="11" t="str">
        <f>IF($A207="","",_xlfn.LET(_xlpm.t,MATCH($B207,'[1]Territory Definitions'!$B$5:$B$14,0),IF(ISNA(_xlpm.t),"NO TERRITORY",IF(INDEX('[1]Territory Definitions'!$D$5:$M$14,_xlpm.t,MATCH(C$4,'[1]Territory Definitions'!$D$4:$M$4,0))&lt;&gt;1,"NOT IN TERRITORY",IF(COUNTIFS('[1]Blackout Brand Fam Areas (Enc)'!$B$6:$B$998,$A207,'[1]Blackout Brand Fam Areas (Enc)'!$C$6:$C$998,C$4,'[1]Blackout Brand Fam Areas (Enc)'!$D$6:$D$998,"Inactive")&gt;0,"BLOCKED","CAN SELL")))))</f>
        <v>CAN SELL</v>
      </c>
      <c r="D207" s="11" t="str">
        <f>IF($A207="","",_xlfn.LET(_xlpm.t,MATCH($B207,'[1]Territory Definitions'!$B$5:$B$14,0),IF(ISNA(_xlpm.t),"NO TERRITORY",IF(INDEX('[1]Territory Definitions'!$D$5:$M$14,_xlpm.t,MATCH(D$4,'[1]Territory Definitions'!$D$4:$M$4,0))&lt;&gt;1,"NOT IN TERRITORY",IF(COUNTIFS('[1]Blackout Brand Fam Areas (Enc)'!$B$6:$B$998,$A207,'[1]Blackout Brand Fam Areas (Enc)'!$C$6:$C$998,D$4,'[1]Blackout Brand Fam Areas (Enc)'!$D$6:$D$998,"Inactive")&gt;0,"BLOCKED","CAN SELL")))))</f>
        <v>CAN SELL</v>
      </c>
      <c r="E207" s="11" t="str">
        <f>IF($A207="","",_xlfn.LET(_xlpm.t,MATCH($B207,'[1]Territory Definitions'!$B$5:$B$14,0),IF(ISNA(_xlpm.t),"NO TERRITORY",IF(INDEX('[1]Territory Definitions'!$D$5:$M$14,_xlpm.t,MATCH(E$4,'[1]Territory Definitions'!$D$4:$M$4,0))&lt;&gt;1,"NOT IN TERRITORY",IF(COUNTIFS('[1]Blackout Brand Fam Areas (Enc)'!$B$6:$B$998,$A207,'[1]Blackout Brand Fam Areas (Enc)'!$C$6:$C$998,E$4,'[1]Blackout Brand Fam Areas (Enc)'!$D$6:$D$998,"Inactive")&gt;0,"BLOCKED","CAN SELL")))))</f>
        <v>CAN SELL</v>
      </c>
      <c r="F207" s="11" t="str">
        <f>IF($A207="","",_xlfn.LET(_xlpm.t,MATCH($B207,'[1]Territory Definitions'!$B$5:$B$14,0),IF(ISNA(_xlpm.t),"NO TERRITORY",IF(INDEX('[1]Territory Definitions'!$D$5:$M$14,_xlpm.t,MATCH(F$4,'[1]Territory Definitions'!$D$4:$M$4,0))&lt;&gt;1,"NOT IN TERRITORY",IF(COUNTIFS('[1]Blackout Brand Fam Areas (Enc)'!$B$6:$B$998,$A207,'[1]Blackout Brand Fam Areas (Enc)'!$C$6:$C$998,F$4,'[1]Blackout Brand Fam Areas (Enc)'!$D$6:$D$998,"Inactive")&gt;0,"BLOCKED","CAN SELL")))))</f>
        <v>CAN SELL</v>
      </c>
      <c r="G207" s="11" t="str">
        <f>IF($A207="","",_xlfn.LET(_xlpm.t,MATCH($B207,'[1]Territory Definitions'!$B$5:$B$14,0),IF(ISNA(_xlpm.t),"NO TERRITORY",IF(INDEX('[1]Territory Definitions'!$D$5:$M$14,_xlpm.t,MATCH(G$4,'[1]Territory Definitions'!$D$4:$M$4,0))&lt;&gt;1,"NOT IN TERRITORY",IF(COUNTIFS('[1]Blackout Brand Fam Areas (Enc)'!$B$6:$B$998,$A207,'[1]Blackout Brand Fam Areas (Enc)'!$C$6:$C$998,G$4,'[1]Blackout Brand Fam Areas (Enc)'!$D$6:$D$998,"Inactive")&gt;0,"BLOCKED","CAN SELL")))))</f>
        <v>CAN SELL</v>
      </c>
      <c r="H207" s="11" t="str">
        <f>IF($A207="","",_xlfn.LET(_xlpm.t,MATCH($B207,'[1]Territory Definitions'!$B$5:$B$14,0),IF(ISNA(_xlpm.t),"NO TERRITORY",IF(INDEX('[1]Territory Definitions'!$D$5:$M$14,_xlpm.t,MATCH(H$4,'[1]Territory Definitions'!$D$4:$M$4,0))&lt;&gt;1,"NOT IN TERRITORY",IF(COUNTIFS('[1]Blackout Brand Fam Areas (Enc)'!$B$6:$B$998,$A207,'[1]Blackout Brand Fam Areas (Enc)'!$C$6:$C$998,H$4,'[1]Blackout Brand Fam Areas (Enc)'!$D$6:$D$998,"Inactive")&gt;0,"BLOCKED","CAN SELL")))))</f>
        <v>NOT IN TERRITORY</v>
      </c>
      <c r="I207" s="11" t="str">
        <f>IF($A207="","",_xlfn.LET(_xlpm.t,MATCH($B207,'[1]Territory Definitions'!$B$5:$B$14,0),IF(ISNA(_xlpm.t),"NO TERRITORY",IF(INDEX('[1]Territory Definitions'!$D$5:$M$14,_xlpm.t,MATCH(I$4,'[1]Territory Definitions'!$D$4:$M$4,0))&lt;&gt;1,"NOT IN TERRITORY",IF(COUNTIFS('[1]Blackout Brand Fam Areas (Enc)'!$B$6:$B$998,$A207,'[1]Blackout Brand Fam Areas (Enc)'!$C$6:$C$998,I$4,'[1]Blackout Brand Fam Areas (Enc)'!$D$6:$D$998,"Inactive")&gt;0,"BLOCKED","CAN SELL")))))</f>
        <v>NOT IN TERRITORY</v>
      </c>
      <c r="J207" s="11" t="str">
        <f>IF($A207="","",_xlfn.LET(_xlpm.t,MATCH($B207,'[1]Territory Definitions'!$B$5:$B$14,0),IF(ISNA(_xlpm.t),"NO TERRITORY",IF(INDEX('[1]Territory Definitions'!$D$5:$M$14,_xlpm.t,MATCH(J$4,'[1]Territory Definitions'!$D$4:$M$4,0))&lt;&gt;1,"NOT IN TERRITORY",IF(COUNTIFS('[1]Blackout Brand Fam Areas (Enc)'!$B$6:$B$998,$A207,'[1]Blackout Brand Fam Areas (Enc)'!$C$6:$C$998,J$4,'[1]Blackout Brand Fam Areas (Enc)'!$D$6:$D$998,"Inactive")&gt;0,"BLOCKED","CAN SELL")))))</f>
        <v>NOT IN TERRITORY</v>
      </c>
      <c r="K207" s="11" t="str">
        <f>IF($A207="","",_xlfn.LET(_xlpm.t,MATCH($B207,'[1]Territory Definitions'!$B$5:$B$14,0),IF(ISNA(_xlpm.t),"NO TERRITORY",IF(INDEX('[1]Territory Definitions'!$D$5:$M$14,_xlpm.t,MATCH(K$4,'[1]Territory Definitions'!$D$4:$M$4,0))&lt;&gt;1,"NOT IN TERRITORY",IF(COUNTIFS('[1]Blackout Brand Fam Areas (Enc)'!$B$6:$B$998,$A207,'[1]Blackout Brand Fam Areas (Enc)'!$C$6:$C$998,K$4,'[1]Blackout Brand Fam Areas (Enc)'!$D$6:$D$998,"Inactive")&gt;0,"BLOCKED","CAN SELL")))))</f>
        <v>NOT IN TERRITORY</v>
      </c>
      <c r="L207" s="11" t="str">
        <f>IF($A207="","",_xlfn.LET(_xlpm.t,MATCH($B207,'[1]Territory Definitions'!$B$5:$B$14,0),IF(ISNA(_xlpm.t),"NO TERRITORY",IF(INDEX('[1]Territory Definitions'!$D$5:$M$14,_xlpm.t,MATCH(L$4,'[1]Territory Definitions'!$D$4:$M$4,0))&lt;&gt;1,"NOT IN TERRITORY",IF(COUNTIFS('[1]Blackout Brand Fam Areas (Enc)'!$B$6:$B$998,$A207,'[1]Blackout Brand Fam Areas (Enc)'!$C$6:$C$998,L$4,'[1]Blackout Brand Fam Areas (Enc)'!$D$6:$D$998,"Inactive")&gt;0,"BLOCKED","CAN SELL")))))</f>
        <v>NOT IN TERRITORY</v>
      </c>
      <c r="M207" s="12">
        <f>IF($A207="","",COUNTIF($C207:$L207,"CAN SELL"))</f>
        <v>5</v>
      </c>
      <c r="N207" s="13" cm="1">
        <f t="array" ref="N207">IF($A207="","",SUMPRODUCT(($C207:$L207="CAN SELL")*$C$3:$L$3))</f>
        <v>1859</v>
      </c>
      <c r="O207" s="14" t="str">
        <f>IF($A207="","",IF(COUNTIF($A$5:$A$299,$A207)&gt;1,"DUPLICATE - two different territories assigned",IF($B207="** NO TERRITORY SET **","No territory on Brand Family Territory (Enc)","")))</f>
        <v/>
      </c>
      <c r="P207" s="18" t="str">
        <f>IF($A207="","",IFERROR(INDEX([1]Products!$H$4:$H$4801,MATCH($A207,[1]Products!$G$4:$G$4801,0)),"(no products)"))</f>
        <v>Paulaner</v>
      </c>
      <c r="Q207" s="19">
        <f>IF($A207="","",COUNTIFS([1]Products!$G$4:$G$4801,$A207,[1]Products!$L$4:$L$4801,"Yes"))</f>
        <v>26</v>
      </c>
      <c r="R207" s="19">
        <f>IF($A207="","",COUNTIFS([1]Products!$G$4:$G$4801,$A207,[1]Products!$L$4:$L$4801,"Yes",[1]Products!$K$4:$K$4801,"Draft"))</f>
        <v>6</v>
      </c>
      <c r="S207" s="19">
        <f>IF($A207="","",COUNTIFS([1]Products!$G$4:$G$4801,$A207,[1]Products!$L$4:$L$4801,"Yes",[1]Products!$K$4:$K$4801,"Package"))</f>
        <v>20</v>
      </c>
      <c r="T207" s="20" t="str" cm="1">
        <f t="array" ref="T207">IF($A207="","",_xlfn.IFS($Q207=0,"NO ACTIVE SKUs",AND($R207&gt;0,$S207&gt;0),"Draft &amp; Package",$R207&gt;0,"Draft only",TRUE,"Package only"))</f>
        <v>Draft &amp; Package</v>
      </c>
    </row>
    <row r="208" spans="1:20" x14ac:dyDescent="0.2">
      <c r="A208" s="9" t="str">
        <v>Peroni</v>
      </c>
      <c r="B208" s="10" t="str">
        <f>IF($A208="","",_xlfn.XLOOKUP($A208,'[1]Brand Family Territory (Enc)'!$A:$A,'[1]Brand Family Territory (Enc)'!$B:$B,"** NO TERRITORY SET **"))</f>
        <v>Core Market</v>
      </c>
      <c r="C208" s="11" t="str">
        <f>IF($A208="","",_xlfn.LET(_xlpm.t,MATCH($B208,'[1]Territory Definitions'!$B$5:$B$14,0),IF(ISNA(_xlpm.t),"NO TERRITORY",IF(INDEX('[1]Territory Definitions'!$D$5:$M$14,_xlpm.t,MATCH(C$4,'[1]Territory Definitions'!$D$4:$M$4,0))&lt;&gt;1,"NOT IN TERRITORY",IF(COUNTIFS('[1]Blackout Brand Fam Areas (Enc)'!$B$6:$B$998,$A208,'[1]Blackout Brand Fam Areas (Enc)'!$C$6:$C$998,C$4,'[1]Blackout Brand Fam Areas (Enc)'!$D$6:$D$998,"Inactive")&gt;0,"BLOCKED","CAN SELL")))))</f>
        <v>CAN SELL</v>
      </c>
      <c r="D208" s="11" t="str">
        <f>IF($A208="","",_xlfn.LET(_xlpm.t,MATCH($B208,'[1]Territory Definitions'!$B$5:$B$14,0),IF(ISNA(_xlpm.t),"NO TERRITORY",IF(INDEX('[1]Territory Definitions'!$D$5:$M$14,_xlpm.t,MATCH(D$4,'[1]Territory Definitions'!$D$4:$M$4,0))&lt;&gt;1,"NOT IN TERRITORY",IF(COUNTIFS('[1]Blackout Brand Fam Areas (Enc)'!$B$6:$B$998,$A208,'[1]Blackout Brand Fam Areas (Enc)'!$C$6:$C$998,D$4,'[1]Blackout Brand Fam Areas (Enc)'!$D$6:$D$998,"Inactive")&gt;0,"BLOCKED","CAN SELL")))))</f>
        <v>CAN SELL</v>
      </c>
      <c r="E208" s="11" t="str">
        <f>IF($A208="","",_xlfn.LET(_xlpm.t,MATCH($B208,'[1]Territory Definitions'!$B$5:$B$14,0),IF(ISNA(_xlpm.t),"NO TERRITORY",IF(INDEX('[1]Territory Definitions'!$D$5:$M$14,_xlpm.t,MATCH(E$4,'[1]Territory Definitions'!$D$4:$M$4,0))&lt;&gt;1,"NOT IN TERRITORY",IF(COUNTIFS('[1]Blackout Brand Fam Areas (Enc)'!$B$6:$B$998,$A208,'[1]Blackout Brand Fam Areas (Enc)'!$C$6:$C$998,E$4,'[1]Blackout Brand Fam Areas (Enc)'!$D$6:$D$998,"Inactive")&gt;0,"BLOCKED","CAN SELL")))))</f>
        <v>CAN SELL</v>
      </c>
      <c r="F208" s="11" t="str">
        <f>IF($A208="","",_xlfn.LET(_xlpm.t,MATCH($B208,'[1]Territory Definitions'!$B$5:$B$14,0),IF(ISNA(_xlpm.t),"NO TERRITORY",IF(INDEX('[1]Territory Definitions'!$D$5:$M$14,_xlpm.t,MATCH(F$4,'[1]Territory Definitions'!$D$4:$M$4,0))&lt;&gt;1,"NOT IN TERRITORY",IF(COUNTIFS('[1]Blackout Brand Fam Areas (Enc)'!$B$6:$B$998,$A208,'[1]Blackout Brand Fam Areas (Enc)'!$C$6:$C$998,F$4,'[1]Blackout Brand Fam Areas (Enc)'!$D$6:$D$998,"Inactive")&gt;0,"BLOCKED","CAN SELL")))))</f>
        <v>NOT IN TERRITORY</v>
      </c>
      <c r="G208" s="11" t="str">
        <f>IF($A208="","",_xlfn.LET(_xlpm.t,MATCH($B208,'[1]Territory Definitions'!$B$5:$B$14,0),IF(ISNA(_xlpm.t),"NO TERRITORY",IF(INDEX('[1]Territory Definitions'!$D$5:$M$14,_xlpm.t,MATCH(G$4,'[1]Territory Definitions'!$D$4:$M$4,0))&lt;&gt;1,"NOT IN TERRITORY",IF(COUNTIFS('[1]Blackout Brand Fam Areas (Enc)'!$B$6:$B$998,$A208,'[1]Blackout Brand Fam Areas (Enc)'!$C$6:$C$998,G$4,'[1]Blackout Brand Fam Areas (Enc)'!$D$6:$D$998,"Inactive")&gt;0,"BLOCKED","CAN SELL")))))</f>
        <v>NOT IN TERRITORY</v>
      </c>
      <c r="H208" s="11" t="str">
        <f>IF($A208="","",_xlfn.LET(_xlpm.t,MATCH($B208,'[1]Territory Definitions'!$B$5:$B$14,0),IF(ISNA(_xlpm.t),"NO TERRITORY",IF(INDEX('[1]Territory Definitions'!$D$5:$M$14,_xlpm.t,MATCH(H$4,'[1]Territory Definitions'!$D$4:$M$4,0))&lt;&gt;1,"NOT IN TERRITORY",IF(COUNTIFS('[1]Blackout Brand Fam Areas (Enc)'!$B$6:$B$998,$A208,'[1]Blackout Brand Fam Areas (Enc)'!$C$6:$C$998,H$4,'[1]Blackout Brand Fam Areas (Enc)'!$D$6:$D$998,"Inactive")&gt;0,"BLOCKED","CAN SELL")))))</f>
        <v>NOT IN TERRITORY</v>
      </c>
      <c r="I208" s="11" t="str">
        <f>IF($A208="","",_xlfn.LET(_xlpm.t,MATCH($B208,'[1]Territory Definitions'!$B$5:$B$14,0),IF(ISNA(_xlpm.t),"NO TERRITORY",IF(INDEX('[1]Territory Definitions'!$D$5:$M$14,_xlpm.t,MATCH(I$4,'[1]Territory Definitions'!$D$4:$M$4,0))&lt;&gt;1,"NOT IN TERRITORY",IF(COUNTIFS('[1]Blackout Brand Fam Areas (Enc)'!$B$6:$B$998,$A208,'[1]Blackout Brand Fam Areas (Enc)'!$C$6:$C$998,I$4,'[1]Blackout Brand Fam Areas (Enc)'!$D$6:$D$998,"Inactive")&gt;0,"BLOCKED","CAN SELL")))))</f>
        <v>CAN SELL</v>
      </c>
      <c r="J208" s="11" t="str">
        <f>IF($A208="","",_xlfn.LET(_xlpm.t,MATCH($B208,'[1]Territory Definitions'!$B$5:$B$14,0),IF(ISNA(_xlpm.t),"NO TERRITORY",IF(INDEX('[1]Territory Definitions'!$D$5:$M$14,_xlpm.t,MATCH(J$4,'[1]Territory Definitions'!$D$4:$M$4,0))&lt;&gt;1,"NOT IN TERRITORY",IF(COUNTIFS('[1]Blackout Brand Fam Areas (Enc)'!$B$6:$B$998,$A208,'[1]Blackout Brand Fam Areas (Enc)'!$C$6:$C$998,J$4,'[1]Blackout Brand Fam Areas (Enc)'!$D$6:$D$998,"Inactive")&gt;0,"BLOCKED","CAN SELL")))))</f>
        <v>CAN SELL</v>
      </c>
      <c r="K208" s="11" t="str">
        <f>IF($A208="","",_xlfn.LET(_xlpm.t,MATCH($B208,'[1]Territory Definitions'!$B$5:$B$14,0),IF(ISNA(_xlpm.t),"NO TERRITORY",IF(INDEX('[1]Territory Definitions'!$D$5:$M$14,_xlpm.t,MATCH(K$4,'[1]Territory Definitions'!$D$4:$M$4,0))&lt;&gt;1,"NOT IN TERRITORY",IF(COUNTIFS('[1]Blackout Brand Fam Areas (Enc)'!$B$6:$B$998,$A208,'[1]Blackout Brand Fam Areas (Enc)'!$C$6:$C$998,K$4,'[1]Blackout Brand Fam Areas (Enc)'!$D$6:$D$998,"Inactive")&gt;0,"BLOCKED","CAN SELL")))))</f>
        <v>NOT IN TERRITORY</v>
      </c>
      <c r="L208" s="11" t="str">
        <f>IF($A208="","",_xlfn.LET(_xlpm.t,MATCH($B208,'[1]Territory Definitions'!$B$5:$B$14,0),IF(ISNA(_xlpm.t),"NO TERRITORY",IF(INDEX('[1]Territory Definitions'!$D$5:$M$14,_xlpm.t,MATCH(L$4,'[1]Territory Definitions'!$D$4:$M$4,0))&lt;&gt;1,"NOT IN TERRITORY",IF(COUNTIFS('[1]Blackout Brand Fam Areas (Enc)'!$B$6:$B$998,$A208,'[1]Blackout Brand Fam Areas (Enc)'!$C$6:$C$998,L$4,'[1]Blackout Brand Fam Areas (Enc)'!$D$6:$D$998,"Inactive")&gt;0,"BLOCKED","CAN SELL")))))</f>
        <v>CAN SELL</v>
      </c>
      <c r="M208" s="12">
        <f>IF($A208="","",COUNTIF($C208:$L208,"CAN SELL"))</f>
        <v>6</v>
      </c>
      <c r="N208" s="13" cm="1">
        <f t="array" ref="N208">IF($A208="","",SUMPRODUCT(($C208:$L208="CAN SELL")*$C$3:$L$3))</f>
        <v>1596</v>
      </c>
      <c r="O208" s="14" t="str">
        <f>IF($A208="","",IF(COUNTIF($A$5:$A$299,$A208)&gt;1,"DUPLICATE - two different territories assigned",IF($B208="** NO TERRITORY SET **","No territory on Brand Family Territory (Enc)","")))</f>
        <v/>
      </c>
      <c r="P208" s="18" t="str">
        <f>IF($A208="","",IFERROR(INDEX([1]Products!$H$4:$H$4801,MATCH($A208,[1]Products!$G$4:$G$4801,0)),"(no products)"))</f>
        <v>MolsonCoors Beverage Company</v>
      </c>
      <c r="Q208" s="19">
        <f>IF($A208="","",COUNTIFS([1]Products!$G$4:$G$4801,$A208,[1]Products!$L$4:$L$4801,"Yes"))</f>
        <v>10</v>
      </c>
      <c r="R208" s="19">
        <f>IF($A208="","",COUNTIFS([1]Products!$G$4:$G$4801,$A208,[1]Products!$L$4:$L$4801,"Yes",[1]Products!$K$4:$K$4801,"Draft"))</f>
        <v>2</v>
      </c>
      <c r="S208" s="19">
        <f>IF($A208="","",COUNTIFS([1]Products!$G$4:$G$4801,$A208,[1]Products!$L$4:$L$4801,"Yes",[1]Products!$K$4:$K$4801,"Package"))</f>
        <v>8</v>
      </c>
      <c r="T208" s="20" t="str" cm="1">
        <f t="array" ref="T208">IF($A208="","",_xlfn.IFS($Q208=0,"NO ACTIVE SKUs",AND($R208&gt;0,$S208&gt;0),"Draft &amp; Package",$R208&gt;0,"Draft only",TRUE,"Package only"))</f>
        <v>Draft &amp; Package</v>
      </c>
    </row>
    <row r="209" spans="1:20" x14ac:dyDescent="0.2">
      <c r="A209" s="9" t="str">
        <v>Petrus</v>
      </c>
      <c r="B209" s="10" t="str">
        <f>IF($A209="","",_xlfn.XLOOKUP($A209,'[1]Brand Family Territory (Enc)'!$A:$A,'[1]Brand Family Territory (Enc)'!$B:$B,"** NO TERRITORY SET **"))</f>
        <v>All Counties</v>
      </c>
      <c r="C209" s="11" t="str">
        <f>IF($A209="","",_xlfn.LET(_xlpm.t,MATCH($B209,'[1]Territory Definitions'!$B$5:$B$14,0),IF(ISNA(_xlpm.t),"NO TERRITORY",IF(INDEX('[1]Territory Definitions'!$D$5:$M$14,_xlpm.t,MATCH(C$4,'[1]Territory Definitions'!$D$4:$M$4,0))&lt;&gt;1,"NOT IN TERRITORY",IF(COUNTIFS('[1]Blackout Brand Fam Areas (Enc)'!$B$6:$B$998,$A209,'[1]Blackout Brand Fam Areas (Enc)'!$C$6:$C$998,C$4,'[1]Blackout Brand Fam Areas (Enc)'!$D$6:$D$998,"Inactive")&gt;0,"BLOCKED","CAN SELL")))))</f>
        <v>CAN SELL</v>
      </c>
      <c r="D209" s="11" t="str">
        <f>IF($A209="","",_xlfn.LET(_xlpm.t,MATCH($B209,'[1]Territory Definitions'!$B$5:$B$14,0),IF(ISNA(_xlpm.t),"NO TERRITORY",IF(INDEX('[1]Territory Definitions'!$D$5:$M$14,_xlpm.t,MATCH(D$4,'[1]Territory Definitions'!$D$4:$M$4,0))&lt;&gt;1,"NOT IN TERRITORY",IF(COUNTIFS('[1]Blackout Brand Fam Areas (Enc)'!$B$6:$B$998,$A209,'[1]Blackout Brand Fam Areas (Enc)'!$C$6:$C$998,D$4,'[1]Blackout Brand Fam Areas (Enc)'!$D$6:$D$998,"Inactive")&gt;0,"BLOCKED","CAN SELL")))))</f>
        <v>CAN SELL</v>
      </c>
      <c r="E209" s="11" t="str">
        <f>IF($A209="","",_xlfn.LET(_xlpm.t,MATCH($B209,'[1]Territory Definitions'!$B$5:$B$14,0),IF(ISNA(_xlpm.t),"NO TERRITORY",IF(INDEX('[1]Territory Definitions'!$D$5:$M$14,_xlpm.t,MATCH(E$4,'[1]Territory Definitions'!$D$4:$M$4,0))&lt;&gt;1,"NOT IN TERRITORY",IF(COUNTIFS('[1]Blackout Brand Fam Areas (Enc)'!$B$6:$B$998,$A209,'[1]Blackout Brand Fam Areas (Enc)'!$C$6:$C$998,E$4,'[1]Blackout Brand Fam Areas (Enc)'!$D$6:$D$998,"Inactive")&gt;0,"BLOCKED","CAN SELL")))))</f>
        <v>CAN SELL</v>
      </c>
      <c r="F209" s="11" t="str">
        <f>IF($A209="","",_xlfn.LET(_xlpm.t,MATCH($B209,'[1]Territory Definitions'!$B$5:$B$14,0),IF(ISNA(_xlpm.t),"NO TERRITORY",IF(INDEX('[1]Territory Definitions'!$D$5:$M$14,_xlpm.t,MATCH(F$4,'[1]Territory Definitions'!$D$4:$M$4,0))&lt;&gt;1,"NOT IN TERRITORY",IF(COUNTIFS('[1]Blackout Brand Fam Areas (Enc)'!$B$6:$B$998,$A209,'[1]Blackout Brand Fam Areas (Enc)'!$C$6:$C$998,F$4,'[1]Blackout Brand Fam Areas (Enc)'!$D$6:$D$998,"Inactive")&gt;0,"BLOCKED","CAN SELL")))))</f>
        <v>CAN SELL</v>
      </c>
      <c r="G209" s="11" t="str">
        <f>IF($A209="","",_xlfn.LET(_xlpm.t,MATCH($B209,'[1]Territory Definitions'!$B$5:$B$14,0),IF(ISNA(_xlpm.t),"NO TERRITORY",IF(INDEX('[1]Territory Definitions'!$D$5:$M$14,_xlpm.t,MATCH(G$4,'[1]Territory Definitions'!$D$4:$M$4,0))&lt;&gt;1,"NOT IN TERRITORY",IF(COUNTIFS('[1]Blackout Brand Fam Areas (Enc)'!$B$6:$B$998,$A209,'[1]Blackout Brand Fam Areas (Enc)'!$C$6:$C$998,G$4,'[1]Blackout Brand Fam Areas (Enc)'!$D$6:$D$998,"Inactive")&gt;0,"BLOCKED","CAN SELL")))))</f>
        <v>CAN SELL</v>
      </c>
      <c r="H209" s="11" t="str">
        <f>IF($A209="","",_xlfn.LET(_xlpm.t,MATCH($B209,'[1]Territory Definitions'!$B$5:$B$14,0),IF(ISNA(_xlpm.t),"NO TERRITORY",IF(INDEX('[1]Territory Definitions'!$D$5:$M$14,_xlpm.t,MATCH(H$4,'[1]Territory Definitions'!$D$4:$M$4,0))&lt;&gt;1,"NOT IN TERRITORY",IF(COUNTIFS('[1]Blackout Brand Fam Areas (Enc)'!$B$6:$B$998,$A209,'[1]Blackout Brand Fam Areas (Enc)'!$C$6:$C$998,H$4,'[1]Blackout Brand Fam Areas (Enc)'!$D$6:$D$998,"Inactive")&gt;0,"BLOCKED","CAN SELL")))))</f>
        <v>CAN SELL</v>
      </c>
      <c r="I209" s="11" t="str">
        <f>IF($A209="","",_xlfn.LET(_xlpm.t,MATCH($B209,'[1]Territory Definitions'!$B$5:$B$14,0),IF(ISNA(_xlpm.t),"NO TERRITORY",IF(INDEX('[1]Territory Definitions'!$D$5:$M$14,_xlpm.t,MATCH(I$4,'[1]Territory Definitions'!$D$4:$M$4,0))&lt;&gt;1,"NOT IN TERRITORY",IF(COUNTIFS('[1]Blackout Brand Fam Areas (Enc)'!$B$6:$B$998,$A209,'[1]Blackout Brand Fam Areas (Enc)'!$C$6:$C$998,I$4,'[1]Blackout Brand Fam Areas (Enc)'!$D$6:$D$998,"Inactive")&gt;0,"BLOCKED","CAN SELL")))))</f>
        <v>CAN SELL</v>
      </c>
      <c r="J209" s="11" t="str">
        <f>IF($A209="","",_xlfn.LET(_xlpm.t,MATCH($B209,'[1]Territory Definitions'!$B$5:$B$14,0),IF(ISNA(_xlpm.t),"NO TERRITORY",IF(INDEX('[1]Territory Definitions'!$D$5:$M$14,_xlpm.t,MATCH(J$4,'[1]Territory Definitions'!$D$4:$M$4,0))&lt;&gt;1,"NOT IN TERRITORY",IF(COUNTIFS('[1]Blackout Brand Fam Areas (Enc)'!$B$6:$B$998,$A209,'[1]Blackout Brand Fam Areas (Enc)'!$C$6:$C$998,J$4,'[1]Blackout Brand Fam Areas (Enc)'!$D$6:$D$998,"Inactive")&gt;0,"BLOCKED","CAN SELL")))))</f>
        <v>CAN SELL</v>
      </c>
      <c r="K209" s="11" t="str">
        <f>IF($A209="","",_xlfn.LET(_xlpm.t,MATCH($B209,'[1]Territory Definitions'!$B$5:$B$14,0),IF(ISNA(_xlpm.t),"NO TERRITORY",IF(INDEX('[1]Territory Definitions'!$D$5:$M$14,_xlpm.t,MATCH(K$4,'[1]Territory Definitions'!$D$4:$M$4,0))&lt;&gt;1,"NOT IN TERRITORY",IF(COUNTIFS('[1]Blackout Brand Fam Areas (Enc)'!$B$6:$B$998,$A209,'[1]Blackout Brand Fam Areas (Enc)'!$C$6:$C$998,K$4,'[1]Blackout Brand Fam Areas (Enc)'!$D$6:$D$998,"Inactive")&gt;0,"BLOCKED","CAN SELL")))))</f>
        <v>CAN SELL</v>
      </c>
      <c r="L209" s="11" t="str">
        <f>IF($A209="","",_xlfn.LET(_xlpm.t,MATCH($B209,'[1]Territory Definitions'!$B$5:$B$14,0),IF(ISNA(_xlpm.t),"NO TERRITORY",IF(INDEX('[1]Territory Definitions'!$D$5:$M$14,_xlpm.t,MATCH(L$4,'[1]Territory Definitions'!$D$4:$M$4,0))&lt;&gt;1,"NOT IN TERRITORY",IF(COUNTIFS('[1]Blackout Brand Fam Areas (Enc)'!$B$6:$B$998,$A209,'[1]Blackout Brand Fam Areas (Enc)'!$C$6:$C$998,L$4,'[1]Blackout Brand Fam Areas (Enc)'!$D$6:$D$998,"Inactive")&gt;0,"BLOCKED","CAN SELL")))))</f>
        <v>CAN SELL</v>
      </c>
      <c r="M209" s="12">
        <f>IF($A209="","",COUNTIF($C209:$L209,"CAN SELL"))</f>
        <v>10</v>
      </c>
      <c r="N209" s="13" cm="1">
        <f t="array" ref="N209">IF($A209="","",SUMPRODUCT(($C209:$L209="CAN SELL")*$C$3:$L$3))</f>
        <v>2306</v>
      </c>
      <c r="O209" s="14" t="str">
        <f>IF($A209="","",IF(COUNTIF($A$5:$A$299,$A209)&gt;1,"DUPLICATE - two different territories assigned",IF($B209="** NO TERRITORY SET **","No territory on Brand Family Territory (Enc)","")))</f>
        <v/>
      </c>
      <c r="P209" s="18" t="str">
        <f>IF($A209="","",IFERROR(INDEX([1]Products!$H$4:$H$4801,MATCH($A209,[1]Products!$G$4:$G$4801,0)),"(no products)"))</f>
        <v>Global Beer</v>
      </c>
      <c r="Q209" s="19">
        <f>IF($A209="","",COUNTIFS([1]Products!$G$4:$G$4801,$A209,[1]Products!$L$4:$L$4801,"Yes"))</f>
        <v>3</v>
      </c>
      <c r="R209" s="19">
        <f>IF($A209="","",COUNTIFS([1]Products!$G$4:$G$4801,$A209,[1]Products!$L$4:$L$4801,"Yes",[1]Products!$K$4:$K$4801,"Draft"))</f>
        <v>2</v>
      </c>
      <c r="S209" s="19">
        <f>IF($A209="","",COUNTIFS([1]Products!$G$4:$G$4801,$A209,[1]Products!$L$4:$L$4801,"Yes",[1]Products!$K$4:$K$4801,"Package"))</f>
        <v>1</v>
      </c>
      <c r="T209" s="20" t="str" cm="1">
        <f t="array" ref="T209">IF($A209="","",_xlfn.IFS($Q209=0,"NO ACTIVE SKUs",AND($R209&gt;0,$S209&gt;0),"Draft &amp; Package",$R209&gt;0,"Draft only",TRUE,"Package only"))</f>
        <v>Draft &amp; Package</v>
      </c>
    </row>
    <row r="210" spans="1:20" x14ac:dyDescent="0.2">
      <c r="A210" s="9" t="str">
        <v>Pilsner Urquell</v>
      </c>
      <c r="B210" s="10" t="str">
        <f>IF($A210="","",_xlfn.XLOOKUP($A210,'[1]Brand Family Territory (Enc)'!$A:$A,'[1]Brand Family Territory (Enc)'!$B:$B,"** NO TERRITORY SET **"))</f>
        <v>Core Market</v>
      </c>
      <c r="C210" s="11" t="str">
        <f>IF($A210="","",_xlfn.LET(_xlpm.t,MATCH($B210,'[1]Territory Definitions'!$B$5:$B$14,0),IF(ISNA(_xlpm.t),"NO TERRITORY",IF(INDEX('[1]Territory Definitions'!$D$5:$M$14,_xlpm.t,MATCH(C$4,'[1]Territory Definitions'!$D$4:$M$4,0))&lt;&gt;1,"NOT IN TERRITORY",IF(COUNTIFS('[1]Blackout Brand Fam Areas (Enc)'!$B$6:$B$998,$A210,'[1]Blackout Brand Fam Areas (Enc)'!$C$6:$C$998,C$4,'[1]Blackout Brand Fam Areas (Enc)'!$D$6:$D$998,"Inactive")&gt;0,"BLOCKED","CAN SELL")))))</f>
        <v>CAN SELL</v>
      </c>
      <c r="D210" s="11" t="str">
        <f>IF($A210="","",_xlfn.LET(_xlpm.t,MATCH($B210,'[1]Territory Definitions'!$B$5:$B$14,0),IF(ISNA(_xlpm.t),"NO TERRITORY",IF(INDEX('[1]Territory Definitions'!$D$5:$M$14,_xlpm.t,MATCH(D$4,'[1]Territory Definitions'!$D$4:$M$4,0))&lt;&gt;1,"NOT IN TERRITORY",IF(COUNTIFS('[1]Blackout Brand Fam Areas (Enc)'!$B$6:$B$998,$A210,'[1]Blackout Brand Fam Areas (Enc)'!$C$6:$C$998,D$4,'[1]Blackout Brand Fam Areas (Enc)'!$D$6:$D$998,"Inactive")&gt;0,"BLOCKED","CAN SELL")))))</f>
        <v>CAN SELL</v>
      </c>
      <c r="E210" s="11" t="str">
        <f>IF($A210="","",_xlfn.LET(_xlpm.t,MATCH($B210,'[1]Territory Definitions'!$B$5:$B$14,0),IF(ISNA(_xlpm.t),"NO TERRITORY",IF(INDEX('[1]Territory Definitions'!$D$5:$M$14,_xlpm.t,MATCH(E$4,'[1]Territory Definitions'!$D$4:$M$4,0))&lt;&gt;1,"NOT IN TERRITORY",IF(COUNTIFS('[1]Blackout Brand Fam Areas (Enc)'!$B$6:$B$998,$A210,'[1]Blackout Brand Fam Areas (Enc)'!$C$6:$C$998,E$4,'[1]Blackout Brand Fam Areas (Enc)'!$D$6:$D$998,"Inactive")&gt;0,"BLOCKED","CAN SELL")))))</f>
        <v>CAN SELL</v>
      </c>
      <c r="F210" s="11" t="str">
        <f>IF($A210="","",_xlfn.LET(_xlpm.t,MATCH($B210,'[1]Territory Definitions'!$B$5:$B$14,0),IF(ISNA(_xlpm.t),"NO TERRITORY",IF(INDEX('[1]Territory Definitions'!$D$5:$M$14,_xlpm.t,MATCH(F$4,'[1]Territory Definitions'!$D$4:$M$4,0))&lt;&gt;1,"NOT IN TERRITORY",IF(COUNTIFS('[1]Blackout Brand Fam Areas (Enc)'!$B$6:$B$998,$A210,'[1]Blackout Brand Fam Areas (Enc)'!$C$6:$C$998,F$4,'[1]Blackout Brand Fam Areas (Enc)'!$D$6:$D$998,"Inactive")&gt;0,"BLOCKED","CAN SELL")))))</f>
        <v>NOT IN TERRITORY</v>
      </c>
      <c r="G210" s="11" t="str">
        <f>IF($A210="","",_xlfn.LET(_xlpm.t,MATCH($B210,'[1]Territory Definitions'!$B$5:$B$14,0),IF(ISNA(_xlpm.t),"NO TERRITORY",IF(INDEX('[1]Territory Definitions'!$D$5:$M$14,_xlpm.t,MATCH(G$4,'[1]Territory Definitions'!$D$4:$M$4,0))&lt;&gt;1,"NOT IN TERRITORY",IF(COUNTIFS('[1]Blackout Brand Fam Areas (Enc)'!$B$6:$B$998,$A210,'[1]Blackout Brand Fam Areas (Enc)'!$C$6:$C$998,G$4,'[1]Blackout Brand Fam Areas (Enc)'!$D$6:$D$998,"Inactive")&gt;0,"BLOCKED","CAN SELL")))))</f>
        <v>NOT IN TERRITORY</v>
      </c>
      <c r="H210" s="11" t="str">
        <f>IF($A210="","",_xlfn.LET(_xlpm.t,MATCH($B210,'[1]Territory Definitions'!$B$5:$B$14,0),IF(ISNA(_xlpm.t),"NO TERRITORY",IF(INDEX('[1]Territory Definitions'!$D$5:$M$14,_xlpm.t,MATCH(H$4,'[1]Territory Definitions'!$D$4:$M$4,0))&lt;&gt;1,"NOT IN TERRITORY",IF(COUNTIFS('[1]Blackout Brand Fam Areas (Enc)'!$B$6:$B$998,$A210,'[1]Blackout Brand Fam Areas (Enc)'!$C$6:$C$998,H$4,'[1]Blackout Brand Fam Areas (Enc)'!$D$6:$D$998,"Inactive")&gt;0,"BLOCKED","CAN SELL")))))</f>
        <v>NOT IN TERRITORY</v>
      </c>
      <c r="I210" s="11" t="str">
        <f>IF($A210="","",_xlfn.LET(_xlpm.t,MATCH($B210,'[1]Territory Definitions'!$B$5:$B$14,0),IF(ISNA(_xlpm.t),"NO TERRITORY",IF(INDEX('[1]Territory Definitions'!$D$5:$M$14,_xlpm.t,MATCH(I$4,'[1]Territory Definitions'!$D$4:$M$4,0))&lt;&gt;1,"NOT IN TERRITORY",IF(COUNTIFS('[1]Blackout Brand Fam Areas (Enc)'!$B$6:$B$998,$A210,'[1]Blackout Brand Fam Areas (Enc)'!$C$6:$C$998,I$4,'[1]Blackout Brand Fam Areas (Enc)'!$D$6:$D$998,"Inactive")&gt;0,"BLOCKED","CAN SELL")))))</f>
        <v>CAN SELL</v>
      </c>
      <c r="J210" s="11" t="str">
        <f>IF($A210="","",_xlfn.LET(_xlpm.t,MATCH($B210,'[1]Territory Definitions'!$B$5:$B$14,0),IF(ISNA(_xlpm.t),"NO TERRITORY",IF(INDEX('[1]Territory Definitions'!$D$5:$M$14,_xlpm.t,MATCH(J$4,'[1]Territory Definitions'!$D$4:$M$4,0))&lt;&gt;1,"NOT IN TERRITORY",IF(COUNTIFS('[1]Blackout Brand Fam Areas (Enc)'!$B$6:$B$998,$A210,'[1]Blackout Brand Fam Areas (Enc)'!$C$6:$C$998,J$4,'[1]Blackout Brand Fam Areas (Enc)'!$D$6:$D$998,"Inactive")&gt;0,"BLOCKED","CAN SELL")))))</f>
        <v>CAN SELL</v>
      </c>
      <c r="K210" s="11" t="str">
        <f>IF($A210="","",_xlfn.LET(_xlpm.t,MATCH($B210,'[1]Territory Definitions'!$B$5:$B$14,0),IF(ISNA(_xlpm.t),"NO TERRITORY",IF(INDEX('[1]Territory Definitions'!$D$5:$M$14,_xlpm.t,MATCH(K$4,'[1]Territory Definitions'!$D$4:$M$4,0))&lt;&gt;1,"NOT IN TERRITORY",IF(COUNTIFS('[1]Blackout Brand Fam Areas (Enc)'!$B$6:$B$998,$A210,'[1]Blackout Brand Fam Areas (Enc)'!$C$6:$C$998,K$4,'[1]Blackout Brand Fam Areas (Enc)'!$D$6:$D$998,"Inactive")&gt;0,"BLOCKED","CAN SELL")))))</f>
        <v>NOT IN TERRITORY</v>
      </c>
      <c r="L210" s="11" t="str">
        <f>IF($A210="","",_xlfn.LET(_xlpm.t,MATCH($B210,'[1]Territory Definitions'!$B$5:$B$14,0),IF(ISNA(_xlpm.t),"NO TERRITORY",IF(INDEX('[1]Territory Definitions'!$D$5:$M$14,_xlpm.t,MATCH(L$4,'[1]Territory Definitions'!$D$4:$M$4,0))&lt;&gt;1,"NOT IN TERRITORY",IF(COUNTIFS('[1]Blackout Brand Fam Areas (Enc)'!$B$6:$B$998,$A210,'[1]Blackout Brand Fam Areas (Enc)'!$C$6:$C$998,L$4,'[1]Blackout Brand Fam Areas (Enc)'!$D$6:$D$998,"Inactive")&gt;0,"BLOCKED","CAN SELL")))))</f>
        <v>CAN SELL</v>
      </c>
      <c r="M210" s="12">
        <f>IF($A210="","",COUNTIF($C210:$L210,"CAN SELL"))</f>
        <v>6</v>
      </c>
      <c r="N210" s="13" cm="1">
        <f t="array" ref="N210">IF($A210="","",SUMPRODUCT(($C210:$L210="CAN SELL")*$C$3:$L$3))</f>
        <v>1596</v>
      </c>
      <c r="O210" s="14" t="str">
        <f>IF($A210="","",IF(COUNTIF($A$5:$A$299,$A210)&gt;1,"DUPLICATE - two different territories assigned",IF($B210="** NO TERRITORY SET **","No territory on Brand Family Territory (Enc)","")))</f>
        <v/>
      </c>
      <c r="P210" s="18" t="str">
        <f>IF($A210="","",IFERROR(INDEX([1]Products!$H$4:$H$4801,MATCH($A210,[1]Products!$G$4:$G$4801,0)),"(no products)"))</f>
        <v>MolsonCoors Beverage Company</v>
      </c>
      <c r="Q210" s="19">
        <f>IF($A210="","",COUNTIFS([1]Products!$G$4:$G$4801,$A210,[1]Products!$L$4:$L$4801,"Yes"))</f>
        <v>5</v>
      </c>
      <c r="R210" s="19">
        <f>IF($A210="","",COUNTIFS([1]Products!$G$4:$G$4801,$A210,[1]Products!$L$4:$L$4801,"Yes",[1]Products!$K$4:$K$4801,"Draft"))</f>
        <v>2</v>
      </c>
      <c r="S210" s="19">
        <f>IF($A210="","",COUNTIFS([1]Products!$G$4:$G$4801,$A210,[1]Products!$L$4:$L$4801,"Yes",[1]Products!$K$4:$K$4801,"Package"))</f>
        <v>3</v>
      </c>
      <c r="T210" s="20" t="str" cm="1">
        <f t="array" ref="T210">IF($A210="","",_xlfn.IFS($Q210=0,"NO ACTIVE SKUs",AND($R210&gt;0,$S210&gt;0),"Draft &amp; Package",$R210&gt;0,"Draft only",TRUE,"Package only"))</f>
        <v>Draft &amp; Package</v>
      </c>
    </row>
    <row r="211" spans="1:20" x14ac:dyDescent="0.2">
      <c r="A211" s="9" t="str">
        <v>Piraat</v>
      </c>
      <c r="B211" s="10" t="str">
        <f>IF($A211="","",_xlfn.XLOOKUP($A211,'[1]Brand Family Territory (Enc)'!$A:$A,'[1]Brand Family Territory (Enc)'!$B:$B,"** NO TERRITORY SET **"))</f>
        <v>All Counties</v>
      </c>
      <c r="C211" s="11" t="str">
        <f>IF($A211="","",_xlfn.LET(_xlpm.t,MATCH($B211,'[1]Territory Definitions'!$B$5:$B$14,0),IF(ISNA(_xlpm.t),"NO TERRITORY",IF(INDEX('[1]Territory Definitions'!$D$5:$M$14,_xlpm.t,MATCH(C$4,'[1]Territory Definitions'!$D$4:$M$4,0))&lt;&gt;1,"NOT IN TERRITORY",IF(COUNTIFS('[1]Blackout Brand Fam Areas (Enc)'!$B$6:$B$998,$A211,'[1]Blackout Brand Fam Areas (Enc)'!$C$6:$C$998,C$4,'[1]Blackout Brand Fam Areas (Enc)'!$D$6:$D$998,"Inactive")&gt;0,"BLOCKED","CAN SELL")))))</f>
        <v>CAN SELL</v>
      </c>
      <c r="D211" s="11" t="str">
        <f>IF($A211="","",_xlfn.LET(_xlpm.t,MATCH($B211,'[1]Territory Definitions'!$B$5:$B$14,0),IF(ISNA(_xlpm.t),"NO TERRITORY",IF(INDEX('[1]Territory Definitions'!$D$5:$M$14,_xlpm.t,MATCH(D$4,'[1]Territory Definitions'!$D$4:$M$4,0))&lt;&gt;1,"NOT IN TERRITORY",IF(COUNTIFS('[1]Blackout Brand Fam Areas (Enc)'!$B$6:$B$998,$A211,'[1]Blackout Brand Fam Areas (Enc)'!$C$6:$C$998,D$4,'[1]Blackout Brand Fam Areas (Enc)'!$D$6:$D$998,"Inactive")&gt;0,"BLOCKED","CAN SELL")))))</f>
        <v>CAN SELL</v>
      </c>
      <c r="E211" s="11" t="str">
        <f>IF($A211="","",_xlfn.LET(_xlpm.t,MATCH($B211,'[1]Territory Definitions'!$B$5:$B$14,0),IF(ISNA(_xlpm.t),"NO TERRITORY",IF(INDEX('[1]Territory Definitions'!$D$5:$M$14,_xlpm.t,MATCH(E$4,'[1]Territory Definitions'!$D$4:$M$4,0))&lt;&gt;1,"NOT IN TERRITORY",IF(COUNTIFS('[1]Blackout Brand Fam Areas (Enc)'!$B$6:$B$998,$A211,'[1]Blackout Brand Fam Areas (Enc)'!$C$6:$C$998,E$4,'[1]Blackout Brand Fam Areas (Enc)'!$D$6:$D$998,"Inactive")&gt;0,"BLOCKED","CAN SELL")))))</f>
        <v>CAN SELL</v>
      </c>
      <c r="F211" s="11" t="str">
        <f>IF($A211="","",_xlfn.LET(_xlpm.t,MATCH($B211,'[1]Territory Definitions'!$B$5:$B$14,0),IF(ISNA(_xlpm.t),"NO TERRITORY",IF(INDEX('[1]Territory Definitions'!$D$5:$M$14,_xlpm.t,MATCH(F$4,'[1]Territory Definitions'!$D$4:$M$4,0))&lt;&gt;1,"NOT IN TERRITORY",IF(COUNTIFS('[1]Blackout Brand Fam Areas (Enc)'!$B$6:$B$998,$A211,'[1]Blackout Brand Fam Areas (Enc)'!$C$6:$C$998,F$4,'[1]Blackout Brand Fam Areas (Enc)'!$D$6:$D$998,"Inactive")&gt;0,"BLOCKED","CAN SELL")))))</f>
        <v>CAN SELL</v>
      </c>
      <c r="G211" s="11" t="str">
        <f>IF($A211="","",_xlfn.LET(_xlpm.t,MATCH($B211,'[1]Territory Definitions'!$B$5:$B$14,0),IF(ISNA(_xlpm.t),"NO TERRITORY",IF(INDEX('[1]Territory Definitions'!$D$5:$M$14,_xlpm.t,MATCH(G$4,'[1]Territory Definitions'!$D$4:$M$4,0))&lt;&gt;1,"NOT IN TERRITORY",IF(COUNTIFS('[1]Blackout Brand Fam Areas (Enc)'!$B$6:$B$998,$A211,'[1]Blackout Brand Fam Areas (Enc)'!$C$6:$C$998,G$4,'[1]Blackout Brand Fam Areas (Enc)'!$D$6:$D$998,"Inactive")&gt;0,"BLOCKED","CAN SELL")))))</f>
        <v>CAN SELL</v>
      </c>
      <c r="H211" s="11" t="str">
        <f>IF($A211="","",_xlfn.LET(_xlpm.t,MATCH($B211,'[1]Territory Definitions'!$B$5:$B$14,0),IF(ISNA(_xlpm.t),"NO TERRITORY",IF(INDEX('[1]Territory Definitions'!$D$5:$M$14,_xlpm.t,MATCH(H$4,'[1]Territory Definitions'!$D$4:$M$4,0))&lt;&gt;1,"NOT IN TERRITORY",IF(COUNTIFS('[1]Blackout Brand Fam Areas (Enc)'!$B$6:$B$998,$A211,'[1]Blackout Brand Fam Areas (Enc)'!$C$6:$C$998,H$4,'[1]Blackout Brand Fam Areas (Enc)'!$D$6:$D$998,"Inactive")&gt;0,"BLOCKED","CAN SELL")))))</f>
        <v>CAN SELL</v>
      </c>
      <c r="I211" s="11" t="str">
        <f>IF($A211="","",_xlfn.LET(_xlpm.t,MATCH($B211,'[1]Territory Definitions'!$B$5:$B$14,0),IF(ISNA(_xlpm.t),"NO TERRITORY",IF(INDEX('[1]Territory Definitions'!$D$5:$M$14,_xlpm.t,MATCH(I$4,'[1]Territory Definitions'!$D$4:$M$4,0))&lt;&gt;1,"NOT IN TERRITORY",IF(COUNTIFS('[1]Blackout Brand Fam Areas (Enc)'!$B$6:$B$998,$A211,'[1]Blackout Brand Fam Areas (Enc)'!$C$6:$C$998,I$4,'[1]Blackout Brand Fam Areas (Enc)'!$D$6:$D$998,"Inactive")&gt;0,"BLOCKED","CAN SELL")))))</f>
        <v>CAN SELL</v>
      </c>
      <c r="J211" s="11" t="str">
        <f>IF($A211="","",_xlfn.LET(_xlpm.t,MATCH($B211,'[1]Territory Definitions'!$B$5:$B$14,0),IF(ISNA(_xlpm.t),"NO TERRITORY",IF(INDEX('[1]Territory Definitions'!$D$5:$M$14,_xlpm.t,MATCH(J$4,'[1]Territory Definitions'!$D$4:$M$4,0))&lt;&gt;1,"NOT IN TERRITORY",IF(COUNTIFS('[1]Blackout Brand Fam Areas (Enc)'!$B$6:$B$998,$A211,'[1]Blackout Brand Fam Areas (Enc)'!$C$6:$C$998,J$4,'[1]Blackout Brand Fam Areas (Enc)'!$D$6:$D$998,"Inactive")&gt;0,"BLOCKED","CAN SELL")))))</f>
        <v>CAN SELL</v>
      </c>
      <c r="K211" s="11" t="str">
        <f>IF($A211="","",_xlfn.LET(_xlpm.t,MATCH($B211,'[1]Territory Definitions'!$B$5:$B$14,0),IF(ISNA(_xlpm.t),"NO TERRITORY",IF(INDEX('[1]Territory Definitions'!$D$5:$M$14,_xlpm.t,MATCH(K$4,'[1]Territory Definitions'!$D$4:$M$4,0))&lt;&gt;1,"NOT IN TERRITORY",IF(COUNTIFS('[1]Blackout Brand Fam Areas (Enc)'!$B$6:$B$998,$A211,'[1]Blackout Brand Fam Areas (Enc)'!$C$6:$C$998,K$4,'[1]Blackout Brand Fam Areas (Enc)'!$D$6:$D$998,"Inactive")&gt;0,"BLOCKED","CAN SELL")))))</f>
        <v>CAN SELL</v>
      </c>
      <c r="L211" s="11" t="str">
        <f>IF($A211="","",_xlfn.LET(_xlpm.t,MATCH($B211,'[1]Territory Definitions'!$B$5:$B$14,0),IF(ISNA(_xlpm.t),"NO TERRITORY",IF(INDEX('[1]Territory Definitions'!$D$5:$M$14,_xlpm.t,MATCH(L$4,'[1]Territory Definitions'!$D$4:$M$4,0))&lt;&gt;1,"NOT IN TERRITORY",IF(COUNTIFS('[1]Blackout Brand Fam Areas (Enc)'!$B$6:$B$998,$A211,'[1]Blackout Brand Fam Areas (Enc)'!$C$6:$C$998,L$4,'[1]Blackout Brand Fam Areas (Enc)'!$D$6:$D$998,"Inactive")&gt;0,"BLOCKED","CAN SELL")))))</f>
        <v>CAN SELL</v>
      </c>
      <c r="M211" s="12">
        <f>IF($A211="","",COUNTIF($C211:$L211,"CAN SELL"))</f>
        <v>10</v>
      </c>
      <c r="N211" s="13" cm="1">
        <f t="array" ref="N211">IF($A211="","",SUMPRODUCT(($C211:$L211="CAN SELL")*$C$3:$L$3))</f>
        <v>2306</v>
      </c>
      <c r="O211" s="14" t="str">
        <f>IF($A211="","",IF(COUNTIF($A$5:$A$299,$A211)&gt;1,"DUPLICATE - two different territories assigned",IF($B211="** NO TERRITORY SET **","No territory on Brand Family Territory (Enc)","")))</f>
        <v/>
      </c>
      <c r="P211" s="18" t="str">
        <f>IF($A211="","",IFERROR(INDEX([1]Products!$H$4:$H$4801,MATCH($A211,[1]Products!$G$4:$G$4801,0)),"(no products)"))</f>
        <v>Global Beer</v>
      </c>
      <c r="Q211" s="19">
        <f>IF($A211="","",COUNTIFS([1]Products!$G$4:$G$4801,$A211,[1]Products!$L$4:$L$4801,"Yes"))</f>
        <v>4</v>
      </c>
      <c r="R211" s="19">
        <f>IF($A211="","",COUNTIFS([1]Products!$G$4:$G$4801,$A211,[1]Products!$L$4:$L$4801,"Yes",[1]Products!$K$4:$K$4801,"Draft"))</f>
        <v>1</v>
      </c>
      <c r="S211" s="19">
        <f>IF($A211="","",COUNTIFS([1]Products!$G$4:$G$4801,$A211,[1]Products!$L$4:$L$4801,"Yes",[1]Products!$K$4:$K$4801,"Package"))</f>
        <v>3</v>
      </c>
      <c r="T211" s="20" t="str" cm="1">
        <f t="array" ref="T211">IF($A211="","",_xlfn.IFS($Q211=0,"NO ACTIVE SKUs",AND($R211&gt;0,$S211&gt;0),"Draft &amp; Package",$R211&gt;0,"Draft only",TRUE,"Package only"))</f>
        <v>Draft &amp; Package</v>
      </c>
    </row>
    <row r="212" spans="1:20" x14ac:dyDescent="0.2">
      <c r="A212" s="9" t="str">
        <v>Poca Loca</v>
      </c>
      <c r="B212" s="10" t="str">
        <f>IF($A212="","",_xlfn.XLOOKUP($A212,'[1]Brand Family Territory (Enc)'!$A:$A,'[1]Brand Family Territory (Enc)'!$B:$B,"** NO TERRITORY SET **"))</f>
        <v>All Counties</v>
      </c>
      <c r="C212" s="11" t="str">
        <f>IF($A212="","",_xlfn.LET(_xlpm.t,MATCH($B212,'[1]Territory Definitions'!$B$5:$B$14,0),IF(ISNA(_xlpm.t),"NO TERRITORY",IF(INDEX('[1]Territory Definitions'!$D$5:$M$14,_xlpm.t,MATCH(C$4,'[1]Territory Definitions'!$D$4:$M$4,0))&lt;&gt;1,"NOT IN TERRITORY",IF(COUNTIFS('[1]Blackout Brand Fam Areas (Enc)'!$B$6:$B$998,$A212,'[1]Blackout Brand Fam Areas (Enc)'!$C$6:$C$998,C$4,'[1]Blackout Brand Fam Areas (Enc)'!$D$6:$D$998,"Inactive")&gt;0,"BLOCKED","CAN SELL")))))</f>
        <v>CAN SELL</v>
      </c>
      <c r="D212" s="11" t="str">
        <f>IF($A212="","",_xlfn.LET(_xlpm.t,MATCH($B212,'[1]Territory Definitions'!$B$5:$B$14,0),IF(ISNA(_xlpm.t),"NO TERRITORY",IF(INDEX('[1]Territory Definitions'!$D$5:$M$14,_xlpm.t,MATCH(D$4,'[1]Territory Definitions'!$D$4:$M$4,0))&lt;&gt;1,"NOT IN TERRITORY",IF(COUNTIFS('[1]Blackout Brand Fam Areas (Enc)'!$B$6:$B$998,$A212,'[1]Blackout Brand Fam Areas (Enc)'!$C$6:$C$998,D$4,'[1]Blackout Brand Fam Areas (Enc)'!$D$6:$D$998,"Inactive")&gt;0,"BLOCKED","CAN SELL")))))</f>
        <v>CAN SELL</v>
      </c>
      <c r="E212" s="11" t="str">
        <f>IF($A212="","",_xlfn.LET(_xlpm.t,MATCH($B212,'[1]Territory Definitions'!$B$5:$B$14,0),IF(ISNA(_xlpm.t),"NO TERRITORY",IF(INDEX('[1]Territory Definitions'!$D$5:$M$14,_xlpm.t,MATCH(E$4,'[1]Territory Definitions'!$D$4:$M$4,0))&lt;&gt;1,"NOT IN TERRITORY",IF(COUNTIFS('[1]Blackout Brand Fam Areas (Enc)'!$B$6:$B$998,$A212,'[1]Blackout Brand Fam Areas (Enc)'!$C$6:$C$998,E$4,'[1]Blackout Brand Fam Areas (Enc)'!$D$6:$D$998,"Inactive")&gt;0,"BLOCKED","CAN SELL")))))</f>
        <v>CAN SELL</v>
      </c>
      <c r="F212" s="11" t="str">
        <f>IF($A212="","",_xlfn.LET(_xlpm.t,MATCH($B212,'[1]Territory Definitions'!$B$5:$B$14,0),IF(ISNA(_xlpm.t),"NO TERRITORY",IF(INDEX('[1]Territory Definitions'!$D$5:$M$14,_xlpm.t,MATCH(F$4,'[1]Territory Definitions'!$D$4:$M$4,0))&lt;&gt;1,"NOT IN TERRITORY",IF(COUNTIFS('[1]Blackout Brand Fam Areas (Enc)'!$B$6:$B$998,$A212,'[1]Blackout Brand Fam Areas (Enc)'!$C$6:$C$998,F$4,'[1]Blackout Brand Fam Areas (Enc)'!$D$6:$D$998,"Inactive")&gt;0,"BLOCKED","CAN SELL")))))</f>
        <v>CAN SELL</v>
      </c>
      <c r="G212" s="11" t="str">
        <f>IF($A212="","",_xlfn.LET(_xlpm.t,MATCH($B212,'[1]Territory Definitions'!$B$5:$B$14,0),IF(ISNA(_xlpm.t),"NO TERRITORY",IF(INDEX('[1]Territory Definitions'!$D$5:$M$14,_xlpm.t,MATCH(G$4,'[1]Territory Definitions'!$D$4:$M$4,0))&lt;&gt;1,"NOT IN TERRITORY",IF(COUNTIFS('[1]Blackout Brand Fam Areas (Enc)'!$B$6:$B$998,$A212,'[1]Blackout Brand Fam Areas (Enc)'!$C$6:$C$998,G$4,'[1]Blackout Brand Fam Areas (Enc)'!$D$6:$D$998,"Inactive")&gt;0,"BLOCKED","CAN SELL")))))</f>
        <v>CAN SELL</v>
      </c>
      <c r="H212" s="11" t="str">
        <f>IF($A212="","",_xlfn.LET(_xlpm.t,MATCH($B212,'[1]Territory Definitions'!$B$5:$B$14,0),IF(ISNA(_xlpm.t),"NO TERRITORY",IF(INDEX('[1]Territory Definitions'!$D$5:$M$14,_xlpm.t,MATCH(H$4,'[1]Territory Definitions'!$D$4:$M$4,0))&lt;&gt;1,"NOT IN TERRITORY",IF(COUNTIFS('[1]Blackout Brand Fam Areas (Enc)'!$B$6:$B$998,$A212,'[1]Blackout Brand Fam Areas (Enc)'!$C$6:$C$998,H$4,'[1]Blackout Brand Fam Areas (Enc)'!$D$6:$D$998,"Inactive")&gt;0,"BLOCKED","CAN SELL")))))</f>
        <v>CAN SELL</v>
      </c>
      <c r="I212" s="11" t="str">
        <f>IF($A212="","",_xlfn.LET(_xlpm.t,MATCH($B212,'[1]Territory Definitions'!$B$5:$B$14,0),IF(ISNA(_xlpm.t),"NO TERRITORY",IF(INDEX('[1]Territory Definitions'!$D$5:$M$14,_xlpm.t,MATCH(I$4,'[1]Territory Definitions'!$D$4:$M$4,0))&lt;&gt;1,"NOT IN TERRITORY",IF(COUNTIFS('[1]Blackout Brand Fam Areas (Enc)'!$B$6:$B$998,$A212,'[1]Blackout Brand Fam Areas (Enc)'!$C$6:$C$998,I$4,'[1]Blackout Brand Fam Areas (Enc)'!$D$6:$D$998,"Inactive")&gt;0,"BLOCKED","CAN SELL")))))</f>
        <v>CAN SELL</v>
      </c>
      <c r="J212" s="11" t="str">
        <f>IF($A212="","",_xlfn.LET(_xlpm.t,MATCH($B212,'[1]Territory Definitions'!$B$5:$B$14,0),IF(ISNA(_xlpm.t),"NO TERRITORY",IF(INDEX('[1]Territory Definitions'!$D$5:$M$14,_xlpm.t,MATCH(J$4,'[1]Territory Definitions'!$D$4:$M$4,0))&lt;&gt;1,"NOT IN TERRITORY",IF(COUNTIFS('[1]Blackout Brand Fam Areas (Enc)'!$B$6:$B$998,$A212,'[1]Blackout Brand Fam Areas (Enc)'!$C$6:$C$998,J$4,'[1]Blackout Brand Fam Areas (Enc)'!$D$6:$D$998,"Inactive")&gt;0,"BLOCKED","CAN SELL")))))</f>
        <v>CAN SELL</v>
      </c>
      <c r="K212" s="11" t="str">
        <f>IF($A212="","",_xlfn.LET(_xlpm.t,MATCH($B212,'[1]Territory Definitions'!$B$5:$B$14,0),IF(ISNA(_xlpm.t),"NO TERRITORY",IF(INDEX('[1]Territory Definitions'!$D$5:$M$14,_xlpm.t,MATCH(K$4,'[1]Territory Definitions'!$D$4:$M$4,0))&lt;&gt;1,"NOT IN TERRITORY",IF(COUNTIFS('[1]Blackout Brand Fam Areas (Enc)'!$B$6:$B$998,$A212,'[1]Blackout Brand Fam Areas (Enc)'!$C$6:$C$998,K$4,'[1]Blackout Brand Fam Areas (Enc)'!$D$6:$D$998,"Inactive")&gt;0,"BLOCKED","CAN SELL")))))</f>
        <v>CAN SELL</v>
      </c>
      <c r="L212" s="11" t="str">
        <f>IF($A212="","",_xlfn.LET(_xlpm.t,MATCH($B212,'[1]Territory Definitions'!$B$5:$B$14,0),IF(ISNA(_xlpm.t),"NO TERRITORY",IF(INDEX('[1]Territory Definitions'!$D$5:$M$14,_xlpm.t,MATCH(L$4,'[1]Territory Definitions'!$D$4:$M$4,0))&lt;&gt;1,"NOT IN TERRITORY",IF(COUNTIFS('[1]Blackout Brand Fam Areas (Enc)'!$B$6:$B$998,$A212,'[1]Blackout Brand Fam Areas (Enc)'!$C$6:$C$998,L$4,'[1]Blackout Brand Fam Areas (Enc)'!$D$6:$D$998,"Inactive")&gt;0,"BLOCKED","CAN SELL")))))</f>
        <v>CAN SELL</v>
      </c>
      <c r="M212" s="12">
        <f>IF($A212="","",COUNTIF($C212:$L212,"CAN SELL"))</f>
        <v>10</v>
      </c>
      <c r="N212" s="13" cm="1">
        <f t="array" ref="N212">IF($A212="","",SUMPRODUCT(($C212:$L212="CAN SELL")*$C$3:$L$3))</f>
        <v>2306</v>
      </c>
      <c r="O212" s="14" t="str">
        <f>IF($A212="","",IF(COUNTIF($A$5:$A$299,$A212)&gt;1,"DUPLICATE - two different territories assigned",IF($B212="** NO TERRITORY SET **","No territory on Brand Family Territory (Enc)","")))</f>
        <v/>
      </c>
      <c r="P212" s="18" t="str">
        <f>IF($A212="","",IFERROR(INDEX([1]Products!$H$4:$H$4801,MATCH($A212,[1]Products!$G$4:$G$4801,0)),"(no products)"))</f>
        <v>Caravella Inc</v>
      </c>
      <c r="Q212" s="19">
        <f>IF($A212="","",COUNTIFS([1]Products!$G$4:$G$4801,$A212,[1]Products!$L$4:$L$4801,"Yes"))</f>
        <v>1</v>
      </c>
      <c r="R212" s="19">
        <f>IF($A212="","",COUNTIFS([1]Products!$G$4:$G$4801,$A212,[1]Products!$L$4:$L$4801,"Yes",[1]Products!$K$4:$K$4801,"Draft"))</f>
        <v>0</v>
      </c>
      <c r="S212" s="19">
        <f>IF($A212="","",COUNTIFS([1]Products!$G$4:$G$4801,$A212,[1]Products!$L$4:$L$4801,"Yes",[1]Products!$K$4:$K$4801,"Package"))</f>
        <v>0</v>
      </c>
      <c r="T212" s="20" t="str" cm="1">
        <f t="array" ref="T212">IF($A212="","",_xlfn.IFS($Q212=0,"NO ACTIVE SKUs",AND($R212&gt;0,$S212&gt;0),"Draft &amp; Package",$R212&gt;0,"Draft only",TRUE,"Package only"))</f>
        <v>Package only</v>
      </c>
    </row>
    <row r="213" spans="1:20" x14ac:dyDescent="0.2">
      <c r="A213" s="9" t="str">
        <v>Poggio Torselli</v>
      </c>
      <c r="B213" s="10" t="str">
        <f>IF($A213="","",_xlfn.XLOOKUP($A213,'[1]Brand Family Territory (Enc)'!$A:$A,'[1]Brand Family Territory (Enc)'!$B:$B,"** NO TERRITORY SET **"))</f>
        <v>Core Market</v>
      </c>
      <c r="C213" s="11" t="str">
        <f>IF($A213="","",_xlfn.LET(_xlpm.t,MATCH($B213,'[1]Territory Definitions'!$B$5:$B$14,0),IF(ISNA(_xlpm.t),"NO TERRITORY",IF(INDEX('[1]Territory Definitions'!$D$5:$M$14,_xlpm.t,MATCH(C$4,'[1]Territory Definitions'!$D$4:$M$4,0))&lt;&gt;1,"NOT IN TERRITORY",IF(COUNTIFS('[1]Blackout Brand Fam Areas (Enc)'!$B$6:$B$998,$A213,'[1]Blackout Brand Fam Areas (Enc)'!$C$6:$C$998,C$4,'[1]Blackout Brand Fam Areas (Enc)'!$D$6:$D$998,"Inactive")&gt;0,"BLOCKED","CAN SELL")))))</f>
        <v>CAN SELL</v>
      </c>
      <c r="D213" s="11" t="str">
        <f>IF($A213="","",_xlfn.LET(_xlpm.t,MATCH($B213,'[1]Territory Definitions'!$B$5:$B$14,0),IF(ISNA(_xlpm.t),"NO TERRITORY",IF(INDEX('[1]Territory Definitions'!$D$5:$M$14,_xlpm.t,MATCH(D$4,'[1]Territory Definitions'!$D$4:$M$4,0))&lt;&gt;1,"NOT IN TERRITORY",IF(COUNTIFS('[1]Blackout Brand Fam Areas (Enc)'!$B$6:$B$998,$A213,'[1]Blackout Brand Fam Areas (Enc)'!$C$6:$C$998,D$4,'[1]Blackout Brand Fam Areas (Enc)'!$D$6:$D$998,"Inactive")&gt;0,"BLOCKED","CAN SELL")))))</f>
        <v>CAN SELL</v>
      </c>
      <c r="E213" s="11" t="str">
        <f>IF($A213="","",_xlfn.LET(_xlpm.t,MATCH($B213,'[1]Territory Definitions'!$B$5:$B$14,0),IF(ISNA(_xlpm.t),"NO TERRITORY",IF(INDEX('[1]Territory Definitions'!$D$5:$M$14,_xlpm.t,MATCH(E$4,'[1]Territory Definitions'!$D$4:$M$4,0))&lt;&gt;1,"NOT IN TERRITORY",IF(COUNTIFS('[1]Blackout Brand Fam Areas (Enc)'!$B$6:$B$998,$A213,'[1]Blackout Brand Fam Areas (Enc)'!$C$6:$C$998,E$4,'[1]Blackout Brand Fam Areas (Enc)'!$D$6:$D$998,"Inactive")&gt;0,"BLOCKED","CAN SELL")))))</f>
        <v>CAN SELL</v>
      </c>
      <c r="F213" s="11" t="str">
        <f>IF($A213="","",_xlfn.LET(_xlpm.t,MATCH($B213,'[1]Territory Definitions'!$B$5:$B$14,0),IF(ISNA(_xlpm.t),"NO TERRITORY",IF(INDEX('[1]Territory Definitions'!$D$5:$M$14,_xlpm.t,MATCH(F$4,'[1]Territory Definitions'!$D$4:$M$4,0))&lt;&gt;1,"NOT IN TERRITORY",IF(COUNTIFS('[1]Blackout Brand Fam Areas (Enc)'!$B$6:$B$998,$A213,'[1]Blackout Brand Fam Areas (Enc)'!$C$6:$C$998,F$4,'[1]Blackout Brand Fam Areas (Enc)'!$D$6:$D$998,"Inactive")&gt;0,"BLOCKED","CAN SELL")))))</f>
        <v>NOT IN TERRITORY</v>
      </c>
      <c r="G213" s="11" t="str">
        <f>IF($A213="","",_xlfn.LET(_xlpm.t,MATCH($B213,'[1]Territory Definitions'!$B$5:$B$14,0),IF(ISNA(_xlpm.t),"NO TERRITORY",IF(INDEX('[1]Territory Definitions'!$D$5:$M$14,_xlpm.t,MATCH(G$4,'[1]Territory Definitions'!$D$4:$M$4,0))&lt;&gt;1,"NOT IN TERRITORY",IF(COUNTIFS('[1]Blackout Brand Fam Areas (Enc)'!$B$6:$B$998,$A213,'[1]Blackout Brand Fam Areas (Enc)'!$C$6:$C$998,G$4,'[1]Blackout Brand Fam Areas (Enc)'!$D$6:$D$998,"Inactive")&gt;0,"BLOCKED","CAN SELL")))))</f>
        <v>NOT IN TERRITORY</v>
      </c>
      <c r="H213" s="11" t="str">
        <f>IF($A213="","",_xlfn.LET(_xlpm.t,MATCH($B213,'[1]Territory Definitions'!$B$5:$B$14,0),IF(ISNA(_xlpm.t),"NO TERRITORY",IF(INDEX('[1]Territory Definitions'!$D$5:$M$14,_xlpm.t,MATCH(H$4,'[1]Territory Definitions'!$D$4:$M$4,0))&lt;&gt;1,"NOT IN TERRITORY",IF(COUNTIFS('[1]Blackout Brand Fam Areas (Enc)'!$B$6:$B$998,$A213,'[1]Blackout Brand Fam Areas (Enc)'!$C$6:$C$998,H$4,'[1]Blackout Brand Fam Areas (Enc)'!$D$6:$D$998,"Inactive")&gt;0,"BLOCKED","CAN SELL")))))</f>
        <v>NOT IN TERRITORY</v>
      </c>
      <c r="I213" s="11" t="str">
        <f>IF($A213="","",_xlfn.LET(_xlpm.t,MATCH($B213,'[1]Territory Definitions'!$B$5:$B$14,0),IF(ISNA(_xlpm.t),"NO TERRITORY",IF(INDEX('[1]Territory Definitions'!$D$5:$M$14,_xlpm.t,MATCH(I$4,'[1]Territory Definitions'!$D$4:$M$4,0))&lt;&gt;1,"NOT IN TERRITORY",IF(COUNTIFS('[1]Blackout Brand Fam Areas (Enc)'!$B$6:$B$998,$A213,'[1]Blackout Brand Fam Areas (Enc)'!$C$6:$C$998,I$4,'[1]Blackout Brand Fam Areas (Enc)'!$D$6:$D$998,"Inactive")&gt;0,"BLOCKED","CAN SELL")))))</f>
        <v>CAN SELL</v>
      </c>
      <c r="J213" s="11" t="str">
        <f>IF($A213="","",_xlfn.LET(_xlpm.t,MATCH($B213,'[1]Territory Definitions'!$B$5:$B$14,0),IF(ISNA(_xlpm.t),"NO TERRITORY",IF(INDEX('[1]Territory Definitions'!$D$5:$M$14,_xlpm.t,MATCH(J$4,'[1]Territory Definitions'!$D$4:$M$4,0))&lt;&gt;1,"NOT IN TERRITORY",IF(COUNTIFS('[1]Blackout Brand Fam Areas (Enc)'!$B$6:$B$998,$A213,'[1]Blackout Brand Fam Areas (Enc)'!$C$6:$C$998,J$4,'[1]Blackout Brand Fam Areas (Enc)'!$D$6:$D$998,"Inactive")&gt;0,"BLOCKED","CAN SELL")))))</f>
        <v>CAN SELL</v>
      </c>
      <c r="K213" s="11" t="str">
        <f>IF($A213="","",_xlfn.LET(_xlpm.t,MATCH($B213,'[1]Territory Definitions'!$B$5:$B$14,0),IF(ISNA(_xlpm.t),"NO TERRITORY",IF(INDEX('[1]Territory Definitions'!$D$5:$M$14,_xlpm.t,MATCH(K$4,'[1]Territory Definitions'!$D$4:$M$4,0))&lt;&gt;1,"NOT IN TERRITORY",IF(COUNTIFS('[1]Blackout Brand Fam Areas (Enc)'!$B$6:$B$998,$A213,'[1]Blackout Brand Fam Areas (Enc)'!$C$6:$C$998,K$4,'[1]Blackout Brand Fam Areas (Enc)'!$D$6:$D$998,"Inactive")&gt;0,"BLOCKED","CAN SELL")))))</f>
        <v>NOT IN TERRITORY</v>
      </c>
      <c r="L213" s="11" t="str">
        <f>IF($A213="","",_xlfn.LET(_xlpm.t,MATCH($B213,'[1]Territory Definitions'!$B$5:$B$14,0),IF(ISNA(_xlpm.t),"NO TERRITORY",IF(INDEX('[1]Territory Definitions'!$D$5:$M$14,_xlpm.t,MATCH(L$4,'[1]Territory Definitions'!$D$4:$M$4,0))&lt;&gt;1,"NOT IN TERRITORY",IF(COUNTIFS('[1]Blackout Brand Fam Areas (Enc)'!$B$6:$B$998,$A213,'[1]Blackout Brand Fam Areas (Enc)'!$C$6:$C$998,L$4,'[1]Blackout Brand Fam Areas (Enc)'!$D$6:$D$998,"Inactive")&gt;0,"BLOCKED","CAN SELL")))))</f>
        <v>CAN SELL</v>
      </c>
      <c r="M213" s="12">
        <f>IF($A213="","",COUNTIF($C213:$L213,"CAN SELL"))</f>
        <v>6</v>
      </c>
      <c r="N213" s="13" cm="1">
        <f t="array" ref="N213">IF($A213="","",SUMPRODUCT(($C213:$L213="CAN SELL")*$C$3:$L$3))</f>
        <v>1596</v>
      </c>
      <c r="O213" s="14" t="str">
        <f>IF($A213="","",IF(COUNTIF($A$5:$A$299,$A213)&gt;1,"DUPLICATE - two different territories assigned",IF($B213="** NO TERRITORY SET **","No territory on Brand Family Territory (Enc)","")))</f>
        <v/>
      </c>
      <c r="P213" s="18" t="str">
        <f>IF($A213="","",IFERROR(INDEX([1]Products!$H$4:$H$4801,MATCH($A213,[1]Products!$G$4:$G$4801,0)),"(no products)"))</f>
        <v>Surface Brands</v>
      </c>
      <c r="Q213" s="19">
        <f>IF($A213="","",COUNTIFS([1]Products!$G$4:$G$4801,$A213,[1]Products!$L$4:$L$4801,"Yes"))</f>
        <v>3</v>
      </c>
      <c r="R213" s="19">
        <f>IF($A213="","",COUNTIFS([1]Products!$G$4:$G$4801,$A213,[1]Products!$L$4:$L$4801,"Yes",[1]Products!$K$4:$K$4801,"Draft"))</f>
        <v>0</v>
      </c>
      <c r="S213" s="19">
        <f>IF($A213="","",COUNTIFS([1]Products!$G$4:$G$4801,$A213,[1]Products!$L$4:$L$4801,"Yes",[1]Products!$K$4:$K$4801,"Package"))</f>
        <v>0</v>
      </c>
      <c r="T213" s="20" t="str" cm="1">
        <f t="array" ref="T213">IF($A213="","",_xlfn.IFS($Q213=0,"NO ACTIVE SKUs",AND($R213&gt;0,$S213&gt;0),"Draft &amp; Package",$R213&gt;0,"Draft only",TRUE,"Package only"))</f>
        <v>Package only</v>
      </c>
    </row>
    <row r="214" spans="1:20" x14ac:dyDescent="0.2">
      <c r="A214" s="9" t="str">
        <v>Poker Import</v>
      </c>
      <c r="B214" s="10" t="str">
        <f>IF($A214="","",_xlfn.XLOOKUP($A214,'[1]Brand Family Territory (Enc)'!$A:$A,'[1]Brand Family Territory (Enc)'!$B:$B,"** NO TERRITORY SET **"))</f>
        <v>All Counties</v>
      </c>
      <c r="C214" s="11" t="str">
        <f>IF($A214="","",_xlfn.LET(_xlpm.t,MATCH($B214,'[1]Territory Definitions'!$B$5:$B$14,0),IF(ISNA(_xlpm.t),"NO TERRITORY",IF(INDEX('[1]Territory Definitions'!$D$5:$M$14,_xlpm.t,MATCH(C$4,'[1]Territory Definitions'!$D$4:$M$4,0))&lt;&gt;1,"NOT IN TERRITORY",IF(COUNTIFS('[1]Blackout Brand Fam Areas (Enc)'!$B$6:$B$998,$A214,'[1]Blackout Brand Fam Areas (Enc)'!$C$6:$C$998,C$4,'[1]Blackout Brand Fam Areas (Enc)'!$D$6:$D$998,"Inactive")&gt;0,"BLOCKED","CAN SELL")))))</f>
        <v>CAN SELL</v>
      </c>
      <c r="D214" s="11" t="str">
        <f>IF($A214="","",_xlfn.LET(_xlpm.t,MATCH($B214,'[1]Territory Definitions'!$B$5:$B$14,0),IF(ISNA(_xlpm.t),"NO TERRITORY",IF(INDEX('[1]Territory Definitions'!$D$5:$M$14,_xlpm.t,MATCH(D$4,'[1]Territory Definitions'!$D$4:$M$4,0))&lt;&gt;1,"NOT IN TERRITORY",IF(COUNTIFS('[1]Blackout Brand Fam Areas (Enc)'!$B$6:$B$998,$A214,'[1]Blackout Brand Fam Areas (Enc)'!$C$6:$C$998,D$4,'[1]Blackout Brand Fam Areas (Enc)'!$D$6:$D$998,"Inactive")&gt;0,"BLOCKED","CAN SELL")))))</f>
        <v>CAN SELL</v>
      </c>
      <c r="E214" s="11" t="str">
        <f>IF($A214="","",_xlfn.LET(_xlpm.t,MATCH($B214,'[1]Territory Definitions'!$B$5:$B$14,0),IF(ISNA(_xlpm.t),"NO TERRITORY",IF(INDEX('[1]Territory Definitions'!$D$5:$M$14,_xlpm.t,MATCH(E$4,'[1]Territory Definitions'!$D$4:$M$4,0))&lt;&gt;1,"NOT IN TERRITORY",IF(COUNTIFS('[1]Blackout Brand Fam Areas (Enc)'!$B$6:$B$998,$A214,'[1]Blackout Brand Fam Areas (Enc)'!$C$6:$C$998,E$4,'[1]Blackout Brand Fam Areas (Enc)'!$D$6:$D$998,"Inactive")&gt;0,"BLOCKED","CAN SELL")))))</f>
        <v>CAN SELL</v>
      </c>
      <c r="F214" s="11" t="str">
        <f>IF($A214="","",_xlfn.LET(_xlpm.t,MATCH($B214,'[1]Territory Definitions'!$B$5:$B$14,0),IF(ISNA(_xlpm.t),"NO TERRITORY",IF(INDEX('[1]Territory Definitions'!$D$5:$M$14,_xlpm.t,MATCH(F$4,'[1]Territory Definitions'!$D$4:$M$4,0))&lt;&gt;1,"NOT IN TERRITORY",IF(COUNTIFS('[1]Blackout Brand Fam Areas (Enc)'!$B$6:$B$998,$A214,'[1]Blackout Brand Fam Areas (Enc)'!$C$6:$C$998,F$4,'[1]Blackout Brand Fam Areas (Enc)'!$D$6:$D$998,"Inactive")&gt;0,"BLOCKED","CAN SELL")))))</f>
        <v>CAN SELL</v>
      </c>
      <c r="G214" s="11" t="str">
        <f>IF($A214="","",_xlfn.LET(_xlpm.t,MATCH($B214,'[1]Territory Definitions'!$B$5:$B$14,0),IF(ISNA(_xlpm.t),"NO TERRITORY",IF(INDEX('[1]Territory Definitions'!$D$5:$M$14,_xlpm.t,MATCH(G$4,'[1]Territory Definitions'!$D$4:$M$4,0))&lt;&gt;1,"NOT IN TERRITORY",IF(COUNTIFS('[1]Blackout Brand Fam Areas (Enc)'!$B$6:$B$998,$A214,'[1]Blackout Brand Fam Areas (Enc)'!$C$6:$C$998,G$4,'[1]Blackout Brand Fam Areas (Enc)'!$D$6:$D$998,"Inactive")&gt;0,"BLOCKED","CAN SELL")))))</f>
        <v>CAN SELL</v>
      </c>
      <c r="H214" s="11" t="str">
        <f>IF($A214="","",_xlfn.LET(_xlpm.t,MATCH($B214,'[1]Territory Definitions'!$B$5:$B$14,0),IF(ISNA(_xlpm.t),"NO TERRITORY",IF(INDEX('[1]Territory Definitions'!$D$5:$M$14,_xlpm.t,MATCH(H$4,'[1]Territory Definitions'!$D$4:$M$4,0))&lt;&gt;1,"NOT IN TERRITORY",IF(COUNTIFS('[1]Blackout Brand Fam Areas (Enc)'!$B$6:$B$998,$A214,'[1]Blackout Brand Fam Areas (Enc)'!$C$6:$C$998,H$4,'[1]Blackout Brand Fam Areas (Enc)'!$D$6:$D$998,"Inactive")&gt;0,"BLOCKED","CAN SELL")))))</f>
        <v>CAN SELL</v>
      </c>
      <c r="I214" s="11" t="str">
        <f>IF($A214="","",_xlfn.LET(_xlpm.t,MATCH($B214,'[1]Territory Definitions'!$B$5:$B$14,0),IF(ISNA(_xlpm.t),"NO TERRITORY",IF(INDEX('[1]Territory Definitions'!$D$5:$M$14,_xlpm.t,MATCH(I$4,'[1]Territory Definitions'!$D$4:$M$4,0))&lt;&gt;1,"NOT IN TERRITORY",IF(COUNTIFS('[1]Blackout Brand Fam Areas (Enc)'!$B$6:$B$998,$A214,'[1]Blackout Brand Fam Areas (Enc)'!$C$6:$C$998,I$4,'[1]Blackout Brand Fam Areas (Enc)'!$D$6:$D$998,"Inactive")&gt;0,"BLOCKED","CAN SELL")))))</f>
        <v>CAN SELL</v>
      </c>
      <c r="J214" s="11" t="str">
        <f>IF($A214="","",_xlfn.LET(_xlpm.t,MATCH($B214,'[1]Territory Definitions'!$B$5:$B$14,0),IF(ISNA(_xlpm.t),"NO TERRITORY",IF(INDEX('[1]Territory Definitions'!$D$5:$M$14,_xlpm.t,MATCH(J$4,'[1]Territory Definitions'!$D$4:$M$4,0))&lt;&gt;1,"NOT IN TERRITORY",IF(COUNTIFS('[1]Blackout Brand Fam Areas (Enc)'!$B$6:$B$998,$A214,'[1]Blackout Brand Fam Areas (Enc)'!$C$6:$C$998,J$4,'[1]Blackout Brand Fam Areas (Enc)'!$D$6:$D$998,"Inactive")&gt;0,"BLOCKED","CAN SELL")))))</f>
        <v>CAN SELL</v>
      </c>
      <c r="K214" s="11" t="str">
        <f>IF($A214="","",_xlfn.LET(_xlpm.t,MATCH($B214,'[1]Territory Definitions'!$B$5:$B$14,0),IF(ISNA(_xlpm.t),"NO TERRITORY",IF(INDEX('[1]Territory Definitions'!$D$5:$M$14,_xlpm.t,MATCH(K$4,'[1]Territory Definitions'!$D$4:$M$4,0))&lt;&gt;1,"NOT IN TERRITORY",IF(COUNTIFS('[1]Blackout Brand Fam Areas (Enc)'!$B$6:$B$998,$A214,'[1]Blackout Brand Fam Areas (Enc)'!$C$6:$C$998,K$4,'[1]Blackout Brand Fam Areas (Enc)'!$D$6:$D$998,"Inactive")&gt;0,"BLOCKED","CAN SELL")))))</f>
        <v>CAN SELL</v>
      </c>
      <c r="L214" s="11" t="str">
        <f>IF($A214="","",_xlfn.LET(_xlpm.t,MATCH($B214,'[1]Territory Definitions'!$B$5:$B$14,0),IF(ISNA(_xlpm.t),"NO TERRITORY",IF(INDEX('[1]Territory Definitions'!$D$5:$M$14,_xlpm.t,MATCH(L$4,'[1]Territory Definitions'!$D$4:$M$4,0))&lt;&gt;1,"NOT IN TERRITORY",IF(COUNTIFS('[1]Blackout Brand Fam Areas (Enc)'!$B$6:$B$998,$A214,'[1]Blackout Brand Fam Areas (Enc)'!$C$6:$C$998,L$4,'[1]Blackout Brand Fam Areas (Enc)'!$D$6:$D$998,"Inactive")&gt;0,"BLOCKED","CAN SELL")))))</f>
        <v>CAN SELL</v>
      </c>
      <c r="M214" s="12">
        <f>IF($A214="","",COUNTIF($C214:$L214,"CAN SELL"))</f>
        <v>10</v>
      </c>
      <c r="N214" s="13" cm="1">
        <f t="array" ref="N214">IF($A214="","",SUMPRODUCT(($C214:$L214="CAN SELL")*$C$3:$L$3))</f>
        <v>2306</v>
      </c>
      <c r="O214" s="14" t="str">
        <f>IF($A214="","",IF(COUNTIF($A$5:$A$299,$A214)&gt;1,"DUPLICATE - two different territories assigned",IF($B214="** NO TERRITORY SET **","No territory on Brand Family Territory (Enc)","")))</f>
        <v/>
      </c>
      <c r="P214" s="18" t="str">
        <f>IF($A214="","",IFERROR(INDEX([1]Products!$H$4:$H$4801,MATCH($A214,[1]Products!$G$4:$G$4801,0)),"(no products)"))</f>
        <v>Food &amp; Bev Enterprise LLC</v>
      </c>
      <c r="Q214" s="19">
        <f>IF($A214="","",COUNTIFS([1]Products!$G$4:$G$4801,$A214,[1]Products!$L$4:$L$4801,"Yes"))</f>
        <v>3</v>
      </c>
      <c r="R214" s="19">
        <f>IF($A214="","",COUNTIFS([1]Products!$G$4:$G$4801,$A214,[1]Products!$L$4:$L$4801,"Yes",[1]Products!$K$4:$K$4801,"Draft"))</f>
        <v>0</v>
      </c>
      <c r="S214" s="19">
        <f>IF($A214="","",COUNTIFS([1]Products!$G$4:$G$4801,$A214,[1]Products!$L$4:$L$4801,"Yes",[1]Products!$K$4:$K$4801,"Package"))</f>
        <v>3</v>
      </c>
      <c r="T214" s="20" t="str" cm="1">
        <f t="array" ref="T214">IF($A214="","",_xlfn.IFS($Q214=0,"NO ACTIVE SKUs",AND($R214&gt;0,$S214&gt;0),"Draft &amp; Package",$R214&gt;0,"Draft only",TRUE,"Package only"))</f>
        <v>Package only</v>
      </c>
    </row>
    <row r="215" spans="1:20" x14ac:dyDescent="0.2">
      <c r="A215" s="9" t="str">
        <v>Pop Sips</v>
      </c>
      <c r="B215" s="10" t="str">
        <f>IF($A215="","",_xlfn.XLOOKUP($A215,'[1]Brand Family Territory (Enc)'!$A:$A,'[1]Brand Family Territory (Enc)'!$B:$B,"** NO TERRITORY SET **"))</f>
        <v>All Counties</v>
      </c>
      <c r="C215" s="11" t="str">
        <f>IF($A215="","",_xlfn.LET(_xlpm.t,MATCH($B215,'[1]Territory Definitions'!$B$5:$B$14,0),IF(ISNA(_xlpm.t),"NO TERRITORY",IF(INDEX('[1]Territory Definitions'!$D$5:$M$14,_xlpm.t,MATCH(C$4,'[1]Territory Definitions'!$D$4:$M$4,0))&lt;&gt;1,"NOT IN TERRITORY",IF(COUNTIFS('[1]Blackout Brand Fam Areas (Enc)'!$B$6:$B$998,$A215,'[1]Blackout Brand Fam Areas (Enc)'!$C$6:$C$998,C$4,'[1]Blackout Brand Fam Areas (Enc)'!$D$6:$D$998,"Inactive")&gt;0,"BLOCKED","CAN SELL")))))</f>
        <v>CAN SELL</v>
      </c>
      <c r="D215" s="11" t="str">
        <f>IF($A215="","",_xlfn.LET(_xlpm.t,MATCH($B215,'[1]Territory Definitions'!$B$5:$B$14,0),IF(ISNA(_xlpm.t),"NO TERRITORY",IF(INDEX('[1]Territory Definitions'!$D$5:$M$14,_xlpm.t,MATCH(D$4,'[1]Territory Definitions'!$D$4:$M$4,0))&lt;&gt;1,"NOT IN TERRITORY",IF(COUNTIFS('[1]Blackout Brand Fam Areas (Enc)'!$B$6:$B$998,$A215,'[1]Blackout Brand Fam Areas (Enc)'!$C$6:$C$998,D$4,'[1]Blackout Brand Fam Areas (Enc)'!$D$6:$D$998,"Inactive")&gt;0,"BLOCKED","CAN SELL")))))</f>
        <v>CAN SELL</v>
      </c>
      <c r="E215" s="11" t="str">
        <f>IF($A215="","",_xlfn.LET(_xlpm.t,MATCH($B215,'[1]Territory Definitions'!$B$5:$B$14,0),IF(ISNA(_xlpm.t),"NO TERRITORY",IF(INDEX('[1]Territory Definitions'!$D$5:$M$14,_xlpm.t,MATCH(E$4,'[1]Territory Definitions'!$D$4:$M$4,0))&lt;&gt;1,"NOT IN TERRITORY",IF(COUNTIFS('[1]Blackout Brand Fam Areas (Enc)'!$B$6:$B$998,$A215,'[1]Blackout Brand Fam Areas (Enc)'!$C$6:$C$998,E$4,'[1]Blackout Brand Fam Areas (Enc)'!$D$6:$D$998,"Inactive")&gt;0,"BLOCKED","CAN SELL")))))</f>
        <v>CAN SELL</v>
      </c>
      <c r="F215" s="11" t="str">
        <f>IF($A215="","",_xlfn.LET(_xlpm.t,MATCH($B215,'[1]Territory Definitions'!$B$5:$B$14,0),IF(ISNA(_xlpm.t),"NO TERRITORY",IF(INDEX('[1]Territory Definitions'!$D$5:$M$14,_xlpm.t,MATCH(F$4,'[1]Territory Definitions'!$D$4:$M$4,0))&lt;&gt;1,"NOT IN TERRITORY",IF(COUNTIFS('[1]Blackout Brand Fam Areas (Enc)'!$B$6:$B$998,$A215,'[1]Blackout Brand Fam Areas (Enc)'!$C$6:$C$998,F$4,'[1]Blackout Brand Fam Areas (Enc)'!$D$6:$D$998,"Inactive")&gt;0,"BLOCKED","CAN SELL")))))</f>
        <v>CAN SELL</v>
      </c>
      <c r="G215" s="11" t="str">
        <f>IF($A215="","",_xlfn.LET(_xlpm.t,MATCH($B215,'[1]Territory Definitions'!$B$5:$B$14,0),IF(ISNA(_xlpm.t),"NO TERRITORY",IF(INDEX('[1]Territory Definitions'!$D$5:$M$14,_xlpm.t,MATCH(G$4,'[1]Territory Definitions'!$D$4:$M$4,0))&lt;&gt;1,"NOT IN TERRITORY",IF(COUNTIFS('[1]Blackout Brand Fam Areas (Enc)'!$B$6:$B$998,$A215,'[1]Blackout Brand Fam Areas (Enc)'!$C$6:$C$998,G$4,'[1]Blackout Brand Fam Areas (Enc)'!$D$6:$D$998,"Inactive")&gt;0,"BLOCKED","CAN SELL")))))</f>
        <v>CAN SELL</v>
      </c>
      <c r="H215" s="11" t="str">
        <f>IF($A215="","",_xlfn.LET(_xlpm.t,MATCH($B215,'[1]Territory Definitions'!$B$5:$B$14,0),IF(ISNA(_xlpm.t),"NO TERRITORY",IF(INDEX('[1]Territory Definitions'!$D$5:$M$14,_xlpm.t,MATCH(H$4,'[1]Territory Definitions'!$D$4:$M$4,0))&lt;&gt;1,"NOT IN TERRITORY",IF(COUNTIFS('[1]Blackout Brand Fam Areas (Enc)'!$B$6:$B$998,$A215,'[1]Blackout Brand Fam Areas (Enc)'!$C$6:$C$998,H$4,'[1]Blackout Brand Fam Areas (Enc)'!$D$6:$D$998,"Inactive")&gt;0,"BLOCKED","CAN SELL")))))</f>
        <v>CAN SELL</v>
      </c>
      <c r="I215" s="11" t="str">
        <f>IF($A215="","",_xlfn.LET(_xlpm.t,MATCH($B215,'[1]Territory Definitions'!$B$5:$B$14,0),IF(ISNA(_xlpm.t),"NO TERRITORY",IF(INDEX('[1]Territory Definitions'!$D$5:$M$14,_xlpm.t,MATCH(I$4,'[1]Territory Definitions'!$D$4:$M$4,0))&lt;&gt;1,"NOT IN TERRITORY",IF(COUNTIFS('[1]Blackout Brand Fam Areas (Enc)'!$B$6:$B$998,$A215,'[1]Blackout Brand Fam Areas (Enc)'!$C$6:$C$998,I$4,'[1]Blackout Brand Fam Areas (Enc)'!$D$6:$D$998,"Inactive")&gt;0,"BLOCKED","CAN SELL")))))</f>
        <v>CAN SELL</v>
      </c>
      <c r="J215" s="11" t="str">
        <f>IF($A215="","",_xlfn.LET(_xlpm.t,MATCH($B215,'[1]Territory Definitions'!$B$5:$B$14,0),IF(ISNA(_xlpm.t),"NO TERRITORY",IF(INDEX('[1]Territory Definitions'!$D$5:$M$14,_xlpm.t,MATCH(J$4,'[1]Territory Definitions'!$D$4:$M$4,0))&lt;&gt;1,"NOT IN TERRITORY",IF(COUNTIFS('[1]Blackout Brand Fam Areas (Enc)'!$B$6:$B$998,$A215,'[1]Blackout Brand Fam Areas (Enc)'!$C$6:$C$998,J$4,'[1]Blackout Brand Fam Areas (Enc)'!$D$6:$D$998,"Inactive")&gt;0,"BLOCKED","CAN SELL")))))</f>
        <v>CAN SELL</v>
      </c>
      <c r="K215" s="11" t="str">
        <f>IF($A215="","",_xlfn.LET(_xlpm.t,MATCH($B215,'[1]Territory Definitions'!$B$5:$B$14,0),IF(ISNA(_xlpm.t),"NO TERRITORY",IF(INDEX('[1]Territory Definitions'!$D$5:$M$14,_xlpm.t,MATCH(K$4,'[1]Territory Definitions'!$D$4:$M$4,0))&lt;&gt;1,"NOT IN TERRITORY",IF(COUNTIFS('[1]Blackout Brand Fam Areas (Enc)'!$B$6:$B$998,$A215,'[1]Blackout Brand Fam Areas (Enc)'!$C$6:$C$998,K$4,'[1]Blackout Brand Fam Areas (Enc)'!$D$6:$D$998,"Inactive")&gt;0,"BLOCKED","CAN SELL")))))</f>
        <v>CAN SELL</v>
      </c>
      <c r="L215" s="11" t="str">
        <f>IF($A215="","",_xlfn.LET(_xlpm.t,MATCH($B215,'[1]Territory Definitions'!$B$5:$B$14,0),IF(ISNA(_xlpm.t),"NO TERRITORY",IF(INDEX('[1]Territory Definitions'!$D$5:$M$14,_xlpm.t,MATCH(L$4,'[1]Territory Definitions'!$D$4:$M$4,0))&lt;&gt;1,"NOT IN TERRITORY",IF(COUNTIFS('[1]Blackout Brand Fam Areas (Enc)'!$B$6:$B$998,$A215,'[1]Blackout Brand Fam Areas (Enc)'!$C$6:$C$998,L$4,'[1]Blackout Brand Fam Areas (Enc)'!$D$6:$D$998,"Inactive")&gt;0,"BLOCKED","CAN SELL")))))</f>
        <v>CAN SELL</v>
      </c>
      <c r="M215" s="12">
        <f>IF($A215="","",COUNTIF($C215:$L215,"CAN SELL"))</f>
        <v>10</v>
      </c>
      <c r="N215" s="13" cm="1">
        <f t="array" ref="N215">IF($A215="","",SUMPRODUCT(($C215:$L215="CAN SELL")*$C$3:$L$3))</f>
        <v>2306</v>
      </c>
      <c r="O215" s="14" t="str">
        <f>IF($A215="","",IF(COUNTIF($A$5:$A$299,$A215)&gt;1,"DUPLICATE - two different territories assigned",IF($B215="** NO TERRITORY SET **","No territory on Brand Family Territory (Enc)","")))</f>
        <v/>
      </c>
      <c r="P215" s="18" t="str">
        <f>IF($A215="","",IFERROR(INDEX([1]Products!$H$4:$H$4801,MATCH($A215,[1]Products!$G$4:$G$4801,0)),"(no products)"))</f>
        <v>Passion Tree Co</v>
      </c>
      <c r="Q215" s="19">
        <f>IF($A215="","",COUNTIFS([1]Products!$G$4:$G$4801,$A215,[1]Products!$L$4:$L$4801,"Yes"))</f>
        <v>3</v>
      </c>
      <c r="R215" s="19">
        <f>IF($A215="","",COUNTIFS([1]Products!$G$4:$G$4801,$A215,[1]Products!$L$4:$L$4801,"Yes",[1]Products!$K$4:$K$4801,"Draft"))</f>
        <v>0</v>
      </c>
      <c r="S215" s="19">
        <f>IF($A215="","",COUNTIFS([1]Products!$G$4:$G$4801,$A215,[1]Products!$L$4:$L$4801,"Yes",[1]Products!$K$4:$K$4801,"Package"))</f>
        <v>3</v>
      </c>
      <c r="T215" s="20" t="str" cm="1">
        <f t="array" ref="T215">IF($A215="","",_xlfn.IFS($Q215=0,"NO ACTIVE SKUs",AND($R215&gt;0,$S215&gt;0),"Draft &amp; Package",$R215&gt;0,"Draft only",TRUE,"Package only"))</f>
        <v>Package only</v>
      </c>
    </row>
    <row r="216" spans="1:20" x14ac:dyDescent="0.2">
      <c r="A216" s="9" t="str">
        <v>Popsicle Hard</v>
      </c>
      <c r="B216" s="10" t="str">
        <f>IF($A216="","",_xlfn.XLOOKUP($A216,'[1]Brand Family Territory (Enc)'!$A:$A,'[1]Brand Family Territory (Enc)'!$B:$B,"** NO TERRITORY SET **"))</f>
        <v>All Counties</v>
      </c>
      <c r="C216" s="11" t="str">
        <f>IF($A216="","",_xlfn.LET(_xlpm.t,MATCH($B216,'[1]Territory Definitions'!$B$5:$B$14,0),IF(ISNA(_xlpm.t),"NO TERRITORY",IF(INDEX('[1]Territory Definitions'!$D$5:$M$14,_xlpm.t,MATCH(C$4,'[1]Territory Definitions'!$D$4:$M$4,0))&lt;&gt;1,"NOT IN TERRITORY",IF(COUNTIFS('[1]Blackout Brand Fam Areas (Enc)'!$B$6:$B$998,$A216,'[1]Blackout Brand Fam Areas (Enc)'!$C$6:$C$998,C$4,'[1]Blackout Brand Fam Areas (Enc)'!$D$6:$D$998,"Inactive")&gt;0,"BLOCKED","CAN SELL")))))</f>
        <v>CAN SELL</v>
      </c>
      <c r="D216" s="11" t="str">
        <f>IF($A216="","",_xlfn.LET(_xlpm.t,MATCH($B216,'[1]Territory Definitions'!$B$5:$B$14,0),IF(ISNA(_xlpm.t),"NO TERRITORY",IF(INDEX('[1]Territory Definitions'!$D$5:$M$14,_xlpm.t,MATCH(D$4,'[1]Territory Definitions'!$D$4:$M$4,0))&lt;&gt;1,"NOT IN TERRITORY",IF(COUNTIFS('[1]Blackout Brand Fam Areas (Enc)'!$B$6:$B$998,$A216,'[1]Blackout Brand Fam Areas (Enc)'!$C$6:$C$998,D$4,'[1]Blackout Brand Fam Areas (Enc)'!$D$6:$D$998,"Inactive")&gt;0,"BLOCKED","CAN SELL")))))</f>
        <v>CAN SELL</v>
      </c>
      <c r="E216" s="11" t="str">
        <f>IF($A216="","",_xlfn.LET(_xlpm.t,MATCH($B216,'[1]Territory Definitions'!$B$5:$B$14,0),IF(ISNA(_xlpm.t),"NO TERRITORY",IF(INDEX('[1]Territory Definitions'!$D$5:$M$14,_xlpm.t,MATCH(E$4,'[1]Territory Definitions'!$D$4:$M$4,0))&lt;&gt;1,"NOT IN TERRITORY",IF(COUNTIFS('[1]Blackout Brand Fam Areas (Enc)'!$B$6:$B$998,$A216,'[1]Blackout Brand Fam Areas (Enc)'!$C$6:$C$998,E$4,'[1]Blackout Brand Fam Areas (Enc)'!$D$6:$D$998,"Inactive")&gt;0,"BLOCKED","CAN SELL")))))</f>
        <v>CAN SELL</v>
      </c>
      <c r="F216" s="11" t="str">
        <f>IF($A216="","",_xlfn.LET(_xlpm.t,MATCH($B216,'[1]Territory Definitions'!$B$5:$B$14,0),IF(ISNA(_xlpm.t),"NO TERRITORY",IF(INDEX('[1]Territory Definitions'!$D$5:$M$14,_xlpm.t,MATCH(F$4,'[1]Territory Definitions'!$D$4:$M$4,0))&lt;&gt;1,"NOT IN TERRITORY",IF(COUNTIFS('[1]Blackout Brand Fam Areas (Enc)'!$B$6:$B$998,$A216,'[1]Blackout Brand Fam Areas (Enc)'!$C$6:$C$998,F$4,'[1]Blackout Brand Fam Areas (Enc)'!$D$6:$D$998,"Inactive")&gt;0,"BLOCKED","CAN SELL")))))</f>
        <v>CAN SELL</v>
      </c>
      <c r="G216" s="11" t="str">
        <f>IF($A216="","",_xlfn.LET(_xlpm.t,MATCH($B216,'[1]Territory Definitions'!$B$5:$B$14,0),IF(ISNA(_xlpm.t),"NO TERRITORY",IF(INDEX('[1]Territory Definitions'!$D$5:$M$14,_xlpm.t,MATCH(G$4,'[1]Territory Definitions'!$D$4:$M$4,0))&lt;&gt;1,"NOT IN TERRITORY",IF(COUNTIFS('[1]Blackout Brand Fam Areas (Enc)'!$B$6:$B$998,$A216,'[1]Blackout Brand Fam Areas (Enc)'!$C$6:$C$998,G$4,'[1]Blackout Brand Fam Areas (Enc)'!$D$6:$D$998,"Inactive")&gt;0,"BLOCKED","CAN SELL")))))</f>
        <v>CAN SELL</v>
      </c>
      <c r="H216" s="11" t="str">
        <f>IF($A216="","",_xlfn.LET(_xlpm.t,MATCH($B216,'[1]Territory Definitions'!$B$5:$B$14,0),IF(ISNA(_xlpm.t),"NO TERRITORY",IF(INDEX('[1]Territory Definitions'!$D$5:$M$14,_xlpm.t,MATCH(H$4,'[1]Territory Definitions'!$D$4:$M$4,0))&lt;&gt;1,"NOT IN TERRITORY",IF(COUNTIFS('[1]Blackout Brand Fam Areas (Enc)'!$B$6:$B$998,$A216,'[1]Blackout Brand Fam Areas (Enc)'!$C$6:$C$998,H$4,'[1]Blackout Brand Fam Areas (Enc)'!$D$6:$D$998,"Inactive")&gt;0,"BLOCKED","CAN SELL")))))</f>
        <v>CAN SELL</v>
      </c>
      <c r="I216" s="11" t="str">
        <f>IF($A216="","",_xlfn.LET(_xlpm.t,MATCH($B216,'[1]Territory Definitions'!$B$5:$B$14,0),IF(ISNA(_xlpm.t),"NO TERRITORY",IF(INDEX('[1]Territory Definitions'!$D$5:$M$14,_xlpm.t,MATCH(I$4,'[1]Territory Definitions'!$D$4:$M$4,0))&lt;&gt;1,"NOT IN TERRITORY",IF(COUNTIFS('[1]Blackout Brand Fam Areas (Enc)'!$B$6:$B$998,$A216,'[1]Blackout Brand Fam Areas (Enc)'!$C$6:$C$998,I$4,'[1]Blackout Brand Fam Areas (Enc)'!$D$6:$D$998,"Inactive")&gt;0,"BLOCKED","CAN SELL")))))</f>
        <v>CAN SELL</v>
      </c>
      <c r="J216" s="11" t="str">
        <f>IF($A216="","",_xlfn.LET(_xlpm.t,MATCH($B216,'[1]Territory Definitions'!$B$5:$B$14,0),IF(ISNA(_xlpm.t),"NO TERRITORY",IF(INDEX('[1]Territory Definitions'!$D$5:$M$14,_xlpm.t,MATCH(J$4,'[1]Territory Definitions'!$D$4:$M$4,0))&lt;&gt;1,"NOT IN TERRITORY",IF(COUNTIFS('[1]Blackout Brand Fam Areas (Enc)'!$B$6:$B$998,$A216,'[1]Blackout Brand Fam Areas (Enc)'!$C$6:$C$998,J$4,'[1]Blackout Brand Fam Areas (Enc)'!$D$6:$D$998,"Inactive")&gt;0,"BLOCKED","CAN SELL")))))</f>
        <v>CAN SELL</v>
      </c>
      <c r="K216" s="11" t="str">
        <f>IF($A216="","",_xlfn.LET(_xlpm.t,MATCH($B216,'[1]Territory Definitions'!$B$5:$B$14,0),IF(ISNA(_xlpm.t),"NO TERRITORY",IF(INDEX('[1]Territory Definitions'!$D$5:$M$14,_xlpm.t,MATCH(K$4,'[1]Territory Definitions'!$D$4:$M$4,0))&lt;&gt;1,"NOT IN TERRITORY",IF(COUNTIFS('[1]Blackout Brand Fam Areas (Enc)'!$B$6:$B$998,$A216,'[1]Blackout Brand Fam Areas (Enc)'!$C$6:$C$998,K$4,'[1]Blackout Brand Fam Areas (Enc)'!$D$6:$D$998,"Inactive")&gt;0,"BLOCKED","CAN SELL")))))</f>
        <v>CAN SELL</v>
      </c>
      <c r="L216" s="11" t="str">
        <f>IF($A216="","",_xlfn.LET(_xlpm.t,MATCH($B216,'[1]Territory Definitions'!$B$5:$B$14,0),IF(ISNA(_xlpm.t),"NO TERRITORY",IF(INDEX('[1]Territory Definitions'!$D$5:$M$14,_xlpm.t,MATCH(L$4,'[1]Territory Definitions'!$D$4:$M$4,0))&lt;&gt;1,"NOT IN TERRITORY",IF(COUNTIFS('[1]Blackout Brand Fam Areas (Enc)'!$B$6:$B$998,$A216,'[1]Blackout Brand Fam Areas (Enc)'!$C$6:$C$998,L$4,'[1]Blackout Brand Fam Areas (Enc)'!$D$6:$D$998,"Inactive")&gt;0,"BLOCKED","CAN SELL")))))</f>
        <v>CAN SELL</v>
      </c>
      <c r="M216" s="12">
        <f>IF($A216="","",COUNTIF($C216:$L216,"CAN SELL"))</f>
        <v>10</v>
      </c>
      <c r="N216" s="13" cm="1">
        <f t="array" ref="N216">IF($A216="","",SUMPRODUCT(($C216:$L216="CAN SELL")*$C$3:$L$3))</f>
        <v>2306</v>
      </c>
      <c r="O216" s="14" t="str">
        <f>IF($A216="","",IF(COUNTIF($A$5:$A$299,$A216)&gt;1,"DUPLICATE - two different territories assigned",IF($B216="** NO TERRITORY SET **","No territory on Brand Family Territory (Enc)","")))</f>
        <v/>
      </c>
      <c r="P216" s="18" t="str">
        <f>IF($A216="","",IFERROR(INDEX([1]Products!$H$4:$H$4801,MATCH($A216,[1]Products!$G$4:$G$4801,0)),"(no products)"))</f>
        <v>Montauk Brewing Co</v>
      </c>
      <c r="Q216" s="19">
        <f>IF($A216="","",COUNTIFS([1]Products!$G$4:$G$4801,$A216,[1]Products!$L$4:$L$4801,"Yes"))</f>
        <v>2</v>
      </c>
      <c r="R216" s="19">
        <f>IF($A216="","",COUNTIFS([1]Products!$G$4:$G$4801,$A216,[1]Products!$L$4:$L$4801,"Yes",[1]Products!$K$4:$K$4801,"Draft"))</f>
        <v>0</v>
      </c>
      <c r="S216" s="19">
        <f>IF($A216="","",COUNTIFS([1]Products!$G$4:$G$4801,$A216,[1]Products!$L$4:$L$4801,"Yes",[1]Products!$K$4:$K$4801,"Package"))</f>
        <v>2</v>
      </c>
      <c r="T216" s="20" t="str" cm="1">
        <f t="array" ref="T216">IF($A216="","",_xlfn.IFS($Q216=0,"NO ACTIVE SKUs",AND($R216&gt;0,$S216&gt;0),"Draft &amp; Package",$R216&gt;0,"Draft only",TRUE,"Package only"))</f>
        <v>Package only</v>
      </c>
    </row>
    <row r="217" spans="1:20" x14ac:dyDescent="0.2">
      <c r="A217" s="9" t="str">
        <v>Press</v>
      </c>
      <c r="B217" s="10" t="str">
        <f>IF($A217="","",_xlfn.XLOOKUP($A217,'[1]Brand Family Territory (Enc)'!$A:$A,'[1]Brand Family Territory (Enc)'!$B:$B,"** NO TERRITORY SET **"))</f>
        <v>Core Market</v>
      </c>
      <c r="C217" s="11" t="str">
        <f>IF($A217="","",_xlfn.LET(_xlpm.t,MATCH($B217,'[1]Territory Definitions'!$B$5:$B$14,0),IF(ISNA(_xlpm.t),"NO TERRITORY",IF(INDEX('[1]Territory Definitions'!$D$5:$M$14,_xlpm.t,MATCH(C$4,'[1]Territory Definitions'!$D$4:$M$4,0))&lt;&gt;1,"NOT IN TERRITORY",IF(COUNTIFS('[1]Blackout Brand Fam Areas (Enc)'!$B$6:$B$998,$A217,'[1]Blackout Brand Fam Areas (Enc)'!$C$6:$C$998,C$4,'[1]Blackout Brand Fam Areas (Enc)'!$D$6:$D$998,"Inactive")&gt;0,"BLOCKED","CAN SELL")))))</f>
        <v>CAN SELL</v>
      </c>
      <c r="D217" s="11" t="str">
        <f>IF($A217="","",_xlfn.LET(_xlpm.t,MATCH($B217,'[1]Territory Definitions'!$B$5:$B$14,0),IF(ISNA(_xlpm.t),"NO TERRITORY",IF(INDEX('[1]Territory Definitions'!$D$5:$M$14,_xlpm.t,MATCH(D$4,'[1]Territory Definitions'!$D$4:$M$4,0))&lt;&gt;1,"NOT IN TERRITORY",IF(COUNTIFS('[1]Blackout Brand Fam Areas (Enc)'!$B$6:$B$998,$A217,'[1]Blackout Brand Fam Areas (Enc)'!$C$6:$C$998,D$4,'[1]Blackout Brand Fam Areas (Enc)'!$D$6:$D$998,"Inactive")&gt;0,"BLOCKED","CAN SELL")))))</f>
        <v>CAN SELL</v>
      </c>
      <c r="E217" s="11" t="str">
        <f>IF($A217="","",_xlfn.LET(_xlpm.t,MATCH($B217,'[1]Territory Definitions'!$B$5:$B$14,0),IF(ISNA(_xlpm.t),"NO TERRITORY",IF(INDEX('[1]Territory Definitions'!$D$5:$M$14,_xlpm.t,MATCH(E$4,'[1]Territory Definitions'!$D$4:$M$4,0))&lt;&gt;1,"NOT IN TERRITORY",IF(COUNTIFS('[1]Blackout Brand Fam Areas (Enc)'!$B$6:$B$998,$A217,'[1]Blackout Brand Fam Areas (Enc)'!$C$6:$C$998,E$4,'[1]Blackout Brand Fam Areas (Enc)'!$D$6:$D$998,"Inactive")&gt;0,"BLOCKED","CAN SELL")))))</f>
        <v>CAN SELL</v>
      </c>
      <c r="F217" s="11" t="str">
        <f>IF($A217="","",_xlfn.LET(_xlpm.t,MATCH($B217,'[1]Territory Definitions'!$B$5:$B$14,0),IF(ISNA(_xlpm.t),"NO TERRITORY",IF(INDEX('[1]Territory Definitions'!$D$5:$M$14,_xlpm.t,MATCH(F$4,'[1]Territory Definitions'!$D$4:$M$4,0))&lt;&gt;1,"NOT IN TERRITORY",IF(COUNTIFS('[1]Blackout Brand Fam Areas (Enc)'!$B$6:$B$998,$A217,'[1]Blackout Brand Fam Areas (Enc)'!$C$6:$C$998,F$4,'[1]Blackout Brand Fam Areas (Enc)'!$D$6:$D$998,"Inactive")&gt;0,"BLOCKED","CAN SELL")))))</f>
        <v>NOT IN TERRITORY</v>
      </c>
      <c r="G217" s="11" t="str">
        <f>IF($A217="","",_xlfn.LET(_xlpm.t,MATCH($B217,'[1]Territory Definitions'!$B$5:$B$14,0),IF(ISNA(_xlpm.t),"NO TERRITORY",IF(INDEX('[1]Territory Definitions'!$D$5:$M$14,_xlpm.t,MATCH(G$4,'[1]Territory Definitions'!$D$4:$M$4,0))&lt;&gt;1,"NOT IN TERRITORY",IF(COUNTIFS('[1]Blackout Brand Fam Areas (Enc)'!$B$6:$B$998,$A217,'[1]Blackout Brand Fam Areas (Enc)'!$C$6:$C$998,G$4,'[1]Blackout Brand Fam Areas (Enc)'!$D$6:$D$998,"Inactive")&gt;0,"BLOCKED","CAN SELL")))))</f>
        <v>NOT IN TERRITORY</v>
      </c>
      <c r="H217" s="11" t="str">
        <f>IF($A217="","",_xlfn.LET(_xlpm.t,MATCH($B217,'[1]Territory Definitions'!$B$5:$B$14,0),IF(ISNA(_xlpm.t),"NO TERRITORY",IF(INDEX('[1]Territory Definitions'!$D$5:$M$14,_xlpm.t,MATCH(H$4,'[1]Territory Definitions'!$D$4:$M$4,0))&lt;&gt;1,"NOT IN TERRITORY",IF(COUNTIFS('[1]Blackout Brand Fam Areas (Enc)'!$B$6:$B$998,$A217,'[1]Blackout Brand Fam Areas (Enc)'!$C$6:$C$998,H$4,'[1]Blackout Brand Fam Areas (Enc)'!$D$6:$D$998,"Inactive")&gt;0,"BLOCKED","CAN SELL")))))</f>
        <v>NOT IN TERRITORY</v>
      </c>
      <c r="I217" s="11" t="str">
        <f>IF($A217="","",_xlfn.LET(_xlpm.t,MATCH($B217,'[1]Territory Definitions'!$B$5:$B$14,0),IF(ISNA(_xlpm.t),"NO TERRITORY",IF(INDEX('[1]Territory Definitions'!$D$5:$M$14,_xlpm.t,MATCH(I$4,'[1]Territory Definitions'!$D$4:$M$4,0))&lt;&gt;1,"NOT IN TERRITORY",IF(COUNTIFS('[1]Blackout Brand Fam Areas (Enc)'!$B$6:$B$998,$A217,'[1]Blackout Brand Fam Areas (Enc)'!$C$6:$C$998,I$4,'[1]Blackout Brand Fam Areas (Enc)'!$D$6:$D$998,"Inactive")&gt;0,"BLOCKED","CAN SELL")))))</f>
        <v>CAN SELL</v>
      </c>
      <c r="J217" s="11" t="str">
        <f>IF($A217="","",_xlfn.LET(_xlpm.t,MATCH($B217,'[1]Territory Definitions'!$B$5:$B$14,0),IF(ISNA(_xlpm.t),"NO TERRITORY",IF(INDEX('[1]Territory Definitions'!$D$5:$M$14,_xlpm.t,MATCH(J$4,'[1]Territory Definitions'!$D$4:$M$4,0))&lt;&gt;1,"NOT IN TERRITORY",IF(COUNTIFS('[1]Blackout Brand Fam Areas (Enc)'!$B$6:$B$998,$A217,'[1]Blackout Brand Fam Areas (Enc)'!$C$6:$C$998,J$4,'[1]Blackout Brand Fam Areas (Enc)'!$D$6:$D$998,"Inactive")&gt;0,"BLOCKED","CAN SELL")))))</f>
        <v>CAN SELL</v>
      </c>
      <c r="K217" s="11" t="str">
        <f>IF($A217="","",_xlfn.LET(_xlpm.t,MATCH($B217,'[1]Territory Definitions'!$B$5:$B$14,0),IF(ISNA(_xlpm.t),"NO TERRITORY",IF(INDEX('[1]Territory Definitions'!$D$5:$M$14,_xlpm.t,MATCH(K$4,'[1]Territory Definitions'!$D$4:$M$4,0))&lt;&gt;1,"NOT IN TERRITORY",IF(COUNTIFS('[1]Blackout Brand Fam Areas (Enc)'!$B$6:$B$998,$A217,'[1]Blackout Brand Fam Areas (Enc)'!$C$6:$C$998,K$4,'[1]Blackout Brand Fam Areas (Enc)'!$D$6:$D$998,"Inactive")&gt;0,"BLOCKED","CAN SELL")))))</f>
        <v>NOT IN TERRITORY</v>
      </c>
      <c r="L217" s="11" t="str">
        <f>IF($A217="","",_xlfn.LET(_xlpm.t,MATCH($B217,'[1]Territory Definitions'!$B$5:$B$14,0),IF(ISNA(_xlpm.t),"NO TERRITORY",IF(INDEX('[1]Territory Definitions'!$D$5:$M$14,_xlpm.t,MATCH(L$4,'[1]Territory Definitions'!$D$4:$M$4,0))&lt;&gt;1,"NOT IN TERRITORY",IF(COUNTIFS('[1]Blackout Brand Fam Areas (Enc)'!$B$6:$B$998,$A217,'[1]Blackout Brand Fam Areas (Enc)'!$C$6:$C$998,L$4,'[1]Blackout Brand Fam Areas (Enc)'!$D$6:$D$998,"Inactive")&gt;0,"BLOCKED","CAN SELL")))))</f>
        <v>CAN SELL</v>
      </c>
      <c r="M217" s="12">
        <f>IF($A217="","",COUNTIF($C217:$L217,"CAN SELL"))</f>
        <v>6</v>
      </c>
      <c r="N217" s="13" cm="1">
        <f t="array" ref="N217">IF($A217="","",SUMPRODUCT(($C217:$L217="CAN SELL")*$C$3:$L$3))</f>
        <v>1596</v>
      </c>
      <c r="O217" s="14" t="str">
        <f>IF($A217="","",IF(COUNTIF($A$5:$A$299,$A217)&gt;1,"DUPLICATE - two different territories assigned",IF($B217="** NO TERRITORY SET **","No territory on Brand Family Territory (Enc)","")))</f>
        <v/>
      </c>
      <c r="P217" s="18" t="str">
        <f>IF($A217="","",IFERROR(INDEX([1]Products!$H$4:$H$4801,MATCH($A217,[1]Products!$G$4:$G$4801,0)),"(no products)"))</f>
        <v>(no products)</v>
      </c>
      <c r="Q217" s="19">
        <f>IF($A217="","",COUNTIFS([1]Products!$G$4:$G$4801,$A217,[1]Products!$L$4:$L$4801,"Yes"))</f>
        <v>0</v>
      </c>
      <c r="R217" s="19">
        <f>IF($A217="","",COUNTIFS([1]Products!$G$4:$G$4801,$A217,[1]Products!$L$4:$L$4801,"Yes",[1]Products!$K$4:$K$4801,"Draft"))</f>
        <v>0</v>
      </c>
      <c r="S217" s="19">
        <f>IF($A217="","",COUNTIFS([1]Products!$G$4:$G$4801,$A217,[1]Products!$L$4:$L$4801,"Yes",[1]Products!$K$4:$K$4801,"Package"))</f>
        <v>0</v>
      </c>
      <c r="T217" s="20" t="str" cm="1">
        <f t="array" ref="T217">IF($A217="","",_xlfn.IFS($Q217=0,"NO ACTIVE SKUs",AND($R217&gt;0,$S217&gt;0),"Draft &amp; Package",$R217&gt;0,"Draft only",TRUE,"Package only"))</f>
        <v>NO ACTIVE SKUs</v>
      </c>
    </row>
    <row r="218" spans="1:20" x14ac:dyDescent="0.2">
      <c r="A218" s="9" t="str">
        <v>Prestige Lager</v>
      </c>
      <c r="B218" s="10" t="str">
        <f>IF($A218="","",_xlfn.XLOOKUP($A218,'[1]Brand Family Territory (Enc)'!$A:$A,'[1]Brand Family Territory (Enc)'!$B:$B,"** NO TERRITORY SET **"))</f>
        <v>Bergen &amp; Passaic</v>
      </c>
      <c r="C218" s="11" t="str">
        <f>IF($A218="","",_xlfn.LET(_xlpm.t,MATCH($B218,'[1]Territory Definitions'!$B$5:$B$14,0),IF(ISNA(_xlpm.t),"NO TERRITORY",IF(INDEX('[1]Territory Definitions'!$D$5:$M$14,_xlpm.t,MATCH(C$4,'[1]Territory Definitions'!$D$4:$M$4,0))&lt;&gt;1,"NOT IN TERRITORY",IF(COUNTIFS('[1]Blackout Brand Fam Areas (Enc)'!$B$6:$B$998,$A218,'[1]Blackout Brand Fam Areas (Enc)'!$C$6:$C$998,C$4,'[1]Blackout Brand Fam Areas (Enc)'!$D$6:$D$998,"Inactive")&gt;0,"BLOCKED","CAN SELL")))))</f>
        <v>CAN SELL</v>
      </c>
      <c r="D218" s="11" t="str">
        <f>IF($A218="","",_xlfn.LET(_xlpm.t,MATCH($B218,'[1]Territory Definitions'!$B$5:$B$14,0),IF(ISNA(_xlpm.t),"NO TERRITORY",IF(INDEX('[1]Territory Definitions'!$D$5:$M$14,_xlpm.t,MATCH(D$4,'[1]Territory Definitions'!$D$4:$M$4,0))&lt;&gt;1,"NOT IN TERRITORY",IF(COUNTIFS('[1]Blackout Brand Fam Areas (Enc)'!$B$6:$B$998,$A218,'[1]Blackout Brand Fam Areas (Enc)'!$C$6:$C$998,D$4,'[1]Blackout Brand Fam Areas (Enc)'!$D$6:$D$998,"Inactive")&gt;0,"BLOCKED","CAN SELL")))))</f>
        <v>CAN SELL</v>
      </c>
      <c r="E218" s="11" t="str">
        <f>IF($A218="","",_xlfn.LET(_xlpm.t,MATCH($B218,'[1]Territory Definitions'!$B$5:$B$14,0),IF(ISNA(_xlpm.t),"NO TERRITORY",IF(INDEX('[1]Territory Definitions'!$D$5:$M$14,_xlpm.t,MATCH(E$4,'[1]Territory Definitions'!$D$4:$M$4,0))&lt;&gt;1,"NOT IN TERRITORY",IF(COUNTIFS('[1]Blackout Brand Fam Areas (Enc)'!$B$6:$B$998,$A218,'[1]Blackout Brand Fam Areas (Enc)'!$C$6:$C$998,E$4,'[1]Blackout Brand Fam Areas (Enc)'!$D$6:$D$998,"Inactive")&gt;0,"BLOCKED","CAN SELL")))))</f>
        <v>CAN SELL</v>
      </c>
      <c r="F218" s="11" t="str">
        <f>IF($A218="","",_xlfn.LET(_xlpm.t,MATCH($B218,'[1]Territory Definitions'!$B$5:$B$14,0),IF(ISNA(_xlpm.t),"NO TERRITORY",IF(INDEX('[1]Territory Definitions'!$D$5:$M$14,_xlpm.t,MATCH(F$4,'[1]Territory Definitions'!$D$4:$M$4,0))&lt;&gt;1,"NOT IN TERRITORY",IF(COUNTIFS('[1]Blackout Brand Fam Areas (Enc)'!$B$6:$B$998,$A218,'[1]Blackout Brand Fam Areas (Enc)'!$C$6:$C$998,F$4,'[1]Blackout Brand Fam Areas (Enc)'!$D$6:$D$998,"Inactive")&gt;0,"BLOCKED","CAN SELL")))))</f>
        <v>NOT IN TERRITORY</v>
      </c>
      <c r="G218" s="11" t="str">
        <f>IF($A218="","",_xlfn.LET(_xlpm.t,MATCH($B218,'[1]Territory Definitions'!$B$5:$B$14,0),IF(ISNA(_xlpm.t),"NO TERRITORY",IF(INDEX('[1]Territory Definitions'!$D$5:$M$14,_xlpm.t,MATCH(G$4,'[1]Territory Definitions'!$D$4:$M$4,0))&lt;&gt;1,"NOT IN TERRITORY",IF(COUNTIFS('[1]Blackout Brand Fam Areas (Enc)'!$B$6:$B$998,$A218,'[1]Blackout Brand Fam Areas (Enc)'!$C$6:$C$998,G$4,'[1]Blackout Brand Fam Areas (Enc)'!$D$6:$D$998,"Inactive")&gt;0,"BLOCKED","CAN SELL")))))</f>
        <v>NOT IN TERRITORY</v>
      </c>
      <c r="H218" s="11" t="str">
        <f>IF($A218="","",_xlfn.LET(_xlpm.t,MATCH($B218,'[1]Territory Definitions'!$B$5:$B$14,0),IF(ISNA(_xlpm.t),"NO TERRITORY",IF(INDEX('[1]Territory Definitions'!$D$5:$M$14,_xlpm.t,MATCH(H$4,'[1]Territory Definitions'!$D$4:$M$4,0))&lt;&gt;1,"NOT IN TERRITORY",IF(COUNTIFS('[1]Blackout Brand Fam Areas (Enc)'!$B$6:$B$998,$A218,'[1]Blackout Brand Fam Areas (Enc)'!$C$6:$C$998,H$4,'[1]Blackout Brand Fam Areas (Enc)'!$D$6:$D$998,"Inactive")&gt;0,"BLOCKED","CAN SELL")))))</f>
        <v>NOT IN TERRITORY</v>
      </c>
      <c r="I218" s="11" t="str">
        <f>IF($A218="","",_xlfn.LET(_xlpm.t,MATCH($B218,'[1]Territory Definitions'!$B$5:$B$14,0),IF(ISNA(_xlpm.t),"NO TERRITORY",IF(INDEX('[1]Territory Definitions'!$D$5:$M$14,_xlpm.t,MATCH(I$4,'[1]Territory Definitions'!$D$4:$M$4,0))&lt;&gt;1,"NOT IN TERRITORY",IF(COUNTIFS('[1]Blackout Brand Fam Areas (Enc)'!$B$6:$B$998,$A218,'[1]Blackout Brand Fam Areas (Enc)'!$C$6:$C$998,I$4,'[1]Blackout Brand Fam Areas (Enc)'!$D$6:$D$998,"Inactive")&gt;0,"BLOCKED","CAN SELL")))))</f>
        <v>NOT IN TERRITORY</v>
      </c>
      <c r="J218" s="11" t="str">
        <f>IF($A218="","",_xlfn.LET(_xlpm.t,MATCH($B218,'[1]Territory Definitions'!$B$5:$B$14,0),IF(ISNA(_xlpm.t),"NO TERRITORY",IF(INDEX('[1]Territory Definitions'!$D$5:$M$14,_xlpm.t,MATCH(J$4,'[1]Territory Definitions'!$D$4:$M$4,0))&lt;&gt;1,"NOT IN TERRITORY",IF(COUNTIFS('[1]Blackout Brand Fam Areas (Enc)'!$B$6:$B$998,$A218,'[1]Blackout Brand Fam Areas (Enc)'!$C$6:$C$998,J$4,'[1]Blackout Brand Fam Areas (Enc)'!$D$6:$D$998,"Inactive")&gt;0,"BLOCKED","CAN SELL")))))</f>
        <v>NOT IN TERRITORY</v>
      </c>
      <c r="K218" s="11" t="str">
        <f>IF($A218="","",_xlfn.LET(_xlpm.t,MATCH($B218,'[1]Territory Definitions'!$B$5:$B$14,0),IF(ISNA(_xlpm.t),"NO TERRITORY",IF(INDEX('[1]Territory Definitions'!$D$5:$M$14,_xlpm.t,MATCH(K$4,'[1]Territory Definitions'!$D$4:$M$4,0))&lt;&gt;1,"NOT IN TERRITORY",IF(COUNTIFS('[1]Blackout Brand Fam Areas (Enc)'!$B$6:$B$998,$A218,'[1]Blackout Brand Fam Areas (Enc)'!$C$6:$C$998,K$4,'[1]Blackout Brand Fam Areas (Enc)'!$D$6:$D$998,"Inactive")&gt;0,"BLOCKED","CAN SELL")))))</f>
        <v>NOT IN TERRITORY</v>
      </c>
      <c r="L218" s="11" t="str">
        <f>IF($A218="","",_xlfn.LET(_xlpm.t,MATCH($B218,'[1]Territory Definitions'!$B$5:$B$14,0),IF(ISNA(_xlpm.t),"NO TERRITORY",IF(INDEX('[1]Territory Definitions'!$D$5:$M$14,_xlpm.t,MATCH(L$4,'[1]Territory Definitions'!$D$4:$M$4,0))&lt;&gt;1,"NOT IN TERRITORY",IF(COUNTIFS('[1]Blackout Brand Fam Areas (Enc)'!$B$6:$B$998,$A218,'[1]Blackout Brand Fam Areas (Enc)'!$C$6:$C$998,L$4,'[1]Blackout Brand Fam Areas (Enc)'!$D$6:$D$998,"Inactive")&gt;0,"BLOCKED","CAN SELL")))))</f>
        <v>NOT IN TERRITORY</v>
      </c>
      <c r="M218" s="12">
        <f>IF($A218="","",COUNTIF($C218:$L218,"CAN SELL"))</f>
        <v>3</v>
      </c>
      <c r="N218" s="13" cm="1">
        <f t="array" ref="N218">IF($A218="","",SUMPRODUCT(($C218:$L218="CAN SELL")*$C$3:$L$3))</f>
        <v>1282</v>
      </c>
      <c r="O218" s="14" t="str">
        <f>IF($A218="","",IF(COUNTIF($A$5:$A$299,$A218)&gt;1,"DUPLICATE - two different territories assigned",IF($B218="** NO TERRITORY SET **","No territory on Brand Family Territory (Enc)","")))</f>
        <v/>
      </c>
      <c r="P218" s="18" t="str">
        <f>IF($A218="","",IFERROR(INDEX([1]Products!$H$4:$H$4801,MATCH($A218,[1]Products!$G$4:$G$4801,0)),"(no products)"))</f>
        <v>Heineken USA</v>
      </c>
      <c r="Q218" s="19">
        <f>IF($A218="","",COUNTIFS([1]Products!$G$4:$G$4801,$A218,[1]Products!$L$4:$L$4801,"Yes"))</f>
        <v>1</v>
      </c>
      <c r="R218" s="19">
        <f>IF($A218="","",COUNTIFS([1]Products!$G$4:$G$4801,$A218,[1]Products!$L$4:$L$4801,"Yes",[1]Products!$K$4:$K$4801,"Draft"))</f>
        <v>0</v>
      </c>
      <c r="S218" s="19">
        <f>IF($A218="","",COUNTIFS([1]Products!$G$4:$G$4801,$A218,[1]Products!$L$4:$L$4801,"Yes",[1]Products!$K$4:$K$4801,"Package"))</f>
        <v>1</v>
      </c>
      <c r="T218" s="20" t="str" cm="1">
        <f t="array" ref="T218">IF($A218="","",_xlfn.IFS($Q218=0,"NO ACTIVE SKUs",AND($R218&gt;0,$S218&gt;0),"Draft &amp; Package",$R218&gt;0,"Draft only",TRUE,"Package only"))</f>
        <v>Package only</v>
      </c>
    </row>
    <row r="219" spans="1:20" x14ac:dyDescent="0.2">
      <c r="A219" s="9" t="str">
        <v>Pride &amp; Clarke</v>
      </c>
      <c r="B219" s="10" t="str">
        <f>IF($A219="","",_xlfn.XLOOKUP($A219,'[1]Brand Family Territory (Enc)'!$A:$A,'[1]Brand Family Territory (Enc)'!$B:$B,"** NO TERRITORY SET **"))</f>
        <v>All Counties</v>
      </c>
      <c r="C219" s="11" t="str">
        <f>IF($A219="","",_xlfn.LET(_xlpm.t,MATCH($B219,'[1]Territory Definitions'!$B$5:$B$14,0),IF(ISNA(_xlpm.t),"NO TERRITORY",IF(INDEX('[1]Territory Definitions'!$D$5:$M$14,_xlpm.t,MATCH(C$4,'[1]Territory Definitions'!$D$4:$M$4,0))&lt;&gt;1,"NOT IN TERRITORY",IF(COUNTIFS('[1]Blackout Brand Fam Areas (Enc)'!$B$6:$B$998,$A219,'[1]Blackout Brand Fam Areas (Enc)'!$C$6:$C$998,C$4,'[1]Blackout Brand Fam Areas (Enc)'!$D$6:$D$998,"Inactive")&gt;0,"BLOCKED","CAN SELL")))))</f>
        <v>CAN SELL</v>
      </c>
      <c r="D219" s="11" t="str">
        <f>IF($A219="","",_xlfn.LET(_xlpm.t,MATCH($B219,'[1]Territory Definitions'!$B$5:$B$14,0),IF(ISNA(_xlpm.t),"NO TERRITORY",IF(INDEX('[1]Territory Definitions'!$D$5:$M$14,_xlpm.t,MATCH(D$4,'[1]Territory Definitions'!$D$4:$M$4,0))&lt;&gt;1,"NOT IN TERRITORY",IF(COUNTIFS('[1]Blackout Brand Fam Areas (Enc)'!$B$6:$B$998,$A219,'[1]Blackout Brand Fam Areas (Enc)'!$C$6:$C$998,D$4,'[1]Blackout Brand Fam Areas (Enc)'!$D$6:$D$998,"Inactive")&gt;0,"BLOCKED","CAN SELL")))))</f>
        <v>CAN SELL</v>
      </c>
      <c r="E219" s="11" t="str">
        <f>IF($A219="","",_xlfn.LET(_xlpm.t,MATCH($B219,'[1]Territory Definitions'!$B$5:$B$14,0),IF(ISNA(_xlpm.t),"NO TERRITORY",IF(INDEX('[1]Territory Definitions'!$D$5:$M$14,_xlpm.t,MATCH(E$4,'[1]Territory Definitions'!$D$4:$M$4,0))&lt;&gt;1,"NOT IN TERRITORY",IF(COUNTIFS('[1]Blackout Brand Fam Areas (Enc)'!$B$6:$B$998,$A219,'[1]Blackout Brand Fam Areas (Enc)'!$C$6:$C$998,E$4,'[1]Blackout Brand Fam Areas (Enc)'!$D$6:$D$998,"Inactive")&gt;0,"BLOCKED","CAN SELL")))))</f>
        <v>CAN SELL</v>
      </c>
      <c r="F219" s="11" t="str">
        <f>IF($A219="","",_xlfn.LET(_xlpm.t,MATCH($B219,'[1]Territory Definitions'!$B$5:$B$14,0),IF(ISNA(_xlpm.t),"NO TERRITORY",IF(INDEX('[1]Territory Definitions'!$D$5:$M$14,_xlpm.t,MATCH(F$4,'[1]Territory Definitions'!$D$4:$M$4,0))&lt;&gt;1,"NOT IN TERRITORY",IF(COUNTIFS('[1]Blackout Brand Fam Areas (Enc)'!$B$6:$B$998,$A219,'[1]Blackout Brand Fam Areas (Enc)'!$C$6:$C$998,F$4,'[1]Blackout Brand Fam Areas (Enc)'!$D$6:$D$998,"Inactive")&gt;0,"BLOCKED","CAN SELL")))))</f>
        <v>CAN SELL</v>
      </c>
      <c r="G219" s="11" t="str">
        <f>IF($A219="","",_xlfn.LET(_xlpm.t,MATCH($B219,'[1]Territory Definitions'!$B$5:$B$14,0),IF(ISNA(_xlpm.t),"NO TERRITORY",IF(INDEX('[1]Territory Definitions'!$D$5:$M$14,_xlpm.t,MATCH(G$4,'[1]Territory Definitions'!$D$4:$M$4,0))&lt;&gt;1,"NOT IN TERRITORY",IF(COUNTIFS('[1]Blackout Brand Fam Areas (Enc)'!$B$6:$B$998,$A219,'[1]Blackout Brand Fam Areas (Enc)'!$C$6:$C$998,G$4,'[1]Blackout Brand Fam Areas (Enc)'!$D$6:$D$998,"Inactive")&gt;0,"BLOCKED","CAN SELL")))))</f>
        <v>CAN SELL</v>
      </c>
      <c r="H219" s="11" t="str">
        <f>IF($A219="","",_xlfn.LET(_xlpm.t,MATCH($B219,'[1]Territory Definitions'!$B$5:$B$14,0),IF(ISNA(_xlpm.t),"NO TERRITORY",IF(INDEX('[1]Territory Definitions'!$D$5:$M$14,_xlpm.t,MATCH(H$4,'[1]Territory Definitions'!$D$4:$M$4,0))&lt;&gt;1,"NOT IN TERRITORY",IF(COUNTIFS('[1]Blackout Brand Fam Areas (Enc)'!$B$6:$B$998,$A219,'[1]Blackout Brand Fam Areas (Enc)'!$C$6:$C$998,H$4,'[1]Blackout Brand Fam Areas (Enc)'!$D$6:$D$998,"Inactive")&gt;0,"BLOCKED","CAN SELL")))))</f>
        <v>CAN SELL</v>
      </c>
      <c r="I219" s="11" t="str">
        <f>IF($A219="","",_xlfn.LET(_xlpm.t,MATCH($B219,'[1]Territory Definitions'!$B$5:$B$14,0),IF(ISNA(_xlpm.t),"NO TERRITORY",IF(INDEX('[1]Territory Definitions'!$D$5:$M$14,_xlpm.t,MATCH(I$4,'[1]Territory Definitions'!$D$4:$M$4,0))&lt;&gt;1,"NOT IN TERRITORY",IF(COUNTIFS('[1]Blackout Brand Fam Areas (Enc)'!$B$6:$B$998,$A219,'[1]Blackout Brand Fam Areas (Enc)'!$C$6:$C$998,I$4,'[1]Blackout Brand Fam Areas (Enc)'!$D$6:$D$998,"Inactive")&gt;0,"BLOCKED","CAN SELL")))))</f>
        <v>CAN SELL</v>
      </c>
      <c r="J219" s="11" t="str">
        <f>IF($A219="","",_xlfn.LET(_xlpm.t,MATCH($B219,'[1]Territory Definitions'!$B$5:$B$14,0),IF(ISNA(_xlpm.t),"NO TERRITORY",IF(INDEX('[1]Territory Definitions'!$D$5:$M$14,_xlpm.t,MATCH(J$4,'[1]Territory Definitions'!$D$4:$M$4,0))&lt;&gt;1,"NOT IN TERRITORY",IF(COUNTIFS('[1]Blackout Brand Fam Areas (Enc)'!$B$6:$B$998,$A219,'[1]Blackout Brand Fam Areas (Enc)'!$C$6:$C$998,J$4,'[1]Blackout Brand Fam Areas (Enc)'!$D$6:$D$998,"Inactive")&gt;0,"BLOCKED","CAN SELL")))))</f>
        <v>CAN SELL</v>
      </c>
      <c r="K219" s="11" t="str">
        <f>IF($A219="","",_xlfn.LET(_xlpm.t,MATCH($B219,'[1]Territory Definitions'!$B$5:$B$14,0),IF(ISNA(_xlpm.t),"NO TERRITORY",IF(INDEX('[1]Territory Definitions'!$D$5:$M$14,_xlpm.t,MATCH(K$4,'[1]Territory Definitions'!$D$4:$M$4,0))&lt;&gt;1,"NOT IN TERRITORY",IF(COUNTIFS('[1]Blackout Brand Fam Areas (Enc)'!$B$6:$B$998,$A219,'[1]Blackout Brand Fam Areas (Enc)'!$C$6:$C$998,K$4,'[1]Blackout Brand Fam Areas (Enc)'!$D$6:$D$998,"Inactive")&gt;0,"BLOCKED","CAN SELL")))))</f>
        <v>CAN SELL</v>
      </c>
      <c r="L219" s="11" t="str">
        <f>IF($A219="","",_xlfn.LET(_xlpm.t,MATCH($B219,'[1]Territory Definitions'!$B$5:$B$14,0),IF(ISNA(_xlpm.t),"NO TERRITORY",IF(INDEX('[1]Territory Definitions'!$D$5:$M$14,_xlpm.t,MATCH(L$4,'[1]Territory Definitions'!$D$4:$M$4,0))&lt;&gt;1,"NOT IN TERRITORY",IF(COUNTIFS('[1]Blackout Brand Fam Areas (Enc)'!$B$6:$B$998,$A219,'[1]Blackout Brand Fam Areas (Enc)'!$C$6:$C$998,L$4,'[1]Blackout Brand Fam Areas (Enc)'!$D$6:$D$998,"Inactive")&gt;0,"BLOCKED","CAN SELL")))))</f>
        <v>CAN SELL</v>
      </c>
      <c r="M219" s="12">
        <f>IF($A219="","",COUNTIF($C219:$L219,"CAN SELL"))</f>
        <v>10</v>
      </c>
      <c r="N219" s="13" cm="1">
        <f t="array" ref="N219">IF($A219="","",SUMPRODUCT(($C219:$L219="CAN SELL")*$C$3:$L$3))</f>
        <v>2306</v>
      </c>
      <c r="O219" s="14" t="str">
        <f>IF($A219="","",IF(COUNTIF($A$5:$A$299,$A219)&gt;1,"DUPLICATE - two different territories assigned",IF($B219="** NO TERRITORY SET **","No territory on Brand Family Territory (Enc)","")))</f>
        <v/>
      </c>
      <c r="P219" s="18" t="str">
        <f>IF($A219="","",IFERROR(INDEX([1]Products!$H$4:$H$4801,MATCH($A219,[1]Products!$G$4:$G$4801,0)),"(no products)"))</f>
        <v>Pride &amp; Clarke</v>
      </c>
      <c r="Q219" s="19">
        <f>IF($A219="","",COUNTIFS([1]Products!$G$4:$G$4801,$A219,[1]Products!$L$4:$L$4801,"Yes"))</f>
        <v>6</v>
      </c>
      <c r="R219" s="19">
        <f>IF($A219="","",COUNTIFS([1]Products!$G$4:$G$4801,$A219,[1]Products!$L$4:$L$4801,"Yes",[1]Products!$K$4:$K$4801,"Draft"))</f>
        <v>0</v>
      </c>
      <c r="S219" s="19">
        <f>IF($A219="","",COUNTIFS([1]Products!$G$4:$G$4801,$A219,[1]Products!$L$4:$L$4801,"Yes",[1]Products!$K$4:$K$4801,"Package"))</f>
        <v>0</v>
      </c>
      <c r="T219" s="20" t="str" cm="1">
        <f t="array" ref="T219">IF($A219="","",_xlfn.IFS($Q219=0,"NO ACTIVE SKUs",AND($R219&gt;0,$S219&gt;0),"Draft &amp; Package",$R219&gt;0,"Draft only",TRUE,"Package only"))</f>
        <v>Package only</v>
      </c>
    </row>
    <row r="220" spans="1:20" x14ac:dyDescent="0.2">
      <c r="A220" s="9" t="str">
        <v>Quilmes</v>
      </c>
      <c r="B220" s="10" t="str">
        <f>IF($A220="","",_xlfn.XLOOKUP($A220,'[1]Brand Family Territory (Enc)'!$A:$A,'[1]Brand Family Territory (Enc)'!$B:$B,"** NO TERRITORY SET **"))</f>
        <v>All Counties</v>
      </c>
      <c r="C220" s="11" t="str">
        <f>IF($A220="","",_xlfn.LET(_xlpm.t,MATCH($B220,'[1]Territory Definitions'!$B$5:$B$14,0),IF(ISNA(_xlpm.t),"NO TERRITORY",IF(INDEX('[1]Territory Definitions'!$D$5:$M$14,_xlpm.t,MATCH(C$4,'[1]Territory Definitions'!$D$4:$M$4,0))&lt;&gt;1,"NOT IN TERRITORY",IF(COUNTIFS('[1]Blackout Brand Fam Areas (Enc)'!$B$6:$B$998,$A220,'[1]Blackout Brand Fam Areas (Enc)'!$C$6:$C$998,C$4,'[1]Blackout Brand Fam Areas (Enc)'!$D$6:$D$998,"Inactive")&gt;0,"BLOCKED","CAN SELL")))))</f>
        <v>CAN SELL</v>
      </c>
      <c r="D220" s="11" t="str">
        <f>IF($A220="","",_xlfn.LET(_xlpm.t,MATCH($B220,'[1]Territory Definitions'!$B$5:$B$14,0),IF(ISNA(_xlpm.t),"NO TERRITORY",IF(INDEX('[1]Territory Definitions'!$D$5:$M$14,_xlpm.t,MATCH(D$4,'[1]Territory Definitions'!$D$4:$M$4,0))&lt;&gt;1,"NOT IN TERRITORY",IF(COUNTIFS('[1]Blackout Brand Fam Areas (Enc)'!$B$6:$B$998,$A220,'[1]Blackout Brand Fam Areas (Enc)'!$C$6:$C$998,D$4,'[1]Blackout Brand Fam Areas (Enc)'!$D$6:$D$998,"Inactive")&gt;0,"BLOCKED","CAN SELL")))))</f>
        <v>CAN SELL</v>
      </c>
      <c r="E220" s="11" t="str">
        <f>IF($A220="","",_xlfn.LET(_xlpm.t,MATCH($B220,'[1]Territory Definitions'!$B$5:$B$14,0),IF(ISNA(_xlpm.t),"NO TERRITORY",IF(INDEX('[1]Territory Definitions'!$D$5:$M$14,_xlpm.t,MATCH(E$4,'[1]Territory Definitions'!$D$4:$M$4,0))&lt;&gt;1,"NOT IN TERRITORY",IF(COUNTIFS('[1]Blackout Brand Fam Areas (Enc)'!$B$6:$B$998,$A220,'[1]Blackout Brand Fam Areas (Enc)'!$C$6:$C$998,E$4,'[1]Blackout Brand Fam Areas (Enc)'!$D$6:$D$998,"Inactive")&gt;0,"BLOCKED","CAN SELL")))))</f>
        <v>CAN SELL</v>
      </c>
      <c r="F220" s="11" t="str">
        <f>IF($A220="","",_xlfn.LET(_xlpm.t,MATCH($B220,'[1]Territory Definitions'!$B$5:$B$14,0),IF(ISNA(_xlpm.t),"NO TERRITORY",IF(INDEX('[1]Territory Definitions'!$D$5:$M$14,_xlpm.t,MATCH(F$4,'[1]Territory Definitions'!$D$4:$M$4,0))&lt;&gt;1,"NOT IN TERRITORY",IF(COUNTIFS('[1]Blackout Brand Fam Areas (Enc)'!$B$6:$B$998,$A220,'[1]Blackout Brand Fam Areas (Enc)'!$C$6:$C$998,F$4,'[1]Blackout Brand Fam Areas (Enc)'!$D$6:$D$998,"Inactive")&gt;0,"BLOCKED","CAN SELL")))))</f>
        <v>CAN SELL</v>
      </c>
      <c r="G220" s="11" t="str">
        <f>IF($A220="","",_xlfn.LET(_xlpm.t,MATCH($B220,'[1]Territory Definitions'!$B$5:$B$14,0),IF(ISNA(_xlpm.t),"NO TERRITORY",IF(INDEX('[1]Territory Definitions'!$D$5:$M$14,_xlpm.t,MATCH(G$4,'[1]Territory Definitions'!$D$4:$M$4,0))&lt;&gt;1,"NOT IN TERRITORY",IF(COUNTIFS('[1]Blackout Brand Fam Areas (Enc)'!$B$6:$B$998,$A220,'[1]Blackout Brand Fam Areas (Enc)'!$C$6:$C$998,G$4,'[1]Blackout Brand Fam Areas (Enc)'!$D$6:$D$998,"Inactive")&gt;0,"BLOCKED","CAN SELL")))))</f>
        <v>CAN SELL</v>
      </c>
      <c r="H220" s="11" t="str">
        <f>IF($A220="","",_xlfn.LET(_xlpm.t,MATCH($B220,'[1]Territory Definitions'!$B$5:$B$14,0),IF(ISNA(_xlpm.t),"NO TERRITORY",IF(INDEX('[1]Territory Definitions'!$D$5:$M$14,_xlpm.t,MATCH(H$4,'[1]Territory Definitions'!$D$4:$M$4,0))&lt;&gt;1,"NOT IN TERRITORY",IF(COUNTIFS('[1]Blackout Brand Fam Areas (Enc)'!$B$6:$B$998,$A220,'[1]Blackout Brand Fam Areas (Enc)'!$C$6:$C$998,H$4,'[1]Blackout Brand Fam Areas (Enc)'!$D$6:$D$998,"Inactive")&gt;0,"BLOCKED","CAN SELL")))))</f>
        <v>CAN SELL</v>
      </c>
      <c r="I220" s="11" t="str">
        <f>IF($A220="","",_xlfn.LET(_xlpm.t,MATCH($B220,'[1]Territory Definitions'!$B$5:$B$14,0),IF(ISNA(_xlpm.t),"NO TERRITORY",IF(INDEX('[1]Territory Definitions'!$D$5:$M$14,_xlpm.t,MATCH(I$4,'[1]Territory Definitions'!$D$4:$M$4,0))&lt;&gt;1,"NOT IN TERRITORY",IF(COUNTIFS('[1]Blackout Brand Fam Areas (Enc)'!$B$6:$B$998,$A220,'[1]Blackout Brand Fam Areas (Enc)'!$C$6:$C$998,I$4,'[1]Blackout Brand Fam Areas (Enc)'!$D$6:$D$998,"Inactive")&gt;0,"BLOCKED","CAN SELL")))))</f>
        <v>CAN SELL</v>
      </c>
      <c r="J220" s="11" t="str">
        <f>IF($A220="","",_xlfn.LET(_xlpm.t,MATCH($B220,'[1]Territory Definitions'!$B$5:$B$14,0),IF(ISNA(_xlpm.t),"NO TERRITORY",IF(INDEX('[1]Territory Definitions'!$D$5:$M$14,_xlpm.t,MATCH(J$4,'[1]Territory Definitions'!$D$4:$M$4,0))&lt;&gt;1,"NOT IN TERRITORY",IF(COUNTIFS('[1]Blackout Brand Fam Areas (Enc)'!$B$6:$B$998,$A220,'[1]Blackout Brand Fam Areas (Enc)'!$C$6:$C$998,J$4,'[1]Blackout Brand Fam Areas (Enc)'!$D$6:$D$998,"Inactive")&gt;0,"BLOCKED","CAN SELL")))))</f>
        <v>CAN SELL</v>
      </c>
      <c r="K220" s="11" t="str">
        <f>IF($A220="","",_xlfn.LET(_xlpm.t,MATCH($B220,'[1]Territory Definitions'!$B$5:$B$14,0),IF(ISNA(_xlpm.t),"NO TERRITORY",IF(INDEX('[1]Territory Definitions'!$D$5:$M$14,_xlpm.t,MATCH(K$4,'[1]Territory Definitions'!$D$4:$M$4,0))&lt;&gt;1,"NOT IN TERRITORY",IF(COUNTIFS('[1]Blackout Brand Fam Areas (Enc)'!$B$6:$B$998,$A220,'[1]Blackout Brand Fam Areas (Enc)'!$C$6:$C$998,K$4,'[1]Blackout Brand Fam Areas (Enc)'!$D$6:$D$998,"Inactive")&gt;0,"BLOCKED","CAN SELL")))))</f>
        <v>CAN SELL</v>
      </c>
      <c r="L220" s="11" t="str">
        <f>IF($A220="","",_xlfn.LET(_xlpm.t,MATCH($B220,'[1]Territory Definitions'!$B$5:$B$14,0),IF(ISNA(_xlpm.t),"NO TERRITORY",IF(INDEX('[1]Territory Definitions'!$D$5:$M$14,_xlpm.t,MATCH(L$4,'[1]Territory Definitions'!$D$4:$M$4,0))&lt;&gt;1,"NOT IN TERRITORY",IF(COUNTIFS('[1]Blackout Brand Fam Areas (Enc)'!$B$6:$B$998,$A220,'[1]Blackout Brand Fam Areas (Enc)'!$C$6:$C$998,L$4,'[1]Blackout Brand Fam Areas (Enc)'!$D$6:$D$998,"Inactive")&gt;0,"BLOCKED","CAN SELL")))))</f>
        <v>CAN SELL</v>
      </c>
      <c r="M220" s="12">
        <f>IF($A220="","",COUNTIF($C220:$L220,"CAN SELL"))</f>
        <v>10</v>
      </c>
      <c r="N220" s="13" cm="1">
        <f t="array" ref="N220">IF($A220="","",SUMPRODUCT(($C220:$L220="CAN SELL")*$C$3:$L$3))</f>
        <v>2306</v>
      </c>
      <c r="O220" s="14" t="str">
        <f>IF($A220="","",IF(COUNTIF($A$5:$A$299,$A220)&gt;1,"DUPLICATE - two different territories assigned",IF($B220="** NO TERRITORY SET **","No territory on Brand Family Territory (Enc)","")))</f>
        <v/>
      </c>
      <c r="P220" s="18" t="str">
        <f>IF($A220="","",IFERROR(INDEX([1]Products!$H$4:$H$4801,MATCH($A220,[1]Products!$G$4:$G$4801,0)),"(no products)"))</f>
        <v>Pampa Beverages</v>
      </c>
      <c r="Q220" s="19">
        <f>IF($A220="","",COUNTIFS([1]Products!$G$4:$G$4801,$A220,[1]Products!$L$4:$L$4801,"Yes"))</f>
        <v>1</v>
      </c>
      <c r="R220" s="19">
        <f>IF($A220="","",COUNTIFS([1]Products!$G$4:$G$4801,$A220,[1]Products!$L$4:$L$4801,"Yes",[1]Products!$K$4:$K$4801,"Draft"))</f>
        <v>0</v>
      </c>
      <c r="S220" s="19">
        <f>IF($A220="","",COUNTIFS([1]Products!$G$4:$G$4801,$A220,[1]Products!$L$4:$L$4801,"Yes",[1]Products!$K$4:$K$4801,"Package"))</f>
        <v>1</v>
      </c>
      <c r="T220" s="20" t="str" cm="1">
        <f t="array" ref="T220">IF($A220="","",_xlfn.IFS($Q220=0,"NO ACTIVE SKUs",AND($R220&gt;0,$S220&gt;0),"Draft &amp; Package",$R220&gt;0,"Draft only",TRUE,"Package only"))</f>
        <v>Package only</v>
      </c>
    </row>
    <row r="221" spans="1:20" x14ac:dyDescent="0.2">
      <c r="A221" s="9" t="str">
        <v>Radeberger</v>
      </c>
      <c r="B221" s="10" t="str">
        <f>IF($A221="","",_xlfn.XLOOKUP($A221,'[1]Brand Family Territory (Enc)'!$A:$A,'[1]Brand Family Territory (Enc)'!$B:$B,"** NO TERRITORY SET **"))</f>
        <v>All Counties</v>
      </c>
      <c r="C221" s="11" t="str">
        <f>IF($A221="","",_xlfn.LET(_xlpm.t,MATCH($B221,'[1]Territory Definitions'!$B$5:$B$14,0),IF(ISNA(_xlpm.t),"NO TERRITORY",IF(INDEX('[1]Territory Definitions'!$D$5:$M$14,_xlpm.t,MATCH(C$4,'[1]Territory Definitions'!$D$4:$M$4,0))&lt;&gt;1,"NOT IN TERRITORY",IF(COUNTIFS('[1]Blackout Brand Fam Areas (Enc)'!$B$6:$B$998,$A221,'[1]Blackout Brand Fam Areas (Enc)'!$C$6:$C$998,C$4,'[1]Blackout Brand Fam Areas (Enc)'!$D$6:$D$998,"Inactive")&gt;0,"BLOCKED","CAN SELL")))))</f>
        <v>CAN SELL</v>
      </c>
      <c r="D221" s="11" t="str">
        <f>IF($A221="","",_xlfn.LET(_xlpm.t,MATCH($B221,'[1]Territory Definitions'!$B$5:$B$14,0),IF(ISNA(_xlpm.t),"NO TERRITORY",IF(INDEX('[1]Territory Definitions'!$D$5:$M$14,_xlpm.t,MATCH(D$4,'[1]Territory Definitions'!$D$4:$M$4,0))&lt;&gt;1,"NOT IN TERRITORY",IF(COUNTIFS('[1]Blackout Brand Fam Areas (Enc)'!$B$6:$B$998,$A221,'[1]Blackout Brand Fam Areas (Enc)'!$C$6:$C$998,D$4,'[1]Blackout Brand Fam Areas (Enc)'!$D$6:$D$998,"Inactive")&gt;0,"BLOCKED","CAN SELL")))))</f>
        <v>CAN SELL</v>
      </c>
      <c r="E221" s="11" t="str">
        <f>IF($A221="","",_xlfn.LET(_xlpm.t,MATCH($B221,'[1]Territory Definitions'!$B$5:$B$14,0),IF(ISNA(_xlpm.t),"NO TERRITORY",IF(INDEX('[1]Territory Definitions'!$D$5:$M$14,_xlpm.t,MATCH(E$4,'[1]Territory Definitions'!$D$4:$M$4,0))&lt;&gt;1,"NOT IN TERRITORY",IF(COUNTIFS('[1]Blackout Brand Fam Areas (Enc)'!$B$6:$B$998,$A221,'[1]Blackout Brand Fam Areas (Enc)'!$C$6:$C$998,E$4,'[1]Blackout Brand Fam Areas (Enc)'!$D$6:$D$998,"Inactive")&gt;0,"BLOCKED","CAN SELL")))))</f>
        <v>CAN SELL</v>
      </c>
      <c r="F221" s="11" t="str">
        <f>IF($A221="","",_xlfn.LET(_xlpm.t,MATCH($B221,'[1]Territory Definitions'!$B$5:$B$14,0),IF(ISNA(_xlpm.t),"NO TERRITORY",IF(INDEX('[1]Territory Definitions'!$D$5:$M$14,_xlpm.t,MATCH(F$4,'[1]Territory Definitions'!$D$4:$M$4,0))&lt;&gt;1,"NOT IN TERRITORY",IF(COUNTIFS('[1]Blackout Brand Fam Areas (Enc)'!$B$6:$B$998,$A221,'[1]Blackout Brand Fam Areas (Enc)'!$C$6:$C$998,F$4,'[1]Blackout Brand Fam Areas (Enc)'!$D$6:$D$998,"Inactive")&gt;0,"BLOCKED","CAN SELL")))))</f>
        <v>CAN SELL</v>
      </c>
      <c r="G221" s="11" t="str">
        <f>IF($A221="","",_xlfn.LET(_xlpm.t,MATCH($B221,'[1]Territory Definitions'!$B$5:$B$14,0),IF(ISNA(_xlpm.t),"NO TERRITORY",IF(INDEX('[1]Territory Definitions'!$D$5:$M$14,_xlpm.t,MATCH(G$4,'[1]Territory Definitions'!$D$4:$M$4,0))&lt;&gt;1,"NOT IN TERRITORY",IF(COUNTIFS('[1]Blackout Brand Fam Areas (Enc)'!$B$6:$B$998,$A221,'[1]Blackout Brand Fam Areas (Enc)'!$C$6:$C$998,G$4,'[1]Blackout Brand Fam Areas (Enc)'!$D$6:$D$998,"Inactive")&gt;0,"BLOCKED","CAN SELL")))))</f>
        <v>CAN SELL</v>
      </c>
      <c r="H221" s="11" t="str">
        <f>IF($A221="","",_xlfn.LET(_xlpm.t,MATCH($B221,'[1]Territory Definitions'!$B$5:$B$14,0),IF(ISNA(_xlpm.t),"NO TERRITORY",IF(INDEX('[1]Territory Definitions'!$D$5:$M$14,_xlpm.t,MATCH(H$4,'[1]Territory Definitions'!$D$4:$M$4,0))&lt;&gt;1,"NOT IN TERRITORY",IF(COUNTIFS('[1]Blackout Brand Fam Areas (Enc)'!$B$6:$B$998,$A221,'[1]Blackout Brand Fam Areas (Enc)'!$C$6:$C$998,H$4,'[1]Blackout Brand Fam Areas (Enc)'!$D$6:$D$998,"Inactive")&gt;0,"BLOCKED","CAN SELL")))))</f>
        <v>CAN SELL</v>
      </c>
      <c r="I221" s="11" t="str">
        <f>IF($A221="","",_xlfn.LET(_xlpm.t,MATCH($B221,'[1]Territory Definitions'!$B$5:$B$14,0),IF(ISNA(_xlpm.t),"NO TERRITORY",IF(INDEX('[1]Territory Definitions'!$D$5:$M$14,_xlpm.t,MATCH(I$4,'[1]Territory Definitions'!$D$4:$M$4,0))&lt;&gt;1,"NOT IN TERRITORY",IF(COUNTIFS('[1]Blackout Brand Fam Areas (Enc)'!$B$6:$B$998,$A221,'[1]Blackout Brand Fam Areas (Enc)'!$C$6:$C$998,I$4,'[1]Blackout Brand Fam Areas (Enc)'!$D$6:$D$998,"Inactive")&gt;0,"BLOCKED","CAN SELL")))))</f>
        <v>CAN SELL</v>
      </c>
      <c r="J221" s="11" t="str">
        <f>IF($A221="","",_xlfn.LET(_xlpm.t,MATCH($B221,'[1]Territory Definitions'!$B$5:$B$14,0),IF(ISNA(_xlpm.t),"NO TERRITORY",IF(INDEX('[1]Territory Definitions'!$D$5:$M$14,_xlpm.t,MATCH(J$4,'[1]Territory Definitions'!$D$4:$M$4,0))&lt;&gt;1,"NOT IN TERRITORY",IF(COUNTIFS('[1]Blackout Brand Fam Areas (Enc)'!$B$6:$B$998,$A221,'[1]Blackout Brand Fam Areas (Enc)'!$C$6:$C$998,J$4,'[1]Blackout Brand Fam Areas (Enc)'!$D$6:$D$998,"Inactive")&gt;0,"BLOCKED","CAN SELL")))))</f>
        <v>CAN SELL</v>
      </c>
      <c r="K221" s="11" t="str">
        <f>IF($A221="","",_xlfn.LET(_xlpm.t,MATCH($B221,'[1]Territory Definitions'!$B$5:$B$14,0),IF(ISNA(_xlpm.t),"NO TERRITORY",IF(INDEX('[1]Territory Definitions'!$D$5:$M$14,_xlpm.t,MATCH(K$4,'[1]Territory Definitions'!$D$4:$M$4,0))&lt;&gt;1,"NOT IN TERRITORY",IF(COUNTIFS('[1]Blackout Brand Fam Areas (Enc)'!$B$6:$B$998,$A221,'[1]Blackout Brand Fam Areas (Enc)'!$C$6:$C$998,K$4,'[1]Blackout Brand Fam Areas (Enc)'!$D$6:$D$998,"Inactive")&gt;0,"BLOCKED","CAN SELL")))))</f>
        <v>CAN SELL</v>
      </c>
      <c r="L221" s="11" t="str">
        <f>IF($A221="","",_xlfn.LET(_xlpm.t,MATCH($B221,'[1]Territory Definitions'!$B$5:$B$14,0),IF(ISNA(_xlpm.t),"NO TERRITORY",IF(INDEX('[1]Territory Definitions'!$D$5:$M$14,_xlpm.t,MATCH(L$4,'[1]Territory Definitions'!$D$4:$M$4,0))&lt;&gt;1,"NOT IN TERRITORY",IF(COUNTIFS('[1]Blackout Brand Fam Areas (Enc)'!$B$6:$B$998,$A221,'[1]Blackout Brand Fam Areas (Enc)'!$C$6:$C$998,L$4,'[1]Blackout Brand Fam Areas (Enc)'!$D$6:$D$998,"Inactive")&gt;0,"BLOCKED","CAN SELL")))))</f>
        <v>CAN SELL</v>
      </c>
      <c r="M221" s="12">
        <f>IF($A221="","",COUNTIF($C221:$L221,"CAN SELL"))</f>
        <v>10</v>
      </c>
      <c r="N221" s="13" cm="1">
        <f t="array" ref="N221">IF($A221="","",SUMPRODUCT(($C221:$L221="CAN SELL")*$C$3:$L$3))</f>
        <v>2306</v>
      </c>
      <c r="O221" s="14" t="str">
        <f>IF($A221="","",IF(COUNTIF($A$5:$A$299,$A221)&gt;1,"DUPLICATE - two different territories assigned",IF($B221="** NO TERRITORY SET **","No territory on Brand Family Territory (Enc)","")))</f>
        <v/>
      </c>
      <c r="P221" s="18" t="str">
        <f>IF($A221="","",IFERROR(INDEX([1]Products!$H$4:$H$4801,MATCH($A221,[1]Products!$G$4:$G$4801,0)),"(no products)"))</f>
        <v>Radeberger USA</v>
      </c>
      <c r="Q221" s="19">
        <f>IF($A221="","",COUNTIFS([1]Products!$G$4:$G$4801,$A221,[1]Products!$L$4:$L$4801,"Yes"))</f>
        <v>4</v>
      </c>
      <c r="R221" s="19">
        <f>IF($A221="","",COUNTIFS([1]Products!$G$4:$G$4801,$A221,[1]Products!$L$4:$L$4801,"Yes",[1]Products!$K$4:$K$4801,"Draft"))</f>
        <v>1</v>
      </c>
      <c r="S221" s="19">
        <f>IF($A221="","",COUNTIFS([1]Products!$G$4:$G$4801,$A221,[1]Products!$L$4:$L$4801,"Yes",[1]Products!$K$4:$K$4801,"Package"))</f>
        <v>3</v>
      </c>
      <c r="T221" s="20" t="str" cm="1">
        <f t="array" ref="T221">IF($A221="","",_xlfn.IFS($Q221=0,"NO ACTIVE SKUs",AND($R221&gt;0,$S221&gt;0),"Draft &amp; Package",$R221&gt;0,"Draft only",TRUE,"Package only"))</f>
        <v>Draft &amp; Package</v>
      </c>
    </row>
    <row r="222" spans="1:20" x14ac:dyDescent="0.2">
      <c r="A222" s="9" t="str">
        <v>Red Bull</v>
      </c>
      <c r="B222" s="10" t="str">
        <f>IF($A222="","",_xlfn.XLOOKUP($A222,'[1]Brand Family Territory (Enc)'!$A:$A,'[1]Brand Family Territory (Enc)'!$B:$B,"** NO TERRITORY SET **"))</f>
        <v>Core Market</v>
      </c>
      <c r="C222" s="11" t="str">
        <f>IF($A222="","",_xlfn.LET(_xlpm.t,MATCH($B222,'[1]Territory Definitions'!$B$5:$B$14,0),IF(ISNA(_xlpm.t),"NO TERRITORY",IF(INDEX('[1]Territory Definitions'!$D$5:$M$14,_xlpm.t,MATCH(C$4,'[1]Territory Definitions'!$D$4:$M$4,0))&lt;&gt;1,"NOT IN TERRITORY",IF(COUNTIFS('[1]Blackout Brand Fam Areas (Enc)'!$B$6:$B$998,$A222,'[1]Blackout Brand Fam Areas (Enc)'!$C$6:$C$998,C$4,'[1]Blackout Brand Fam Areas (Enc)'!$D$6:$D$998,"Inactive")&gt;0,"BLOCKED","CAN SELL")))))</f>
        <v>CAN SELL</v>
      </c>
      <c r="D222" s="11" t="str">
        <f>IF($A222="","",_xlfn.LET(_xlpm.t,MATCH($B222,'[1]Territory Definitions'!$B$5:$B$14,0),IF(ISNA(_xlpm.t),"NO TERRITORY",IF(INDEX('[1]Territory Definitions'!$D$5:$M$14,_xlpm.t,MATCH(D$4,'[1]Territory Definitions'!$D$4:$M$4,0))&lt;&gt;1,"NOT IN TERRITORY",IF(COUNTIFS('[1]Blackout Brand Fam Areas (Enc)'!$B$6:$B$998,$A222,'[1]Blackout Brand Fam Areas (Enc)'!$C$6:$C$998,D$4,'[1]Blackout Brand Fam Areas (Enc)'!$D$6:$D$998,"Inactive")&gt;0,"BLOCKED","CAN SELL")))))</f>
        <v>CAN SELL</v>
      </c>
      <c r="E222" s="11" t="str">
        <f>IF($A222="","",_xlfn.LET(_xlpm.t,MATCH($B222,'[1]Territory Definitions'!$B$5:$B$14,0),IF(ISNA(_xlpm.t),"NO TERRITORY",IF(INDEX('[1]Territory Definitions'!$D$5:$M$14,_xlpm.t,MATCH(E$4,'[1]Territory Definitions'!$D$4:$M$4,0))&lt;&gt;1,"NOT IN TERRITORY",IF(COUNTIFS('[1]Blackout Brand Fam Areas (Enc)'!$B$6:$B$998,$A222,'[1]Blackout Brand Fam Areas (Enc)'!$C$6:$C$998,E$4,'[1]Blackout Brand Fam Areas (Enc)'!$D$6:$D$998,"Inactive")&gt;0,"BLOCKED","CAN SELL")))))</f>
        <v>CAN SELL</v>
      </c>
      <c r="F222" s="11" t="str">
        <f>IF($A222="","",_xlfn.LET(_xlpm.t,MATCH($B222,'[1]Territory Definitions'!$B$5:$B$14,0),IF(ISNA(_xlpm.t),"NO TERRITORY",IF(INDEX('[1]Territory Definitions'!$D$5:$M$14,_xlpm.t,MATCH(F$4,'[1]Territory Definitions'!$D$4:$M$4,0))&lt;&gt;1,"NOT IN TERRITORY",IF(COUNTIFS('[1]Blackout Brand Fam Areas (Enc)'!$B$6:$B$998,$A222,'[1]Blackout Brand Fam Areas (Enc)'!$C$6:$C$998,F$4,'[1]Blackout Brand Fam Areas (Enc)'!$D$6:$D$998,"Inactive")&gt;0,"BLOCKED","CAN SELL")))))</f>
        <v>NOT IN TERRITORY</v>
      </c>
      <c r="G222" s="11" t="str">
        <f>IF($A222="","",_xlfn.LET(_xlpm.t,MATCH($B222,'[1]Territory Definitions'!$B$5:$B$14,0),IF(ISNA(_xlpm.t),"NO TERRITORY",IF(INDEX('[1]Territory Definitions'!$D$5:$M$14,_xlpm.t,MATCH(G$4,'[1]Territory Definitions'!$D$4:$M$4,0))&lt;&gt;1,"NOT IN TERRITORY",IF(COUNTIFS('[1]Blackout Brand Fam Areas (Enc)'!$B$6:$B$998,$A222,'[1]Blackout Brand Fam Areas (Enc)'!$C$6:$C$998,G$4,'[1]Blackout Brand Fam Areas (Enc)'!$D$6:$D$998,"Inactive")&gt;0,"BLOCKED","CAN SELL")))))</f>
        <v>NOT IN TERRITORY</v>
      </c>
      <c r="H222" s="11" t="str">
        <f>IF($A222="","",_xlfn.LET(_xlpm.t,MATCH($B222,'[1]Territory Definitions'!$B$5:$B$14,0),IF(ISNA(_xlpm.t),"NO TERRITORY",IF(INDEX('[1]Territory Definitions'!$D$5:$M$14,_xlpm.t,MATCH(H$4,'[1]Territory Definitions'!$D$4:$M$4,0))&lt;&gt;1,"NOT IN TERRITORY",IF(COUNTIFS('[1]Blackout Brand Fam Areas (Enc)'!$B$6:$B$998,$A222,'[1]Blackout Brand Fam Areas (Enc)'!$C$6:$C$998,H$4,'[1]Blackout Brand Fam Areas (Enc)'!$D$6:$D$998,"Inactive")&gt;0,"BLOCKED","CAN SELL")))))</f>
        <v>NOT IN TERRITORY</v>
      </c>
      <c r="I222" s="11" t="str">
        <f>IF($A222="","",_xlfn.LET(_xlpm.t,MATCH($B222,'[1]Territory Definitions'!$B$5:$B$14,0),IF(ISNA(_xlpm.t),"NO TERRITORY",IF(INDEX('[1]Territory Definitions'!$D$5:$M$14,_xlpm.t,MATCH(I$4,'[1]Territory Definitions'!$D$4:$M$4,0))&lt;&gt;1,"NOT IN TERRITORY",IF(COUNTIFS('[1]Blackout Brand Fam Areas (Enc)'!$B$6:$B$998,$A222,'[1]Blackout Brand Fam Areas (Enc)'!$C$6:$C$998,I$4,'[1]Blackout Brand Fam Areas (Enc)'!$D$6:$D$998,"Inactive")&gt;0,"BLOCKED","CAN SELL")))))</f>
        <v>CAN SELL</v>
      </c>
      <c r="J222" s="11" t="str">
        <f>IF($A222="","",_xlfn.LET(_xlpm.t,MATCH($B222,'[1]Territory Definitions'!$B$5:$B$14,0),IF(ISNA(_xlpm.t),"NO TERRITORY",IF(INDEX('[1]Territory Definitions'!$D$5:$M$14,_xlpm.t,MATCH(J$4,'[1]Territory Definitions'!$D$4:$M$4,0))&lt;&gt;1,"NOT IN TERRITORY",IF(COUNTIFS('[1]Blackout Brand Fam Areas (Enc)'!$B$6:$B$998,$A222,'[1]Blackout Brand Fam Areas (Enc)'!$C$6:$C$998,J$4,'[1]Blackout Brand Fam Areas (Enc)'!$D$6:$D$998,"Inactive")&gt;0,"BLOCKED","CAN SELL")))))</f>
        <v>CAN SELL</v>
      </c>
      <c r="K222" s="11" t="str">
        <f>IF($A222="","",_xlfn.LET(_xlpm.t,MATCH($B222,'[1]Territory Definitions'!$B$5:$B$14,0),IF(ISNA(_xlpm.t),"NO TERRITORY",IF(INDEX('[1]Territory Definitions'!$D$5:$M$14,_xlpm.t,MATCH(K$4,'[1]Territory Definitions'!$D$4:$M$4,0))&lt;&gt;1,"NOT IN TERRITORY",IF(COUNTIFS('[1]Blackout Brand Fam Areas (Enc)'!$B$6:$B$998,$A222,'[1]Blackout Brand Fam Areas (Enc)'!$C$6:$C$998,K$4,'[1]Blackout Brand Fam Areas (Enc)'!$D$6:$D$998,"Inactive")&gt;0,"BLOCKED","CAN SELL")))))</f>
        <v>NOT IN TERRITORY</v>
      </c>
      <c r="L222" s="11" t="str">
        <f>IF($A222="","",_xlfn.LET(_xlpm.t,MATCH($B222,'[1]Territory Definitions'!$B$5:$B$14,0),IF(ISNA(_xlpm.t),"NO TERRITORY",IF(INDEX('[1]Territory Definitions'!$D$5:$M$14,_xlpm.t,MATCH(L$4,'[1]Territory Definitions'!$D$4:$M$4,0))&lt;&gt;1,"NOT IN TERRITORY",IF(COUNTIFS('[1]Blackout Brand Fam Areas (Enc)'!$B$6:$B$998,$A222,'[1]Blackout Brand Fam Areas (Enc)'!$C$6:$C$998,L$4,'[1]Blackout Brand Fam Areas (Enc)'!$D$6:$D$998,"Inactive")&gt;0,"BLOCKED","CAN SELL")))))</f>
        <v>CAN SELL</v>
      </c>
      <c r="M222" s="12">
        <f>IF($A222="","",COUNTIF($C222:$L222,"CAN SELL"))</f>
        <v>6</v>
      </c>
      <c r="N222" s="13" cm="1">
        <f t="array" ref="N222">IF($A222="","",SUMPRODUCT(($C222:$L222="CAN SELL")*$C$3:$L$3))</f>
        <v>1596</v>
      </c>
      <c r="O222" s="14" t="str">
        <f>IF($A222="","",IF(COUNTIF($A$5:$A$299,$A222)&gt;1,"DUPLICATE - two different territories assigned",IF($B222="** NO TERRITORY SET **","No territory on Brand Family Territory (Enc)","")))</f>
        <v/>
      </c>
      <c r="P222" s="18" t="str">
        <f>IF($A222="","",IFERROR(INDEX([1]Products!$H$4:$H$4801,MATCH($A222,[1]Products!$G$4:$G$4801,0)),"(no products)"))</f>
        <v>Red Bull</v>
      </c>
      <c r="Q222" s="19">
        <f>IF($A222="","",COUNTIFS([1]Products!$G$4:$G$4801,$A222,[1]Products!$L$4:$L$4801,"Yes"))</f>
        <v>10</v>
      </c>
      <c r="R222" s="19">
        <f>IF($A222="","",COUNTIFS([1]Products!$G$4:$G$4801,$A222,[1]Products!$L$4:$L$4801,"Yes",[1]Products!$K$4:$K$4801,"Draft"))</f>
        <v>0</v>
      </c>
      <c r="S222" s="19">
        <f>IF($A222="","",COUNTIFS([1]Products!$G$4:$G$4801,$A222,[1]Products!$L$4:$L$4801,"Yes",[1]Products!$K$4:$K$4801,"Package"))</f>
        <v>0</v>
      </c>
      <c r="T222" s="20" t="str" cm="1">
        <f t="array" ref="T222">IF($A222="","",_xlfn.IFS($Q222=0,"NO ACTIVE SKUs",AND($R222&gt;0,$S222&gt;0),"Draft &amp; Package",$R222&gt;0,"Draft only",TRUE,"Package only"))</f>
        <v>Package only</v>
      </c>
    </row>
    <row r="223" spans="1:20" x14ac:dyDescent="0.2">
      <c r="A223" s="9" t="str">
        <v>Red Stripe</v>
      </c>
      <c r="B223" s="10" t="str">
        <f>IF($A223="","",_xlfn.XLOOKUP($A223,'[1]Brand Family Territory (Enc)'!$A:$A,'[1]Brand Family Territory (Enc)'!$B:$B,"** NO TERRITORY SET **"))</f>
        <v>Core + Morris Communities</v>
      </c>
      <c r="C223" s="11" t="str">
        <f>IF($A223="","",_xlfn.LET(_xlpm.t,MATCH($B223,'[1]Territory Definitions'!$B$5:$B$14,0),IF(ISNA(_xlpm.t),"NO TERRITORY",IF(INDEX('[1]Territory Definitions'!$D$5:$M$14,_xlpm.t,MATCH(C$4,'[1]Territory Definitions'!$D$4:$M$4,0))&lt;&gt;1,"NOT IN TERRITORY",IF(COUNTIFS('[1]Blackout Brand Fam Areas (Enc)'!$B$6:$B$998,$A223,'[1]Blackout Brand Fam Areas (Enc)'!$C$6:$C$998,C$4,'[1]Blackout Brand Fam Areas (Enc)'!$D$6:$D$998,"Inactive")&gt;0,"BLOCKED","CAN SELL")))))</f>
        <v>CAN SELL</v>
      </c>
      <c r="D223" s="11" t="str">
        <f>IF($A223="","",_xlfn.LET(_xlpm.t,MATCH($B223,'[1]Territory Definitions'!$B$5:$B$14,0),IF(ISNA(_xlpm.t),"NO TERRITORY",IF(INDEX('[1]Territory Definitions'!$D$5:$M$14,_xlpm.t,MATCH(D$4,'[1]Territory Definitions'!$D$4:$M$4,0))&lt;&gt;1,"NOT IN TERRITORY",IF(COUNTIFS('[1]Blackout Brand Fam Areas (Enc)'!$B$6:$B$998,$A223,'[1]Blackout Brand Fam Areas (Enc)'!$C$6:$C$998,D$4,'[1]Blackout Brand Fam Areas (Enc)'!$D$6:$D$998,"Inactive")&gt;0,"BLOCKED","CAN SELL")))))</f>
        <v>CAN SELL</v>
      </c>
      <c r="E223" s="11" t="str">
        <f>IF($A223="","",_xlfn.LET(_xlpm.t,MATCH($B223,'[1]Territory Definitions'!$B$5:$B$14,0),IF(ISNA(_xlpm.t),"NO TERRITORY",IF(INDEX('[1]Territory Definitions'!$D$5:$M$14,_xlpm.t,MATCH(E$4,'[1]Territory Definitions'!$D$4:$M$4,0))&lt;&gt;1,"NOT IN TERRITORY",IF(COUNTIFS('[1]Blackout Brand Fam Areas (Enc)'!$B$6:$B$998,$A223,'[1]Blackout Brand Fam Areas (Enc)'!$C$6:$C$998,E$4,'[1]Blackout Brand Fam Areas (Enc)'!$D$6:$D$998,"Inactive")&gt;0,"BLOCKED","CAN SELL")))))</f>
        <v>CAN SELL</v>
      </c>
      <c r="F223" s="11" t="str">
        <f>IF($A223="","",_xlfn.LET(_xlpm.t,MATCH($B223,'[1]Territory Definitions'!$B$5:$B$14,0),IF(ISNA(_xlpm.t),"NO TERRITORY",IF(INDEX('[1]Territory Definitions'!$D$5:$M$14,_xlpm.t,MATCH(F$4,'[1]Territory Definitions'!$D$4:$M$4,0))&lt;&gt;1,"NOT IN TERRITORY",IF(COUNTIFS('[1]Blackout Brand Fam Areas (Enc)'!$B$6:$B$998,$A223,'[1]Blackout Brand Fam Areas (Enc)'!$C$6:$C$998,F$4,'[1]Blackout Brand Fam Areas (Enc)'!$D$6:$D$998,"Inactive")&gt;0,"BLOCKED","CAN SELL")))))</f>
        <v>NOT IN TERRITORY</v>
      </c>
      <c r="G223" s="11" t="str">
        <f>IF($A223="","",_xlfn.LET(_xlpm.t,MATCH($B223,'[1]Territory Definitions'!$B$5:$B$14,0),IF(ISNA(_xlpm.t),"NO TERRITORY",IF(INDEX('[1]Territory Definitions'!$D$5:$M$14,_xlpm.t,MATCH(G$4,'[1]Territory Definitions'!$D$4:$M$4,0))&lt;&gt;1,"NOT IN TERRITORY",IF(COUNTIFS('[1]Blackout Brand Fam Areas (Enc)'!$B$6:$B$998,$A223,'[1]Blackout Brand Fam Areas (Enc)'!$C$6:$C$998,G$4,'[1]Blackout Brand Fam Areas (Enc)'!$D$6:$D$998,"Inactive")&gt;0,"BLOCKED","CAN SELL")))))</f>
        <v>NOT IN TERRITORY</v>
      </c>
      <c r="H223" s="11" t="str">
        <f>IF($A223="","",_xlfn.LET(_xlpm.t,MATCH($B223,'[1]Territory Definitions'!$B$5:$B$14,0),IF(ISNA(_xlpm.t),"NO TERRITORY",IF(INDEX('[1]Territory Definitions'!$D$5:$M$14,_xlpm.t,MATCH(H$4,'[1]Territory Definitions'!$D$4:$M$4,0))&lt;&gt;1,"NOT IN TERRITORY",IF(COUNTIFS('[1]Blackout Brand Fam Areas (Enc)'!$B$6:$B$998,$A223,'[1]Blackout Brand Fam Areas (Enc)'!$C$6:$C$998,H$4,'[1]Blackout Brand Fam Areas (Enc)'!$D$6:$D$998,"Inactive")&gt;0,"BLOCKED","CAN SELL")))))</f>
        <v>NOT IN TERRITORY</v>
      </c>
      <c r="I223" s="11" t="str">
        <f>IF($A223="","",_xlfn.LET(_xlpm.t,MATCH($B223,'[1]Territory Definitions'!$B$5:$B$14,0),IF(ISNA(_xlpm.t),"NO TERRITORY",IF(INDEX('[1]Territory Definitions'!$D$5:$M$14,_xlpm.t,MATCH(I$4,'[1]Territory Definitions'!$D$4:$M$4,0))&lt;&gt;1,"NOT IN TERRITORY",IF(COUNTIFS('[1]Blackout Brand Fam Areas (Enc)'!$B$6:$B$998,$A223,'[1]Blackout Brand Fam Areas (Enc)'!$C$6:$C$998,I$4,'[1]Blackout Brand Fam Areas (Enc)'!$D$6:$D$998,"Inactive")&gt;0,"BLOCKED","CAN SELL")))))</f>
        <v>NOT IN TERRITORY</v>
      </c>
      <c r="J223" s="11" t="str">
        <f>IF($A223="","",_xlfn.LET(_xlpm.t,MATCH($B223,'[1]Territory Definitions'!$B$5:$B$14,0),IF(ISNA(_xlpm.t),"NO TERRITORY",IF(INDEX('[1]Territory Definitions'!$D$5:$M$14,_xlpm.t,MATCH(J$4,'[1]Territory Definitions'!$D$4:$M$4,0))&lt;&gt;1,"NOT IN TERRITORY",IF(COUNTIFS('[1]Blackout Brand Fam Areas (Enc)'!$B$6:$B$998,$A223,'[1]Blackout Brand Fam Areas (Enc)'!$C$6:$C$998,J$4,'[1]Blackout Brand Fam Areas (Enc)'!$D$6:$D$998,"Inactive")&gt;0,"BLOCKED","CAN SELL")))))</f>
        <v>BLOCKED</v>
      </c>
      <c r="K223" s="11" t="str">
        <f>IF($A223="","",_xlfn.LET(_xlpm.t,MATCH($B223,'[1]Territory Definitions'!$B$5:$B$14,0),IF(ISNA(_xlpm.t),"NO TERRITORY",IF(INDEX('[1]Territory Definitions'!$D$5:$M$14,_xlpm.t,MATCH(K$4,'[1]Territory Definitions'!$D$4:$M$4,0))&lt;&gt;1,"NOT IN TERRITORY",IF(COUNTIFS('[1]Blackout Brand Fam Areas (Enc)'!$B$6:$B$998,$A223,'[1]Blackout Brand Fam Areas (Enc)'!$C$6:$C$998,K$4,'[1]Blackout Brand Fam Areas (Enc)'!$D$6:$D$998,"Inactive")&gt;0,"BLOCKED","CAN SELL")))))</f>
        <v>NOT IN TERRITORY</v>
      </c>
      <c r="L223" s="11" t="str">
        <f>IF($A223="","",_xlfn.LET(_xlpm.t,MATCH($B223,'[1]Territory Definitions'!$B$5:$B$14,0),IF(ISNA(_xlpm.t),"NO TERRITORY",IF(INDEX('[1]Territory Definitions'!$D$5:$M$14,_xlpm.t,MATCH(L$4,'[1]Territory Definitions'!$D$4:$M$4,0))&lt;&gt;1,"NOT IN TERRITORY",IF(COUNTIFS('[1]Blackout Brand Fam Areas (Enc)'!$B$6:$B$998,$A223,'[1]Blackout Brand Fam Areas (Enc)'!$C$6:$C$998,L$4,'[1]Blackout Brand Fam Areas (Enc)'!$D$6:$D$998,"Inactive")&gt;0,"BLOCKED","CAN SELL")))))</f>
        <v>CAN SELL</v>
      </c>
      <c r="M223" s="12">
        <f>IF($A223="","",COUNTIF($C223:$L223,"CAN SELL"))</f>
        <v>4</v>
      </c>
      <c r="N223" s="13" cm="1">
        <f t="array" ref="N223">IF($A223="","",SUMPRODUCT(($C223:$L223="CAN SELL")*$C$3:$L$3))</f>
        <v>1318</v>
      </c>
      <c r="O223" s="14" t="str">
        <f>IF($A223="","",IF(COUNTIF($A$5:$A$299,$A223)&gt;1,"DUPLICATE - two different territories assigned",IF($B223="** NO TERRITORY SET **","No territory on Brand Family Territory (Enc)","")))</f>
        <v/>
      </c>
      <c r="P223" s="18" t="str">
        <f>IF($A223="","",IFERROR(INDEX([1]Products!$H$4:$H$4801,MATCH($A223,[1]Products!$G$4:$G$4801,0)),"(no products)"))</f>
        <v>Heineken USA</v>
      </c>
      <c r="Q223" s="19">
        <f>IF($A223="","",COUNTIFS([1]Products!$G$4:$G$4801,$A223,[1]Products!$L$4:$L$4801,"Yes"))</f>
        <v>4</v>
      </c>
      <c r="R223" s="19">
        <f>IF($A223="","",COUNTIFS([1]Products!$G$4:$G$4801,$A223,[1]Products!$L$4:$L$4801,"Yes",[1]Products!$K$4:$K$4801,"Draft"))</f>
        <v>1</v>
      </c>
      <c r="S223" s="19">
        <f>IF($A223="","",COUNTIFS([1]Products!$G$4:$G$4801,$A223,[1]Products!$L$4:$L$4801,"Yes",[1]Products!$K$4:$K$4801,"Package"))</f>
        <v>3</v>
      </c>
      <c r="T223" s="20" t="str" cm="1">
        <f t="array" ref="T223">IF($A223="","",_xlfn.IFS($Q223=0,"NO ACTIVE SKUs",AND($R223&gt;0,$S223&gt;0),"Draft &amp; Package",$R223&gt;0,"Draft only",TRUE,"Package only"))</f>
        <v>Draft &amp; Package</v>
      </c>
    </row>
    <row r="224" spans="1:20" x14ac:dyDescent="0.2">
      <c r="A224" s="9" t="str">
        <v>Redd's</v>
      </c>
      <c r="B224" s="10" t="str">
        <f>IF($A224="","",_xlfn.XLOOKUP($A224,'[1]Brand Family Territory (Enc)'!$A:$A,'[1]Brand Family Territory (Enc)'!$B:$B,"** NO TERRITORY SET **"))</f>
        <v>Core Market</v>
      </c>
      <c r="C224" s="11" t="str">
        <f>IF($A224="","",_xlfn.LET(_xlpm.t,MATCH($B224,'[1]Territory Definitions'!$B$5:$B$14,0),IF(ISNA(_xlpm.t),"NO TERRITORY",IF(INDEX('[1]Territory Definitions'!$D$5:$M$14,_xlpm.t,MATCH(C$4,'[1]Territory Definitions'!$D$4:$M$4,0))&lt;&gt;1,"NOT IN TERRITORY",IF(COUNTIFS('[1]Blackout Brand Fam Areas (Enc)'!$B$6:$B$998,$A224,'[1]Blackout Brand Fam Areas (Enc)'!$C$6:$C$998,C$4,'[1]Blackout Brand Fam Areas (Enc)'!$D$6:$D$998,"Inactive")&gt;0,"BLOCKED","CAN SELL")))))</f>
        <v>CAN SELL</v>
      </c>
      <c r="D224" s="11" t="str">
        <f>IF($A224="","",_xlfn.LET(_xlpm.t,MATCH($B224,'[1]Territory Definitions'!$B$5:$B$14,0),IF(ISNA(_xlpm.t),"NO TERRITORY",IF(INDEX('[1]Territory Definitions'!$D$5:$M$14,_xlpm.t,MATCH(D$4,'[1]Territory Definitions'!$D$4:$M$4,0))&lt;&gt;1,"NOT IN TERRITORY",IF(COUNTIFS('[1]Blackout Brand Fam Areas (Enc)'!$B$6:$B$998,$A224,'[1]Blackout Brand Fam Areas (Enc)'!$C$6:$C$998,D$4,'[1]Blackout Brand Fam Areas (Enc)'!$D$6:$D$998,"Inactive")&gt;0,"BLOCKED","CAN SELL")))))</f>
        <v>CAN SELL</v>
      </c>
      <c r="E224" s="11" t="str">
        <f>IF($A224="","",_xlfn.LET(_xlpm.t,MATCH($B224,'[1]Territory Definitions'!$B$5:$B$14,0),IF(ISNA(_xlpm.t),"NO TERRITORY",IF(INDEX('[1]Territory Definitions'!$D$5:$M$14,_xlpm.t,MATCH(E$4,'[1]Territory Definitions'!$D$4:$M$4,0))&lt;&gt;1,"NOT IN TERRITORY",IF(COUNTIFS('[1]Blackout Brand Fam Areas (Enc)'!$B$6:$B$998,$A224,'[1]Blackout Brand Fam Areas (Enc)'!$C$6:$C$998,E$4,'[1]Blackout Brand Fam Areas (Enc)'!$D$6:$D$998,"Inactive")&gt;0,"BLOCKED","CAN SELL")))))</f>
        <v>CAN SELL</v>
      </c>
      <c r="F224" s="11" t="str">
        <f>IF($A224="","",_xlfn.LET(_xlpm.t,MATCH($B224,'[1]Territory Definitions'!$B$5:$B$14,0),IF(ISNA(_xlpm.t),"NO TERRITORY",IF(INDEX('[1]Territory Definitions'!$D$5:$M$14,_xlpm.t,MATCH(F$4,'[1]Territory Definitions'!$D$4:$M$4,0))&lt;&gt;1,"NOT IN TERRITORY",IF(COUNTIFS('[1]Blackout Brand Fam Areas (Enc)'!$B$6:$B$998,$A224,'[1]Blackout Brand Fam Areas (Enc)'!$C$6:$C$998,F$4,'[1]Blackout Brand Fam Areas (Enc)'!$D$6:$D$998,"Inactive")&gt;0,"BLOCKED","CAN SELL")))))</f>
        <v>NOT IN TERRITORY</v>
      </c>
      <c r="G224" s="11" t="str">
        <f>IF($A224="","",_xlfn.LET(_xlpm.t,MATCH($B224,'[1]Territory Definitions'!$B$5:$B$14,0),IF(ISNA(_xlpm.t),"NO TERRITORY",IF(INDEX('[1]Territory Definitions'!$D$5:$M$14,_xlpm.t,MATCH(G$4,'[1]Territory Definitions'!$D$4:$M$4,0))&lt;&gt;1,"NOT IN TERRITORY",IF(COUNTIFS('[1]Blackout Brand Fam Areas (Enc)'!$B$6:$B$998,$A224,'[1]Blackout Brand Fam Areas (Enc)'!$C$6:$C$998,G$4,'[1]Blackout Brand Fam Areas (Enc)'!$D$6:$D$998,"Inactive")&gt;0,"BLOCKED","CAN SELL")))))</f>
        <v>NOT IN TERRITORY</v>
      </c>
      <c r="H224" s="11" t="str">
        <f>IF($A224="","",_xlfn.LET(_xlpm.t,MATCH($B224,'[1]Territory Definitions'!$B$5:$B$14,0),IF(ISNA(_xlpm.t),"NO TERRITORY",IF(INDEX('[1]Territory Definitions'!$D$5:$M$14,_xlpm.t,MATCH(H$4,'[1]Territory Definitions'!$D$4:$M$4,0))&lt;&gt;1,"NOT IN TERRITORY",IF(COUNTIFS('[1]Blackout Brand Fam Areas (Enc)'!$B$6:$B$998,$A224,'[1]Blackout Brand Fam Areas (Enc)'!$C$6:$C$998,H$4,'[1]Blackout Brand Fam Areas (Enc)'!$D$6:$D$998,"Inactive")&gt;0,"BLOCKED","CAN SELL")))))</f>
        <v>NOT IN TERRITORY</v>
      </c>
      <c r="I224" s="11" t="str">
        <f>IF($A224="","",_xlfn.LET(_xlpm.t,MATCH($B224,'[1]Territory Definitions'!$B$5:$B$14,0),IF(ISNA(_xlpm.t),"NO TERRITORY",IF(INDEX('[1]Territory Definitions'!$D$5:$M$14,_xlpm.t,MATCH(I$4,'[1]Territory Definitions'!$D$4:$M$4,0))&lt;&gt;1,"NOT IN TERRITORY",IF(COUNTIFS('[1]Blackout Brand Fam Areas (Enc)'!$B$6:$B$998,$A224,'[1]Blackout Brand Fam Areas (Enc)'!$C$6:$C$998,I$4,'[1]Blackout Brand Fam Areas (Enc)'!$D$6:$D$998,"Inactive")&gt;0,"BLOCKED","CAN SELL")))))</f>
        <v>CAN SELL</v>
      </c>
      <c r="J224" s="11" t="str">
        <f>IF($A224="","",_xlfn.LET(_xlpm.t,MATCH($B224,'[1]Territory Definitions'!$B$5:$B$14,0),IF(ISNA(_xlpm.t),"NO TERRITORY",IF(INDEX('[1]Territory Definitions'!$D$5:$M$14,_xlpm.t,MATCH(J$4,'[1]Territory Definitions'!$D$4:$M$4,0))&lt;&gt;1,"NOT IN TERRITORY",IF(COUNTIFS('[1]Blackout Brand Fam Areas (Enc)'!$B$6:$B$998,$A224,'[1]Blackout Brand Fam Areas (Enc)'!$C$6:$C$998,J$4,'[1]Blackout Brand Fam Areas (Enc)'!$D$6:$D$998,"Inactive")&gt;0,"BLOCKED","CAN SELL")))))</f>
        <v>CAN SELL</v>
      </c>
      <c r="K224" s="11" t="str">
        <f>IF($A224="","",_xlfn.LET(_xlpm.t,MATCH($B224,'[1]Territory Definitions'!$B$5:$B$14,0),IF(ISNA(_xlpm.t),"NO TERRITORY",IF(INDEX('[1]Territory Definitions'!$D$5:$M$14,_xlpm.t,MATCH(K$4,'[1]Territory Definitions'!$D$4:$M$4,0))&lt;&gt;1,"NOT IN TERRITORY",IF(COUNTIFS('[1]Blackout Brand Fam Areas (Enc)'!$B$6:$B$998,$A224,'[1]Blackout Brand Fam Areas (Enc)'!$C$6:$C$998,K$4,'[1]Blackout Brand Fam Areas (Enc)'!$D$6:$D$998,"Inactive")&gt;0,"BLOCKED","CAN SELL")))))</f>
        <v>NOT IN TERRITORY</v>
      </c>
      <c r="L224" s="11" t="str">
        <f>IF($A224="","",_xlfn.LET(_xlpm.t,MATCH($B224,'[1]Territory Definitions'!$B$5:$B$14,0),IF(ISNA(_xlpm.t),"NO TERRITORY",IF(INDEX('[1]Territory Definitions'!$D$5:$M$14,_xlpm.t,MATCH(L$4,'[1]Territory Definitions'!$D$4:$M$4,0))&lt;&gt;1,"NOT IN TERRITORY",IF(COUNTIFS('[1]Blackout Brand Fam Areas (Enc)'!$B$6:$B$998,$A224,'[1]Blackout Brand Fam Areas (Enc)'!$C$6:$C$998,L$4,'[1]Blackout Brand Fam Areas (Enc)'!$D$6:$D$998,"Inactive")&gt;0,"BLOCKED","CAN SELL")))))</f>
        <v>CAN SELL</v>
      </c>
      <c r="M224" s="12">
        <f>IF($A224="","",COUNTIF($C224:$L224,"CAN SELL"))</f>
        <v>6</v>
      </c>
      <c r="N224" s="13" cm="1">
        <f t="array" ref="N224">IF($A224="","",SUMPRODUCT(($C224:$L224="CAN SELL")*$C$3:$L$3))</f>
        <v>1596</v>
      </c>
      <c r="O224" s="14" t="str">
        <f>IF($A224="","",IF(COUNTIF($A$5:$A$299,$A224)&gt;1,"DUPLICATE - two different territories assigned",IF($B224="** NO TERRITORY SET **","No territory on Brand Family Territory (Enc)","")))</f>
        <v/>
      </c>
      <c r="P224" s="18" t="str">
        <f>IF($A224="","",IFERROR(INDEX([1]Products!$H$4:$H$4801,MATCH($A224,[1]Products!$G$4:$G$4801,0)),"(no products)"))</f>
        <v>MolsonCoors Beverage Company</v>
      </c>
      <c r="Q224" s="19">
        <f>IF($A224="","",COUNTIFS([1]Products!$G$4:$G$4801,$A224,[1]Products!$L$4:$L$4801,"Yes"))</f>
        <v>2</v>
      </c>
      <c r="R224" s="19">
        <f>IF($A224="","",COUNTIFS([1]Products!$G$4:$G$4801,$A224,[1]Products!$L$4:$L$4801,"Yes",[1]Products!$K$4:$K$4801,"Draft"))</f>
        <v>0</v>
      </c>
      <c r="S224" s="19">
        <f>IF($A224="","",COUNTIFS([1]Products!$G$4:$G$4801,$A224,[1]Products!$L$4:$L$4801,"Yes",[1]Products!$K$4:$K$4801,"Package"))</f>
        <v>2</v>
      </c>
      <c r="T224" s="20" t="str" cm="1">
        <f t="array" ref="T224">IF($A224="","",_xlfn.IFS($Q224=0,"NO ACTIVE SKUs",AND($R224&gt;0,$S224&gt;0),"Draft &amp; Package",$R224&gt;0,"Draft only",TRUE,"Package only"))</f>
        <v>Package only</v>
      </c>
    </row>
    <row r="225" spans="1:20" x14ac:dyDescent="0.2">
      <c r="A225" s="9" t="str">
        <v>Redd's Wicked</v>
      </c>
      <c r="B225" s="10" t="str">
        <f>IF($A225="","",_xlfn.XLOOKUP($A225,'[1]Brand Family Territory (Enc)'!$A:$A,'[1]Brand Family Territory (Enc)'!$B:$B,"** NO TERRITORY SET **"))</f>
        <v>Core Market</v>
      </c>
      <c r="C225" s="11" t="str">
        <f>IF($A225="","",_xlfn.LET(_xlpm.t,MATCH($B225,'[1]Territory Definitions'!$B$5:$B$14,0),IF(ISNA(_xlpm.t),"NO TERRITORY",IF(INDEX('[1]Territory Definitions'!$D$5:$M$14,_xlpm.t,MATCH(C$4,'[1]Territory Definitions'!$D$4:$M$4,0))&lt;&gt;1,"NOT IN TERRITORY",IF(COUNTIFS('[1]Blackout Brand Fam Areas (Enc)'!$B$6:$B$998,$A225,'[1]Blackout Brand Fam Areas (Enc)'!$C$6:$C$998,C$4,'[1]Blackout Brand Fam Areas (Enc)'!$D$6:$D$998,"Inactive")&gt;0,"BLOCKED","CAN SELL")))))</f>
        <v>CAN SELL</v>
      </c>
      <c r="D225" s="11" t="str">
        <f>IF($A225="","",_xlfn.LET(_xlpm.t,MATCH($B225,'[1]Territory Definitions'!$B$5:$B$14,0),IF(ISNA(_xlpm.t),"NO TERRITORY",IF(INDEX('[1]Territory Definitions'!$D$5:$M$14,_xlpm.t,MATCH(D$4,'[1]Territory Definitions'!$D$4:$M$4,0))&lt;&gt;1,"NOT IN TERRITORY",IF(COUNTIFS('[1]Blackout Brand Fam Areas (Enc)'!$B$6:$B$998,$A225,'[1]Blackout Brand Fam Areas (Enc)'!$C$6:$C$998,D$4,'[1]Blackout Brand Fam Areas (Enc)'!$D$6:$D$998,"Inactive")&gt;0,"BLOCKED","CAN SELL")))))</f>
        <v>CAN SELL</v>
      </c>
      <c r="E225" s="11" t="str">
        <f>IF($A225="","",_xlfn.LET(_xlpm.t,MATCH($B225,'[1]Territory Definitions'!$B$5:$B$14,0),IF(ISNA(_xlpm.t),"NO TERRITORY",IF(INDEX('[1]Territory Definitions'!$D$5:$M$14,_xlpm.t,MATCH(E$4,'[1]Territory Definitions'!$D$4:$M$4,0))&lt;&gt;1,"NOT IN TERRITORY",IF(COUNTIFS('[1]Blackout Brand Fam Areas (Enc)'!$B$6:$B$998,$A225,'[1]Blackout Brand Fam Areas (Enc)'!$C$6:$C$998,E$4,'[1]Blackout Brand Fam Areas (Enc)'!$D$6:$D$998,"Inactive")&gt;0,"BLOCKED","CAN SELL")))))</f>
        <v>CAN SELL</v>
      </c>
      <c r="F225" s="11" t="str">
        <f>IF($A225="","",_xlfn.LET(_xlpm.t,MATCH($B225,'[1]Territory Definitions'!$B$5:$B$14,0),IF(ISNA(_xlpm.t),"NO TERRITORY",IF(INDEX('[1]Territory Definitions'!$D$5:$M$14,_xlpm.t,MATCH(F$4,'[1]Territory Definitions'!$D$4:$M$4,0))&lt;&gt;1,"NOT IN TERRITORY",IF(COUNTIFS('[1]Blackout Brand Fam Areas (Enc)'!$B$6:$B$998,$A225,'[1]Blackout Brand Fam Areas (Enc)'!$C$6:$C$998,F$4,'[1]Blackout Brand Fam Areas (Enc)'!$D$6:$D$998,"Inactive")&gt;0,"BLOCKED","CAN SELL")))))</f>
        <v>NOT IN TERRITORY</v>
      </c>
      <c r="G225" s="11" t="str">
        <f>IF($A225="","",_xlfn.LET(_xlpm.t,MATCH($B225,'[1]Territory Definitions'!$B$5:$B$14,0),IF(ISNA(_xlpm.t),"NO TERRITORY",IF(INDEX('[1]Territory Definitions'!$D$5:$M$14,_xlpm.t,MATCH(G$4,'[1]Territory Definitions'!$D$4:$M$4,0))&lt;&gt;1,"NOT IN TERRITORY",IF(COUNTIFS('[1]Blackout Brand Fam Areas (Enc)'!$B$6:$B$998,$A225,'[1]Blackout Brand Fam Areas (Enc)'!$C$6:$C$998,G$4,'[1]Blackout Brand Fam Areas (Enc)'!$D$6:$D$998,"Inactive")&gt;0,"BLOCKED","CAN SELL")))))</f>
        <v>NOT IN TERRITORY</v>
      </c>
      <c r="H225" s="11" t="str">
        <f>IF($A225="","",_xlfn.LET(_xlpm.t,MATCH($B225,'[1]Territory Definitions'!$B$5:$B$14,0),IF(ISNA(_xlpm.t),"NO TERRITORY",IF(INDEX('[1]Territory Definitions'!$D$5:$M$14,_xlpm.t,MATCH(H$4,'[1]Territory Definitions'!$D$4:$M$4,0))&lt;&gt;1,"NOT IN TERRITORY",IF(COUNTIFS('[1]Blackout Brand Fam Areas (Enc)'!$B$6:$B$998,$A225,'[1]Blackout Brand Fam Areas (Enc)'!$C$6:$C$998,H$4,'[1]Blackout Brand Fam Areas (Enc)'!$D$6:$D$998,"Inactive")&gt;0,"BLOCKED","CAN SELL")))))</f>
        <v>NOT IN TERRITORY</v>
      </c>
      <c r="I225" s="11" t="str">
        <f>IF($A225="","",_xlfn.LET(_xlpm.t,MATCH($B225,'[1]Territory Definitions'!$B$5:$B$14,0),IF(ISNA(_xlpm.t),"NO TERRITORY",IF(INDEX('[1]Territory Definitions'!$D$5:$M$14,_xlpm.t,MATCH(I$4,'[1]Territory Definitions'!$D$4:$M$4,0))&lt;&gt;1,"NOT IN TERRITORY",IF(COUNTIFS('[1]Blackout Brand Fam Areas (Enc)'!$B$6:$B$998,$A225,'[1]Blackout Brand Fam Areas (Enc)'!$C$6:$C$998,I$4,'[1]Blackout Brand Fam Areas (Enc)'!$D$6:$D$998,"Inactive")&gt;0,"BLOCKED","CAN SELL")))))</f>
        <v>CAN SELL</v>
      </c>
      <c r="J225" s="11" t="str">
        <f>IF($A225="","",_xlfn.LET(_xlpm.t,MATCH($B225,'[1]Territory Definitions'!$B$5:$B$14,0),IF(ISNA(_xlpm.t),"NO TERRITORY",IF(INDEX('[1]Territory Definitions'!$D$5:$M$14,_xlpm.t,MATCH(J$4,'[1]Territory Definitions'!$D$4:$M$4,0))&lt;&gt;1,"NOT IN TERRITORY",IF(COUNTIFS('[1]Blackout Brand Fam Areas (Enc)'!$B$6:$B$998,$A225,'[1]Blackout Brand Fam Areas (Enc)'!$C$6:$C$998,J$4,'[1]Blackout Brand Fam Areas (Enc)'!$D$6:$D$998,"Inactive")&gt;0,"BLOCKED","CAN SELL")))))</f>
        <v>CAN SELL</v>
      </c>
      <c r="K225" s="11" t="str">
        <f>IF($A225="","",_xlfn.LET(_xlpm.t,MATCH($B225,'[1]Territory Definitions'!$B$5:$B$14,0),IF(ISNA(_xlpm.t),"NO TERRITORY",IF(INDEX('[1]Territory Definitions'!$D$5:$M$14,_xlpm.t,MATCH(K$4,'[1]Territory Definitions'!$D$4:$M$4,0))&lt;&gt;1,"NOT IN TERRITORY",IF(COUNTIFS('[1]Blackout Brand Fam Areas (Enc)'!$B$6:$B$998,$A225,'[1]Blackout Brand Fam Areas (Enc)'!$C$6:$C$998,K$4,'[1]Blackout Brand Fam Areas (Enc)'!$D$6:$D$998,"Inactive")&gt;0,"BLOCKED","CAN SELL")))))</f>
        <v>NOT IN TERRITORY</v>
      </c>
      <c r="L225" s="11" t="str">
        <f>IF($A225="","",_xlfn.LET(_xlpm.t,MATCH($B225,'[1]Territory Definitions'!$B$5:$B$14,0),IF(ISNA(_xlpm.t),"NO TERRITORY",IF(INDEX('[1]Territory Definitions'!$D$5:$M$14,_xlpm.t,MATCH(L$4,'[1]Territory Definitions'!$D$4:$M$4,0))&lt;&gt;1,"NOT IN TERRITORY",IF(COUNTIFS('[1]Blackout Brand Fam Areas (Enc)'!$B$6:$B$998,$A225,'[1]Blackout Brand Fam Areas (Enc)'!$C$6:$C$998,L$4,'[1]Blackout Brand Fam Areas (Enc)'!$D$6:$D$998,"Inactive")&gt;0,"BLOCKED","CAN SELL")))))</f>
        <v>CAN SELL</v>
      </c>
      <c r="M225" s="12">
        <f>IF($A225="","",COUNTIF($C225:$L225,"CAN SELL"))</f>
        <v>6</v>
      </c>
      <c r="N225" s="13" cm="1">
        <f t="array" ref="N225">IF($A225="","",SUMPRODUCT(($C225:$L225="CAN SELL")*$C$3:$L$3))</f>
        <v>1596</v>
      </c>
      <c r="O225" s="14" t="str">
        <f>IF($A225="","",IF(COUNTIF($A$5:$A$299,$A225)&gt;1,"DUPLICATE - two different territories assigned",IF($B225="** NO TERRITORY SET **","No territory on Brand Family Territory (Enc)","")))</f>
        <v/>
      </c>
      <c r="P225" s="18" t="str">
        <f>IF($A225="","",IFERROR(INDEX([1]Products!$H$4:$H$4801,MATCH($A225,[1]Products!$G$4:$G$4801,0)),"(no products)"))</f>
        <v>MolsonCoors Beverage Company</v>
      </c>
      <c r="Q225" s="19">
        <f>IF($A225="","",COUNTIFS([1]Products!$G$4:$G$4801,$A225,[1]Products!$L$4:$L$4801,"Yes"))</f>
        <v>3</v>
      </c>
      <c r="R225" s="19">
        <f>IF($A225="","",COUNTIFS([1]Products!$G$4:$G$4801,$A225,[1]Products!$L$4:$L$4801,"Yes",[1]Products!$K$4:$K$4801,"Draft"))</f>
        <v>0</v>
      </c>
      <c r="S225" s="19">
        <f>IF($A225="","",COUNTIFS([1]Products!$G$4:$G$4801,$A225,[1]Products!$L$4:$L$4801,"Yes",[1]Products!$K$4:$K$4801,"Package"))</f>
        <v>3</v>
      </c>
      <c r="T225" s="20" t="str" cm="1">
        <f t="array" ref="T225">IF($A225="","",_xlfn.IFS($Q225=0,"NO ACTIVE SKUs",AND($R225&gt;0,$S225&gt;0),"Draft &amp; Package",$R225&gt;0,"Draft only",TRUE,"Package only"))</f>
        <v>Package only</v>
      </c>
    </row>
    <row r="226" spans="1:20" x14ac:dyDescent="0.2">
      <c r="A226" s="9" t="str">
        <v>Rekorderlig</v>
      </c>
      <c r="B226" s="10" t="str">
        <f>IF($A226="","",_xlfn.XLOOKUP($A226,'[1]Brand Family Territory (Enc)'!$A:$A,'[1]Brand Family Territory (Enc)'!$B:$B,"** NO TERRITORY SET **"))</f>
        <v>Bergen/Passaic/Hudson/Essex</v>
      </c>
      <c r="C226" s="11" t="str">
        <f>IF($A226="","",_xlfn.LET(_xlpm.t,MATCH($B226,'[1]Territory Definitions'!$B$5:$B$14,0),IF(ISNA(_xlpm.t),"NO TERRITORY",IF(INDEX('[1]Territory Definitions'!$D$5:$M$14,_xlpm.t,MATCH(C$4,'[1]Territory Definitions'!$D$4:$M$4,0))&lt;&gt;1,"NOT IN TERRITORY",IF(COUNTIFS('[1]Blackout Brand Fam Areas (Enc)'!$B$6:$B$998,$A226,'[1]Blackout Brand Fam Areas (Enc)'!$C$6:$C$998,C$4,'[1]Blackout Brand Fam Areas (Enc)'!$D$6:$D$998,"Inactive")&gt;0,"BLOCKED","CAN SELL")))))</f>
        <v>CAN SELL</v>
      </c>
      <c r="D226" s="11" t="str">
        <f>IF($A226="","",_xlfn.LET(_xlpm.t,MATCH($B226,'[1]Territory Definitions'!$B$5:$B$14,0),IF(ISNA(_xlpm.t),"NO TERRITORY",IF(INDEX('[1]Territory Definitions'!$D$5:$M$14,_xlpm.t,MATCH(D$4,'[1]Territory Definitions'!$D$4:$M$4,0))&lt;&gt;1,"NOT IN TERRITORY",IF(COUNTIFS('[1]Blackout Brand Fam Areas (Enc)'!$B$6:$B$998,$A226,'[1]Blackout Brand Fam Areas (Enc)'!$C$6:$C$998,D$4,'[1]Blackout Brand Fam Areas (Enc)'!$D$6:$D$998,"Inactive")&gt;0,"BLOCKED","CAN SELL")))))</f>
        <v>CAN SELL</v>
      </c>
      <c r="E226" s="11" t="str">
        <f>IF($A226="","",_xlfn.LET(_xlpm.t,MATCH($B226,'[1]Territory Definitions'!$B$5:$B$14,0),IF(ISNA(_xlpm.t),"NO TERRITORY",IF(INDEX('[1]Territory Definitions'!$D$5:$M$14,_xlpm.t,MATCH(E$4,'[1]Territory Definitions'!$D$4:$M$4,0))&lt;&gt;1,"NOT IN TERRITORY",IF(COUNTIFS('[1]Blackout Brand Fam Areas (Enc)'!$B$6:$B$998,$A226,'[1]Blackout Brand Fam Areas (Enc)'!$C$6:$C$998,E$4,'[1]Blackout Brand Fam Areas (Enc)'!$D$6:$D$998,"Inactive")&gt;0,"BLOCKED","CAN SELL")))))</f>
        <v>CAN SELL</v>
      </c>
      <c r="F226" s="11" t="str">
        <f>IF($A226="","",_xlfn.LET(_xlpm.t,MATCH($B226,'[1]Territory Definitions'!$B$5:$B$14,0),IF(ISNA(_xlpm.t),"NO TERRITORY",IF(INDEX('[1]Territory Definitions'!$D$5:$M$14,_xlpm.t,MATCH(F$4,'[1]Territory Definitions'!$D$4:$M$4,0))&lt;&gt;1,"NOT IN TERRITORY",IF(COUNTIFS('[1]Blackout Brand Fam Areas (Enc)'!$B$6:$B$998,$A226,'[1]Blackout Brand Fam Areas (Enc)'!$C$6:$C$998,F$4,'[1]Blackout Brand Fam Areas (Enc)'!$D$6:$D$998,"Inactive")&gt;0,"BLOCKED","CAN SELL")))))</f>
        <v>CAN SELL</v>
      </c>
      <c r="G226" s="11" t="str">
        <f>IF($A226="","",_xlfn.LET(_xlpm.t,MATCH($B226,'[1]Territory Definitions'!$B$5:$B$14,0),IF(ISNA(_xlpm.t),"NO TERRITORY",IF(INDEX('[1]Territory Definitions'!$D$5:$M$14,_xlpm.t,MATCH(G$4,'[1]Territory Definitions'!$D$4:$M$4,0))&lt;&gt;1,"NOT IN TERRITORY",IF(COUNTIFS('[1]Blackout Brand Fam Areas (Enc)'!$B$6:$B$998,$A226,'[1]Blackout Brand Fam Areas (Enc)'!$C$6:$C$998,G$4,'[1]Blackout Brand Fam Areas (Enc)'!$D$6:$D$998,"Inactive")&gt;0,"BLOCKED","CAN SELL")))))</f>
        <v>CAN SELL</v>
      </c>
      <c r="H226" s="11" t="str">
        <f>IF($A226="","",_xlfn.LET(_xlpm.t,MATCH($B226,'[1]Territory Definitions'!$B$5:$B$14,0),IF(ISNA(_xlpm.t),"NO TERRITORY",IF(INDEX('[1]Territory Definitions'!$D$5:$M$14,_xlpm.t,MATCH(H$4,'[1]Territory Definitions'!$D$4:$M$4,0))&lt;&gt;1,"NOT IN TERRITORY",IF(COUNTIFS('[1]Blackout Brand Fam Areas (Enc)'!$B$6:$B$998,$A226,'[1]Blackout Brand Fam Areas (Enc)'!$C$6:$C$998,H$4,'[1]Blackout Brand Fam Areas (Enc)'!$D$6:$D$998,"Inactive")&gt;0,"BLOCKED","CAN SELL")))))</f>
        <v>NOT IN TERRITORY</v>
      </c>
      <c r="I226" s="11" t="str">
        <f>IF($A226="","",_xlfn.LET(_xlpm.t,MATCH($B226,'[1]Territory Definitions'!$B$5:$B$14,0),IF(ISNA(_xlpm.t),"NO TERRITORY",IF(INDEX('[1]Territory Definitions'!$D$5:$M$14,_xlpm.t,MATCH(I$4,'[1]Territory Definitions'!$D$4:$M$4,0))&lt;&gt;1,"NOT IN TERRITORY",IF(COUNTIFS('[1]Blackout Brand Fam Areas (Enc)'!$B$6:$B$998,$A226,'[1]Blackout Brand Fam Areas (Enc)'!$C$6:$C$998,I$4,'[1]Blackout Brand Fam Areas (Enc)'!$D$6:$D$998,"Inactive")&gt;0,"BLOCKED","CAN SELL")))))</f>
        <v>NOT IN TERRITORY</v>
      </c>
      <c r="J226" s="11" t="str">
        <f>IF($A226="","",_xlfn.LET(_xlpm.t,MATCH($B226,'[1]Territory Definitions'!$B$5:$B$14,0),IF(ISNA(_xlpm.t),"NO TERRITORY",IF(INDEX('[1]Territory Definitions'!$D$5:$M$14,_xlpm.t,MATCH(J$4,'[1]Territory Definitions'!$D$4:$M$4,0))&lt;&gt;1,"NOT IN TERRITORY",IF(COUNTIFS('[1]Blackout Brand Fam Areas (Enc)'!$B$6:$B$998,$A226,'[1]Blackout Brand Fam Areas (Enc)'!$C$6:$C$998,J$4,'[1]Blackout Brand Fam Areas (Enc)'!$D$6:$D$998,"Inactive")&gt;0,"BLOCKED","CAN SELL")))))</f>
        <v>NOT IN TERRITORY</v>
      </c>
      <c r="K226" s="11" t="str">
        <f>IF($A226="","",_xlfn.LET(_xlpm.t,MATCH($B226,'[1]Territory Definitions'!$B$5:$B$14,0),IF(ISNA(_xlpm.t),"NO TERRITORY",IF(INDEX('[1]Territory Definitions'!$D$5:$M$14,_xlpm.t,MATCH(K$4,'[1]Territory Definitions'!$D$4:$M$4,0))&lt;&gt;1,"NOT IN TERRITORY",IF(COUNTIFS('[1]Blackout Brand Fam Areas (Enc)'!$B$6:$B$998,$A226,'[1]Blackout Brand Fam Areas (Enc)'!$C$6:$C$998,K$4,'[1]Blackout Brand Fam Areas (Enc)'!$D$6:$D$998,"Inactive")&gt;0,"BLOCKED","CAN SELL")))))</f>
        <v>NOT IN TERRITORY</v>
      </c>
      <c r="L226" s="11" t="str">
        <f>IF($A226="","",_xlfn.LET(_xlpm.t,MATCH($B226,'[1]Territory Definitions'!$B$5:$B$14,0),IF(ISNA(_xlpm.t),"NO TERRITORY",IF(INDEX('[1]Territory Definitions'!$D$5:$M$14,_xlpm.t,MATCH(L$4,'[1]Territory Definitions'!$D$4:$M$4,0))&lt;&gt;1,"NOT IN TERRITORY",IF(COUNTIFS('[1]Blackout Brand Fam Areas (Enc)'!$B$6:$B$998,$A226,'[1]Blackout Brand Fam Areas (Enc)'!$C$6:$C$998,L$4,'[1]Blackout Brand Fam Areas (Enc)'!$D$6:$D$998,"Inactive")&gt;0,"BLOCKED","CAN SELL")))))</f>
        <v>NOT IN TERRITORY</v>
      </c>
      <c r="M226" s="12">
        <f>IF($A226="","",COUNTIF($C226:$L226,"CAN SELL"))</f>
        <v>5</v>
      </c>
      <c r="N226" s="13" cm="1">
        <f t="array" ref="N226">IF($A226="","",SUMPRODUCT(($C226:$L226="CAN SELL")*$C$3:$L$3))</f>
        <v>1859</v>
      </c>
      <c r="O226" s="14" t="str">
        <f>IF($A226="","",IF(COUNTIF($A$5:$A$299,$A226)&gt;1,"DUPLICATE - two different territories assigned",IF($B226="** NO TERRITORY SET **","No territory on Brand Family Territory (Enc)","")))</f>
        <v/>
      </c>
      <c r="P226" s="18" t="str">
        <f>IF($A226="","",IFERROR(INDEX([1]Products!$H$4:$H$4801,MATCH($A226,[1]Products!$G$4:$G$4801,0)),"(no products)"))</f>
        <v>Total Beverage Solutions</v>
      </c>
      <c r="Q226" s="19">
        <f>IF($A226="","",COUNTIFS([1]Products!$G$4:$G$4801,$A226,[1]Products!$L$4:$L$4801,"Yes"))</f>
        <v>3</v>
      </c>
      <c r="R226" s="19">
        <f>IF($A226="","",COUNTIFS([1]Products!$G$4:$G$4801,$A226,[1]Products!$L$4:$L$4801,"Yes",[1]Products!$K$4:$K$4801,"Draft"))</f>
        <v>0</v>
      </c>
      <c r="S226" s="19">
        <f>IF($A226="","",COUNTIFS([1]Products!$G$4:$G$4801,$A226,[1]Products!$L$4:$L$4801,"Yes",[1]Products!$K$4:$K$4801,"Package"))</f>
        <v>3</v>
      </c>
      <c r="T226" s="20" t="str" cm="1">
        <f t="array" ref="T226">IF($A226="","",_xlfn.IFS($Q226=0,"NO ACTIVE SKUs",AND($R226&gt;0,$S226&gt;0),"Draft &amp; Package",$R226&gt;0,"Draft only",TRUE,"Package only"))</f>
        <v>Package only</v>
      </c>
    </row>
    <row r="227" spans="1:20" x14ac:dyDescent="0.2">
      <c r="A227" s="9" t="str">
        <v>Right Coast</v>
      </c>
      <c r="B227" s="10" t="str">
        <f>IF($A227="","",_xlfn.XLOOKUP($A227,'[1]Brand Family Territory (Enc)'!$A:$A,'[1]Brand Family Territory (Enc)'!$B:$B,"** NO TERRITORY SET **"))</f>
        <v>All Counties</v>
      </c>
      <c r="C227" s="11" t="str">
        <f>IF($A227="","",_xlfn.LET(_xlpm.t,MATCH($B227,'[1]Territory Definitions'!$B$5:$B$14,0),IF(ISNA(_xlpm.t),"NO TERRITORY",IF(INDEX('[1]Territory Definitions'!$D$5:$M$14,_xlpm.t,MATCH(C$4,'[1]Territory Definitions'!$D$4:$M$4,0))&lt;&gt;1,"NOT IN TERRITORY",IF(COUNTIFS('[1]Blackout Brand Fam Areas (Enc)'!$B$6:$B$998,$A227,'[1]Blackout Brand Fam Areas (Enc)'!$C$6:$C$998,C$4,'[1]Blackout Brand Fam Areas (Enc)'!$D$6:$D$998,"Inactive")&gt;0,"BLOCKED","CAN SELL")))))</f>
        <v>CAN SELL</v>
      </c>
      <c r="D227" s="11" t="str">
        <f>IF($A227="","",_xlfn.LET(_xlpm.t,MATCH($B227,'[1]Territory Definitions'!$B$5:$B$14,0),IF(ISNA(_xlpm.t),"NO TERRITORY",IF(INDEX('[1]Territory Definitions'!$D$5:$M$14,_xlpm.t,MATCH(D$4,'[1]Territory Definitions'!$D$4:$M$4,0))&lt;&gt;1,"NOT IN TERRITORY",IF(COUNTIFS('[1]Blackout Brand Fam Areas (Enc)'!$B$6:$B$998,$A227,'[1]Blackout Brand Fam Areas (Enc)'!$C$6:$C$998,D$4,'[1]Blackout Brand Fam Areas (Enc)'!$D$6:$D$998,"Inactive")&gt;0,"BLOCKED","CAN SELL")))))</f>
        <v>CAN SELL</v>
      </c>
      <c r="E227" s="11" t="str">
        <f>IF($A227="","",_xlfn.LET(_xlpm.t,MATCH($B227,'[1]Territory Definitions'!$B$5:$B$14,0),IF(ISNA(_xlpm.t),"NO TERRITORY",IF(INDEX('[1]Territory Definitions'!$D$5:$M$14,_xlpm.t,MATCH(E$4,'[1]Territory Definitions'!$D$4:$M$4,0))&lt;&gt;1,"NOT IN TERRITORY",IF(COUNTIFS('[1]Blackout Brand Fam Areas (Enc)'!$B$6:$B$998,$A227,'[1]Blackout Brand Fam Areas (Enc)'!$C$6:$C$998,E$4,'[1]Blackout Brand Fam Areas (Enc)'!$D$6:$D$998,"Inactive")&gt;0,"BLOCKED","CAN SELL")))))</f>
        <v>CAN SELL</v>
      </c>
      <c r="F227" s="11" t="str">
        <f>IF($A227="","",_xlfn.LET(_xlpm.t,MATCH($B227,'[1]Territory Definitions'!$B$5:$B$14,0),IF(ISNA(_xlpm.t),"NO TERRITORY",IF(INDEX('[1]Territory Definitions'!$D$5:$M$14,_xlpm.t,MATCH(F$4,'[1]Territory Definitions'!$D$4:$M$4,0))&lt;&gt;1,"NOT IN TERRITORY",IF(COUNTIFS('[1]Blackout Brand Fam Areas (Enc)'!$B$6:$B$998,$A227,'[1]Blackout Brand Fam Areas (Enc)'!$C$6:$C$998,F$4,'[1]Blackout Brand Fam Areas (Enc)'!$D$6:$D$998,"Inactive")&gt;0,"BLOCKED","CAN SELL")))))</f>
        <v>CAN SELL</v>
      </c>
      <c r="G227" s="11" t="str">
        <f>IF($A227="","",_xlfn.LET(_xlpm.t,MATCH($B227,'[1]Territory Definitions'!$B$5:$B$14,0),IF(ISNA(_xlpm.t),"NO TERRITORY",IF(INDEX('[1]Territory Definitions'!$D$5:$M$14,_xlpm.t,MATCH(G$4,'[1]Territory Definitions'!$D$4:$M$4,0))&lt;&gt;1,"NOT IN TERRITORY",IF(COUNTIFS('[1]Blackout Brand Fam Areas (Enc)'!$B$6:$B$998,$A227,'[1]Blackout Brand Fam Areas (Enc)'!$C$6:$C$998,G$4,'[1]Blackout Brand Fam Areas (Enc)'!$D$6:$D$998,"Inactive")&gt;0,"BLOCKED","CAN SELL")))))</f>
        <v>CAN SELL</v>
      </c>
      <c r="H227" s="11" t="str">
        <f>IF($A227="","",_xlfn.LET(_xlpm.t,MATCH($B227,'[1]Territory Definitions'!$B$5:$B$14,0),IF(ISNA(_xlpm.t),"NO TERRITORY",IF(INDEX('[1]Territory Definitions'!$D$5:$M$14,_xlpm.t,MATCH(H$4,'[1]Territory Definitions'!$D$4:$M$4,0))&lt;&gt;1,"NOT IN TERRITORY",IF(COUNTIFS('[1]Blackout Brand Fam Areas (Enc)'!$B$6:$B$998,$A227,'[1]Blackout Brand Fam Areas (Enc)'!$C$6:$C$998,H$4,'[1]Blackout Brand Fam Areas (Enc)'!$D$6:$D$998,"Inactive")&gt;0,"BLOCKED","CAN SELL")))))</f>
        <v>CAN SELL</v>
      </c>
      <c r="I227" s="11" t="str">
        <f>IF($A227="","",_xlfn.LET(_xlpm.t,MATCH($B227,'[1]Territory Definitions'!$B$5:$B$14,0),IF(ISNA(_xlpm.t),"NO TERRITORY",IF(INDEX('[1]Territory Definitions'!$D$5:$M$14,_xlpm.t,MATCH(I$4,'[1]Territory Definitions'!$D$4:$M$4,0))&lt;&gt;1,"NOT IN TERRITORY",IF(COUNTIFS('[1]Blackout Brand Fam Areas (Enc)'!$B$6:$B$998,$A227,'[1]Blackout Brand Fam Areas (Enc)'!$C$6:$C$998,I$4,'[1]Blackout Brand Fam Areas (Enc)'!$D$6:$D$998,"Inactive")&gt;0,"BLOCKED","CAN SELL")))))</f>
        <v>CAN SELL</v>
      </c>
      <c r="J227" s="11" t="str">
        <f>IF($A227="","",_xlfn.LET(_xlpm.t,MATCH($B227,'[1]Territory Definitions'!$B$5:$B$14,0),IF(ISNA(_xlpm.t),"NO TERRITORY",IF(INDEX('[1]Territory Definitions'!$D$5:$M$14,_xlpm.t,MATCH(J$4,'[1]Territory Definitions'!$D$4:$M$4,0))&lt;&gt;1,"NOT IN TERRITORY",IF(COUNTIFS('[1]Blackout Brand Fam Areas (Enc)'!$B$6:$B$998,$A227,'[1]Blackout Brand Fam Areas (Enc)'!$C$6:$C$998,J$4,'[1]Blackout Brand Fam Areas (Enc)'!$D$6:$D$998,"Inactive")&gt;0,"BLOCKED","CAN SELL")))))</f>
        <v>CAN SELL</v>
      </c>
      <c r="K227" s="11" t="str">
        <f>IF($A227="","",_xlfn.LET(_xlpm.t,MATCH($B227,'[1]Territory Definitions'!$B$5:$B$14,0),IF(ISNA(_xlpm.t),"NO TERRITORY",IF(INDEX('[1]Territory Definitions'!$D$5:$M$14,_xlpm.t,MATCH(K$4,'[1]Territory Definitions'!$D$4:$M$4,0))&lt;&gt;1,"NOT IN TERRITORY",IF(COUNTIFS('[1]Blackout Brand Fam Areas (Enc)'!$B$6:$B$998,$A227,'[1]Blackout Brand Fam Areas (Enc)'!$C$6:$C$998,K$4,'[1]Blackout Brand Fam Areas (Enc)'!$D$6:$D$998,"Inactive")&gt;0,"BLOCKED","CAN SELL")))))</f>
        <v>CAN SELL</v>
      </c>
      <c r="L227" s="11" t="str">
        <f>IF($A227="","",_xlfn.LET(_xlpm.t,MATCH($B227,'[1]Territory Definitions'!$B$5:$B$14,0),IF(ISNA(_xlpm.t),"NO TERRITORY",IF(INDEX('[1]Territory Definitions'!$D$5:$M$14,_xlpm.t,MATCH(L$4,'[1]Territory Definitions'!$D$4:$M$4,0))&lt;&gt;1,"NOT IN TERRITORY",IF(COUNTIFS('[1]Blackout Brand Fam Areas (Enc)'!$B$6:$B$998,$A227,'[1]Blackout Brand Fam Areas (Enc)'!$C$6:$C$998,L$4,'[1]Blackout Brand Fam Areas (Enc)'!$D$6:$D$998,"Inactive")&gt;0,"BLOCKED","CAN SELL")))))</f>
        <v>CAN SELL</v>
      </c>
      <c r="M227" s="12">
        <f>IF($A227="","",COUNTIF($C227:$L227,"CAN SELL"))</f>
        <v>10</v>
      </c>
      <c r="N227" s="13" cm="1">
        <f t="array" ref="N227">IF($A227="","",SUMPRODUCT(($C227:$L227="CAN SELL")*$C$3:$L$3))</f>
        <v>2306</v>
      </c>
      <c r="O227" s="14" t="str">
        <f>IF($A227="","",IF(COUNTIF($A$5:$A$299,$A227)&gt;1,"DUPLICATE - two different territories assigned",IF($B227="** NO TERRITORY SET **","No territory on Brand Family Territory (Enc)","")))</f>
        <v/>
      </c>
      <c r="P227" s="18" t="str">
        <f>IF($A227="","",IFERROR(INDEX([1]Products!$H$4:$H$4801,MATCH($A227,[1]Products!$G$4:$G$4801,0)),"(no products)"))</f>
        <v>FX Matt</v>
      </c>
      <c r="Q227" s="19">
        <f>IF($A227="","",COUNTIFS([1]Products!$G$4:$G$4801,$A227,[1]Products!$L$4:$L$4801,"Yes"))</f>
        <v>4</v>
      </c>
      <c r="R227" s="19">
        <f>IF($A227="","",COUNTIFS([1]Products!$G$4:$G$4801,$A227,[1]Products!$L$4:$L$4801,"Yes",[1]Products!$K$4:$K$4801,"Draft"))</f>
        <v>0</v>
      </c>
      <c r="S227" s="19">
        <f>IF($A227="","",COUNTIFS([1]Products!$G$4:$G$4801,$A227,[1]Products!$L$4:$L$4801,"Yes",[1]Products!$K$4:$K$4801,"Package"))</f>
        <v>0</v>
      </c>
      <c r="T227" s="20" t="str" cm="1">
        <f t="array" ref="T227">IF($A227="","",_xlfn.IFS($Q227=0,"NO ACTIVE SKUs",AND($R227&gt;0,$S227&gt;0),"Draft &amp; Package",$R227&gt;0,"Draft only",TRUE,"Package only"))</f>
        <v>Package only</v>
      </c>
    </row>
    <row r="228" spans="1:20" x14ac:dyDescent="0.2">
      <c r="A228" s="9" t="str">
        <v>River Horse Brewing Co</v>
      </c>
      <c r="B228" s="10" t="str">
        <f>IF($A228="","",_xlfn.XLOOKUP($A228,'[1]Brand Family Territory (Enc)'!$A:$A,'[1]Brand Family Territory (Enc)'!$B:$B,"** NO TERRITORY SET **"))</f>
        <v>All Counties</v>
      </c>
      <c r="C228" s="11" t="str">
        <f>IF($A228="","",_xlfn.LET(_xlpm.t,MATCH($B228,'[1]Territory Definitions'!$B$5:$B$14,0),IF(ISNA(_xlpm.t),"NO TERRITORY",IF(INDEX('[1]Territory Definitions'!$D$5:$M$14,_xlpm.t,MATCH(C$4,'[1]Territory Definitions'!$D$4:$M$4,0))&lt;&gt;1,"NOT IN TERRITORY",IF(COUNTIFS('[1]Blackout Brand Fam Areas (Enc)'!$B$6:$B$998,$A228,'[1]Blackout Brand Fam Areas (Enc)'!$C$6:$C$998,C$4,'[1]Blackout Brand Fam Areas (Enc)'!$D$6:$D$998,"Inactive")&gt;0,"BLOCKED","CAN SELL")))))</f>
        <v>CAN SELL</v>
      </c>
      <c r="D228" s="11" t="str">
        <f>IF($A228="","",_xlfn.LET(_xlpm.t,MATCH($B228,'[1]Territory Definitions'!$B$5:$B$14,0),IF(ISNA(_xlpm.t),"NO TERRITORY",IF(INDEX('[1]Territory Definitions'!$D$5:$M$14,_xlpm.t,MATCH(D$4,'[1]Territory Definitions'!$D$4:$M$4,0))&lt;&gt;1,"NOT IN TERRITORY",IF(COUNTIFS('[1]Blackout Brand Fam Areas (Enc)'!$B$6:$B$998,$A228,'[1]Blackout Brand Fam Areas (Enc)'!$C$6:$C$998,D$4,'[1]Blackout Brand Fam Areas (Enc)'!$D$6:$D$998,"Inactive")&gt;0,"BLOCKED","CAN SELL")))))</f>
        <v>CAN SELL</v>
      </c>
      <c r="E228" s="11" t="str">
        <f>IF($A228="","",_xlfn.LET(_xlpm.t,MATCH($B228,'[1]Territory Definitions'!$B$5:$B$14,0),IF(ISNA(_xlpm.t),"NO TERRITORY",IF(INDEX('[1]Territory Definitions'!$D$5:$M$14,_xlpm.t,MATCH(E$4,'[1]Territory Definitions'!$D$4:$M$4,0))&lt;&gt;1,"NOT IN TERRITORY",IF(COUNTIFS('[1]Blackout Brand Fam Areas (Enc)'!$B$6:$B$998,$A228,'[1]Blackout Brand Fam Areas (Enc)'!$C$6:$C$998,E$4,'[1]Blackout Brand Fam Areas (Enc)'!$D$6:$D$998,"Inactive")&gt;0,"BLOCKED","CAN SELL")))))</f>
        <v>CAN SELL</v>
      </c>
      <c r="F228" s="11" t="str">
        <f>IF($A228="","",_xlfn.LET(_xlpm.t,MATCH($B228,'[1]Territory Definitions'!$B$5:$B$14,0),IF(ISNA(_xlpm.t),"NO TERRITORY",IF(INDEX('[1]Territory Definitions'!$D$5:$M$14,_xlpm.t,MATCH(F$4,'[1]Territory Definitions'!$D$4:$M$4,0))&lt;&gt;1,"NOT IN TERRITORY",IF(COUNTIFS('[1]Blackout Brand Fam Areas (Enc)'!$B$6:$B$998,$A228,'[1]Blackout Brand Fam Areas (Enc)'!$C$6:$C$998,F$4,'[1]Blackout Brand Fam Areas (Enc)'!$D$6:$D$998,"Inactive")&gt;0,"BLOCKED","CAN SELL")))))</f>
        <v>CAN SELL</v>
      </c>
      <c r="G228" s="11" t="str">
        <f>IF($A228="","",_xlfn.LET(_xlpm.t,MATCH($B228,'[1]Territory Definitions'!$B$5:$B$14,0),IF(ISNA(_xlpm.t),"NO TERRITORY",IF(INDEX('[1]Territory Definitions'!$D$5:$M$14,_xlpm.t,MATCH(G$4,'[1]Territory Definitions'!$D$4:$M$4,0))&lt;&gt;1,"NOT IN TERRITORY",IF(COUNTIFS('[1]Blackout Brand Fam Areas (Enc)'!$B$6:$B$998,$A228,'[1]Blackout Brand Fam Areas (Enc)'!$C$6:$C$998,G$4,'[1]Blackout Brand Fam Areas (Enc)'!$D$6:$D$998,"Inactive")&gt;0,"BLOCKED","CAN SELL")))))</f>
        <v>CAN SELL</v>
      </c>
      <c r="H228" s="11" t="str">
        <f>IF($A228="","",_xlfn.LET(_xlpm.t,MATCH($B228,'[1]Territory Definitions'!$B$5:$B$14,0),IF(ISNA(_xlpm.t),"NO TERRITORY",IF(INDEX('[1]Territory Definitions'!$D$5:$M$14,_xlpm.t,MATCH(H$4,'[1]Territory Definitions'!$D$4:$M$4,0))&lt;&gt;1,"NOT IN TERRITORY",IF(COUNTIFS('[1]Blackout Brand Fam Areas (Enc)'!$B$6:$B$998,$A228,'[1]Blackout Brand Fam Areas (Enc)'!$C$6:$C$998,H$4,'[1]Blackout Brand Fam Areas (Enc)'!$D$6:$D$998,"Inactive")&gt;0,"BLOCKED","CAN SELL")))))</f>
        <v>CAN SELL</v>
      </c>
      <c r="I228" s="11" t="str">
        <f>IF($A228="","",_xlfn.LET(_xlpm.t,MATCH($B228,'[1]Territory Definitions'!$B$5:$B$14,0),IF(ISNA(_xlpm.t),"NO TERRITORY",IF(INDEX('[1]Territory Definitions'!$D$5:$M$14,_xlpm.t,MATCH(I$4,'[1]Territory Definitions'!$D$4:$M$4,0))&lt;&gt;1,"NOT IN TERRITORY",IF(COUNTIFS('[1]Blackout Brand Fam Areas (Enc)'!$B$6:$B$998,$A228,'[1]Blackout Brand Fam Areas (Enc)'!$C$6:$C$998,I$4,'[1]Blackout Brand Fam Areas (Enc)'!$D$6:$D$998,"Inactive")&gt;0,"BLOCKED","CAN SELL")))))</f>
        <v>CAN SELL</v>
      </c>
      <c r="J228" s="11" t="str">
        <f>IF($A228="","",_xlfn.LET(_xlpm.t,MATCH($B228,'[1]Territory Definitions'!$B$5:$B$14,0),IF(ISNA(_xlpm.t),"NO TERRITORY",IF(INDEX('[1]Territory Definitions'!$D$5:$M$14,_xlpm.t,MATCH(J$4,'[1]Territory Definitions'!$D$4:$M$4,0))&lt;&gt;1,"NOT IN TERRITORY",IF(COUNTIFS('[1]Blackout Brand Fam Areas (Enc)'!$B$6:$B$998,$A228,'[1]Blackout Brand Fam Areas (Enc)'!$C$6:$C$998,J$4,'[1]Blackout Brand Fam Areas (Enc)'!$D$6:$D$998,"Inactive")&gt;0,"BLOCKED","CAN SELL")))))</f>
        <v>CAN SELL</v>
      </c>
      <c r="K228" s="11" t="str">
        <f>IF($A228="","",_xlfn.LET(_xlpm.t,MATCH($B228,'[1]Territory Definitions'!$B$5:$B$14,0),IF(ISNA(_xlpm.t),"NO TERRITORY",IF(INDEX('[1]Territory Definitions'!$D$5:$M$14,_xlpm.t,MATCH(K$4,'[1]Territory Definitions'!$D$4:$M$4,0))&lt;&gt;1,"NOT IN TERRITORY",IF(COUNTIFS('[1]Blackout Brand Fam Areas (Enc)'!$B$6:$B$998,$A228,'[1]Blackout Brand Fam Areas (Enc)'!$C$6:$C$998,K$4,'[1]Blackout Brand Fam Areas (Enc)'!$D$6:$D$998,"Inactive")&gt;0,"BLOCKED","CAN SELL")))))</f>
        <v>CAN SELL</v>
      </c>
      <c r="L228" s="11" t="str">
        <f>IF($A228="","",_xlfn.LET(_xlpm.t,MATCH($B228,'[1]Territory Definitions'!$B$5:$B$14,0),IF(ISNA(_xlpm.t),"NO TERRITORY",IF(INDEX('[1]Territory Definitions'!$D$5:$M$14,_xlpm.t,MATCH(L$4,'[1]Territory Definitions'!$D$4:$M$4,0))&lt;&gt;1,"NOT IN TERRITORY",IF(COUNTIFS('[1]Blackout Brand Fam Areas (Enc)'!$B$6:$B$998,$A228,'[1]Blackout Brand Fam Areas (Enc)'!$C$6:$C$998,L$4,'[1]Blackout Brand Fam Areas (Enc)'!$D$6:$D$998,"Inactive")&gt;0,"BLOCKED","CAN SELL")))))</f>
        <v>CAN SELL</v>
      </c>
      <c r="M228" s="12">
        <f>IF($A228="","",COUNTIF($C228:$L228,"CAN SELL"))</f>
        <v>10</v>
      </c>
      <c r="N228" s="13" cm="1">
        <f t="array" ref="N228">IF($A228="","",SUMPRODUCT(($C228:$L228="CAN SELL")*$C$3:$L$3))</f>
        <v>2306</v>
      </c>
      <c r="O228" s="14" t="str">
        <f>IF($A228="","",IF(COUNTIF($A$5:$A$299,$A228)&gt;1,"DUPLICATE - two different territories assigned",IF($B228="** NO TERRITORY SET **","No territory on Brand Family Territory (Enc)","")))</f>
        <v/>
      </c>
      <c r="P228" s="18" t="str">
        <f>IF($A228="","",IFERROR(INDEX([1]Products!$H$4:$H$4801,MATCH($A228,[1]Products!$G$4:$G$4801,0)),"(no products)"))</f>
        <v>River Horse Brewing Co</v>
      </c>
      <c r="Q228" s="19">
        <f>IF($A228="","",COUNTIFS([1]Products!$G$4:$G$4801,$A228,[1]Products!$L$4:$L$4801,"Yes"))</f>
        <v>0</v>
      </c>
      <c r="R228" s="19">
        <f>IF($A228="","",COUNTIFS([1]Products!$G$4:$G$4801,$A228,[1]Products!$L$4:$L$4801,"Yes",[1]Products!$K$4:$K$4801,"Draft"))</f>
        <v>0</v>
      </c>
      <c r="S228" s="19">
        <f>IF($A228="","",COUNTIFS([1]Products!$G$4:$G$4801,$A228,[1]Products!$L$4:$L$4801,"Yes",[1]Products!$K$4:$K$4801,"Package"))</f>
        <v>0</v>
      </c>
      <c r="T228" s="20" t="str" cm="1">
        <f t="array" ref="T228">IF($A228="","",_xlfn.IFS($Q228=0,"NO ACTIVE SKUs",AND($R228&gt;0,$S228&gt;0),"Draft &amp; Package",$R228&gt;0,"Draft only",TRUE,"Package only"))</f>
        <v>NO ACTIVE SKUs</v>
      </c>
    </row>
    <row r="229" spans="1:20" x14ac:dyDescent="0.2">
      <c r="A229" s="9" t="str">
        <v>Rusted Revolver</v>
      </c>
      <c r="B229" s="10" t="str">
        <f>IF($A229="","",_xlfn.XLOOKUP($A229,'[1]Brand Family Territory (Enc)'!$A:$A,'[1]Brand Family Territory (Enc)'!$B:$B,"** NO TERRITORY SET **"))</f>
        <v>All Counties</v>
      </c>
      <c r="C229" s="11" t="str">
        <f>IF($A229="","",_xlfn.LET(_xlpm.t,MATCH($B229,'[1]Territory Definitions'!$B$5:$B$14,0),IF(ISNA(_xlpm.t),"NO TERRITORY",IF(INDEX('[1]Territory Definitions'!$D$5:$M$14,_xlpm.t,MATCH(C$4,'[1]Territory Definitions'!$D$4:$M$4,0))&lt;&gt;1,"NOT IN TERRITORY",IF(COUNTIFS('[1]Blackout Brand Fam Areas (Enc)'!$B$6:$B$998,$A229,'[1]Blackout Brand Fam Areas (Enc)'!$C$6:$C$998,C$4,'[1]Blackout Brand Fam Areas (Enc)'!$D$6:$D$998,"Inactive")&gt;0,"BLOCKED","CAN SELL")))))</f>
        <v>CAN SELL</v>
      </c>
      <c r="D229" s="11" t="str">
        <f>IF($A229="","",_xlfn.LET(_xlpm.t,MATCH($B229,'[1]Territory Definitions'!$B$5:$B$14,0),IF(ISNA(_xlpm.t),"NO TERRITORY",IF(INDEX('[1]Territory Definitions'!$D$5:$M$14,_xlpm.t,MATCH(D$4,'[1]Territory Definitions'!$D$4:$M$4,0))&lt;&gt;1,"NOT IN TERRITORY",IF(COUNTIFS('[1]Blackout Brand Fam Areas (Enc)'!$B$6:$B$998,$A229,'[1]Blackout Brand Fam Areas (Enc)'!$C$6:$C$998,D$4,'[1]Blackout Brand Fam Areas (Enc)'!$D$6:$D$998,"Inactive")&gt;0,"BLOCKED","CAN SELL")))))</f>
        <v>CAN SELL</v>
      </c>
      <c r="E229" s="11" t="str">
        <f>IF($A229="","",_xlfn.LET(_xlpm.t,MATCH($B229,'[1]Territory Definitions'!$B$5:$B$14,0),IF(ISNA(_xlpm.t),"NO TERRITORY",IF(INDEX('[1]Territory Definitions'!$D$5:$M$14,_xlpm.t,MATCH(E$4,'[1]Territory Definitions'!$D$4:$M$4,0))&lt;&gt;1,"NOT IN TERRITORY",IF(COUNTIFS('[1]Blackout Brand Fam Areas (Enc)'!$B$6:$B$998,$A229,'[1]Blackout Brand Fam Areas (Enc)'!$C$6:$C$998,E$4,'[1]Blackout Brand Fam Areas (Enc)'!$D$6:$D$998,"Inactive")&gt;0,"BLOCKED","CAN SELL")))))</f>
        <v>CAN SELL</v>
      </c>
      <c r="F229" s="11" t="str">
        <f>IF($A229="","",_xlfn.LET(_xlpm.t,MATCH($B229,'[1]Territory Definitions'!$B$5:$B$14,0),IF(ISNA(_xlpm.t),"NO TERRITORY",IF(INDEX('[1]Territory Definitions'!$D$5:$M$14,_xlpm.t,MATCH(F$4,'[1]Territory Definitions'!$D$4:$M$4,0))&lt;&gt;1,"NOT IN TERRITORY",IF(COUNTIFS('[1]Blackout Brand Fam Areas (Enc)'!$B$6:$B$998,$A229,'[1]Blackout Brand Fam Areas (Enc)'!$C$6:$C$998,F$4,'[1]Blackout Brand Fam Areas (Enc)'!$D$6:$D$998,"Inactive")&gt;0,"BLOCKED","CAN SELL")))))</f>
        <v>CAN SELL</v>
      </c>
      <c r="G229" s="11" t="str">
        <f>IF($A229="","",_xlfn.LET(_xlpm.t,MATCH($B229,'[1]Territory Definitions'!$B$5:$B$14,0),IF(ISNA(_xlpm.t),"NO TERRITORY",IF(INDEX('[1]Territory Definitions'!$D$5:$M$14,_xlpm.t,MATCH(G$4,'[1]Territory Definitions'!$D$4:$M$4,0))&lt;&gt;1,"NOT IN TERRITORY",IF(COUNTIFS('[1]Blackout Brand Fam Areas (Enc)'!$B$6:$B$998,$A229,'[1]Blackout Brand Fam Areas (Enc)'!$C$6:$C$998,G$4,'[1]Blackout Brand Fam Areas (Enc)'!$D$6:$D$998,"Inactive")&gt;0,"BLOCKED","CAN SELL")))))</f>
        <v>CAN SELL</v>
      </c>
      <c r="H229" s="11" t="str">
        <f>IF($A229="","",_xlfn.LET(_xlpm.t,MATCH($B229,'[1]Territory Definitions'!$B$5:$B$14,0),IF(ISNA(_xlpm.t),"NO TERRITORY",IF(INDEX('[1]Territory Definitions'!$D$5:$M$14,_xlpm.t,MATCH(H$4,'[1]Territory Definitions'!$D$4:$M$4,0))&lt;&gt;1,"NOT IN TERRITORY",IF(COUNTIFS('[1]Blackout Brand Fam Areas (Enc)'!$B$6:$B$998,$A229,'[1]Blackout Brand Fam Areas (Enc)'!$C$6:$C$998,H$4,'[1]Blackout Brand Fam Areas (Enc)'!$D$6:$D$998,"Inactive")&gt;0,"BLOCKED","CAN SELL")))))</f>
        <v>CAN SELL</v>
      </c>
      <c r="I229" s="11" t="str">
        <f>IF($A229="","",_xlfn.LET(_xlpm.t,MATCH($B229,'[1]Territory Definitions'!$B$5:$B$14,0),IF(ISNA(_xlpm.t),"NO TERRITORY",IF(INDEX('[1]Territory Definitions'!$D$5:$M$14,_xlpm.t,MATCH(I$4,'[1]Territory Definitions'!$D$4:$M$4,0))&lt;&gt;1,"NOT IN TERRITORY",IF(COUNTIFS('[1]Blackout Brand Fam Areas (Enc)'!$B$6:$B$998,$A229,'[1]Blackout Brand Fam Areas (Enc)'!$C$6:$C$998,I$4,'[1]Blackout Brand Fam Areas (Enc)'!$D$6:$D$998,"Inactive")&gt;0,"BLOCKED","CAN SELL")))))</f>
        <v>CAN SELL</v>
      </c>
      <c r="J229" s="11" t="str">
        <f>IF($A229="","",_xlfn.LET(_xlpm.t,MATCH($B229,'[1]Territory Definitions'!$B$5:$B$14,0),IF(ISNA(_xlpm.t),"NO TERRITORY",IF(INDEX('[1]Territory Definitions'!$D$5:$M$14,_xlpm.t,MATCH(J$4,'[1]Territory Definitions'!$D$4:$M$4,0))&lt;&gt;1,"NOT IN TERRITORY",IF(COUNTIFS('[1]Blackout Brand Fam Areas (Enc)'!$B$6:$B$998,$A229,'[1]Blackout Brand Fam Areas (Enc)'!$C$6:$C$998,J$4,'[1]Blackout Brand Fam Areas (Enc)'!$D$6:$D$998,"Inactive")&gt;0,"BLOCKED","CAN SELL")))))</f>
        <v>CAN SELL</v>
      </c>
      <c r="K229" s="11" t="str">
        <f>IF($A229="","",_xlfn.LET(_xlpm.t,MATCH($B229,'[1]Territory Definitions'!$B$5:$B$14,0),IF(ISNA(_xlpm.t),"NO TERRITORY",IF(INDEX('[1]Territory Definitions'!$D$5:$M$14,_xlpm.t,MATCH(K$4,'[1]Territory Definitions'!$D$4:$M$4,0))&lt;&gt;1,"NOT IN TERRITORY",IF(COUNTIFS('[1]Blackout Brand Fam Areas (Enc)'!$B$6:$B$998,$A229,'[1]Blackout Brand Fam Areas (Enc)'!$C$6:$C$998,K$4,'[1]Blackout Brand Fam Areas (Enc)'!$D$6:$D$998,"Inactive")&gt;0,"BLOCKED","CAN SELL")))))</f>
        <v>CAN SELL</v>
      </c>
      <c r="L229" s="11" t="str">
        <f>IF($A229="","",_xlfn.LET(_xlpm.t,MATCH($B229,'[1]Territory Definitions'!$B$5:$B$14,0),IF(ISNA(_xlpm.t),"NO TERRITORY",IF(INDEX('[1]Territory Definitions'!$D$5:$M$14,_xlpm.t,MATCH(L$4,'[1]Territory Definitions'!$D$4:$M$4,0))&lt;&gt;1,"NOT IN TERRITORY",IF(COUNTIFS('[1]Blackout Brand Fam Areas (Enc)'!$B$6:$B$998,$A229,'[1]Blackout Brand Fam Areas (Enc)'!$C$6:$C$998,L$4,'[1]Blackout Brand Fam Areas (Enc)'!$D$6:$D$998,"Inactive")&gt;0,"BLOCKED","CAN SELL")))))</f>
        <v>CAN SELL</v>
      </c>
      <c r="M229" s="12">
        <f>IF($A229="","",COUNTIF($C229:$L229,"CAN SELL"))</f>
        <v>10</v>
      </c>
      <c r="N229" s="13" cm="1">
        <f t="array" ref="N229">IF($A229="","",SUMPRODUCT(($C229:$L229="CAN SELL")*$C$3:$L$3))</f>
        <v>2306</v>
      </c>
      <c r="O229" s="14" t="str">
        <f>IF($A229="","",IF(COUNTIF($A$5:$A$299,$A229)&gt;1,"DUPLICATE - two different territories assigned",IF($B229="** NO TERRITORY SET **","No territory on Brand Family Territory (Enc)","")))</f>
        <v/>
      </c>
      <c r="P229" s="18" t="str">
        <f>IF($A229="","",IFERROR(INDEX([1]Products!$H$4:$H$4801,MATCH($A229,[1]Products!$G$4:$G$4801,0)),"(no products)"))</f>
        <v>Little Water Distillery</v>
      </c>
      <c r="Q229" s="19">
        <f>IF($A229="","",COUNTIFS([1]Products!$G$4:$G$4801,$A229,[1]Products!$L$4:$L$4801,"Yes"))</f>
        <v>1</v>
      </c>
      <c r="R229" s="19">
        <f>IF($A229="","",COUNTIFS([1]Products!$G$4:$G$4801,$A229,[1]Products!$L$4:$L$4801,"Yes",[1]Products!$K$4:$K$4801,"Draft"))</f>
        <v>0</v>
      </c>
      <c r="S229" s="19">
        <f>IF($A229="","",COUNTIFS([1]Products!$G$4:$G$4801,$A229,[1]Products!$L$4:$L$4801,"Yes",[1]Products!$K$4:$K$4801,"Package"))</f>
        <v>0</v>
      </c>
      <c r="T229" s="20" t="str" cm="1">
        <f t="array" ref="T229">IF($A229="","",_xlfn.IFS($Q229=0,"NO ACTIVE SKUs",AND($R229&gt;0,$S229&gt;0),"Draft &amp; Package",$R229&gt;0,"Draft only",TRUE,"Package only"))</f>
        <v>Package only</v>
      </c>
    </row>
    <row r="230" spans="1:20" x14ac:dyDescent="0.2">
      <c r="A230" s="9" t="str">
        <v>Sagres Cerveja</v>
      </c>
      <c r="B230" s="10" t="str">
        <f>IF($A230="","",_xlfn.XLOOKUP($A230,'[1]Brand Family Territory (Enc)'!$A:$A,'[1]Brand Family Territory (Enc)'!$B:$B,"** NO TERRITORY SET **"))</f>
        <v>Core + Morris Communities</v>
      </c>
      <c r="C230" s="11" t="str">
        <f>IF($A230="","",_xlfn.LET(_xlpm.t,MATCH($B230,'[1]Territory Definitions'!$B$5:$B$14,0),IF(ISNA(_xlpm.t),"NO TERRITORY",IF(INDEX('[1]Territory Definitions'!$D$5:$M$14,_xlpm.t,MATCH(C$4,'[1]Territory Definitions'!$D$4:$M$4,0))&lt;&gt;1,"NOT IN TERRITORY",IF(COUNTIFS('[1]Blackout Brand Fam Areas (Enc)'!$B$6:$B$998,$A230,'[1]Blackout Brand Fam Areas (Enc)'!$C$6:$C$998,C$4,'[1]Blackout Brand Fam Areas (Enc)'!$D$6:$D$998,"Inactive")&gt;0,"BLOCKED","CAN SELL")))))</f>
        <v>CAN SELL</v>
      </c>
      <c r="D230" s="11" t="str">
        <f>IF($A230="","",_xlfn.LET(_xlpm.t,MATCH($B230,'[1]Territory Definitions'!$B$5:$B$14,0),IF(ISNA(_xlpm.t),"NO TERRITORY",IF(INDEX('[1]Territory Definitions'!$D$5:$M$14,_xlpm.t,MATCH(D$4,'[1]Territory Definitions'!$D$4:$M$4,0))&lt;&gt;1,"NOT IN TERRITORY",IF(COUNTIFS('[1]Blackout Brand Fam Areas (Enc)'!$B$6:$B$998,$A230,'[1]Blackout Brand Fam Areas (Enc)'!$C$6:$C$998,D$4,'[1]Blackout Brand Fam Areas (Enc)'!$D$6:$D$998,"Inactive")&gt;0,"BLOCKED","CAN SELL")))))</f>
        <v>CAN SELL</v>
      </c>
      <c r="E230" s="11" t="str">
        <f>IF($A230="","",_xlfn.LET(_xlpm.t,MATCH($B230,'[1]Territory Definitions'!$B$5:$B$14,0),IF(ISNA(_xlpm.t),"NO TERRITORY",IF(INDEX('[1]Territory Definitions'!$D$5:$M$14,_xlpm.t,MATCH(E$4,'[1]Territory Definitions'!$D$4:$M$4,0))&lt;&gt;1,"NOT IN TERRITORY",IF(COUNTIFS('[1]Blackout Brand Fam Areas (Enc)'!$B$6:$B$998,$A230,'[1]Blackout Brand Fam Areas (Enc)'!$C$6:$C$998,E$4,'[1]Blackout Brand Fam Areas (Enc)'!$D$6:$D$998,"Inactive")&gt;0,"BLOCKED","CAN SELL")))))</f>
        <v>CAN SELL</v>
      </c>
      <c r="F230" s="11" t="str">
        <f>IF($A230="","",_xlfn.LET(_xlpm.t,MATCH($B230,'[1]Territory Definitions'!$B$5:$B$14,0),IF(ISNA(_xlpm.t),"NO TERRITORY",IF(INDEX('[1]Territory Definitions'!$D$5:$M$14,_xlpm.t,MATCH(F$4,'[1]Territory Definitions'!$D$4:$M$4,0))&lt;&gt;1,"NOT IN TERRITORY",IF(COUNTIFS('[1]Blackout Brand Fam Areas (Enc)'!$B$6:$B$998,$A230,'[1]Blackout Brand Fam Areas (Enc)'!$C$6:$C$998,F$4,'[1]Blackout Brand Fam Areas (Enc)'!$D$6:$D$998,"Inactive")&gt;0,"BLOCKED","CAN SELL")))))</f>
        <v>NOT IN TERRITORY</v>
      </c>
      <c r="G230" s="11" t="str">
        <f>IF($A230="","",_xlfn.LET(_xlpm.t,MATCH($B230,'[1]Territory Definitions'!$B$5:$B$14,0),IF(ISNA(_xlpm.t),"NO TERRITORY",IF(INDEX('[1]Territory Definitions'!$D$5:$M$14,_xlpm.t,MATCH(G$4,'[1]Territory Definitions'!$D$4:$M$4,0))&lt;&gt;1,"NOT IN TERRITORY",IF(COUNTIFS('[1]Blackout Brand Fam Areas (Enc)'!$B$6:$B$998,$A230,'[1]Blackout Brand Fam Areas (Enc)'!$C$6:$C$998,G$4,'[1]Blackout Brand Fam Areas (Enc)'!$D$6:$D$998,"Inactive")&gt;0,"BLOCKED","CAN SELL")))))</f>
        <v>NOT IN TERRITORY</v>
      </c>
      <c r="H230" s="11" t="str">
        <f>IF($A230="","",_xlfn.LET(_xlpm.t,MATCH($B230,'[1]Territory Definitions'!$B$5:$B$14,0),IF(ISNA(_xlpm.t),"NO TERRITORY",IF(INDEX('[1]Territory Definitions'!$D$5:$M$14,_xlpm.t,MATCH(H$4,'[1]Territory Definitions'!$D$4:$M$4,0))&lt;&gt;1,"NOT IN TERRITORY",IF(COUNTIFS('[1]Blackout Brand Fam Areas (Enc)'!$B$6:$B$998,$A230,'[1]Blackout Brand Fam Areas (Enc)'!$C$6:$C$998,H$4,'[1]Blackout Brand Fam Areas (Enc)'!$D$6:$D$998,"Inactive")&gt;0,"BLOCKED","CAN SELL")))))</f>
        <v>NOT IN TERRITORY</v>
      </c>
      <c r="I230" s="11" t="str">
        <f>IF($A230="","",_xlfn.LET(_xlpm.t,MATCH($B230,'[1]Territory Definitions'!$B$5:$B$14,0),IF(ISNA(_xlpm.t),"NO TERRITORY",IF(INDEX('[1]Territory Definitions'!$D$5:$M$14,_xlpm.t,MATCH(I$4,'[1]Territory Definitions'!$D$4:$M$4,0))&lt;&gt;1,"NOT IN TERRITORY",IF(COUNTIFS('[1]Blackout Brand Fam Areas (Enc)'!$B$6:$B$998,$A230,'[1]Blackout Brand Fam Areas (Enc)'!$C$6:$C$998,I$4,'[1]Blackout Brand Fam Areas (Enc)'!$D$6:$D$998,"Inactive")&gt;0,"BLOCKED","CAN SELL")))))</f>
        <v>NOT IN TERRITORY</v>
      </c>
      <c r="J230" s="11" t="str">
        <f>IF($A230="","",_xlfn.LET(_xlpm.t,MATCH($B230,'[1]Territory Definitions'!$B$5:$B$14,0),IF(ISNA(_xlpm.t),"NO TERRITORY",IF(INDEX('[1]Territory Definitions'!$D$5:$M$14,_xlpm.t,MATCH(J$4,'[1]Territory Definitions'!$D$4:$M$4,0))&lt;&gt;1,"NOT IN TERRITORY",IF(COUNTIFS('[1]Blackout Brand Fam Areas (Enc)'!$B$6:$B$998,$A230,'[1]Blackout Brand Fam Areas (Enc)'!$C$6:$C$998,J$4,'[1]Blackout Brand Fam Areas (Enc)'!$D$6:$D$998,"Inactive")&gt;0,"BLOCKED","CAN SELL")))))</f>
        <v>BLOCKED</v>
      </c>
      <c r="K230" s="11" t="str">
        <f>IF($A230="","",_xlfn.LET(_xlpm.t,MATCH($B230,'[1]Territory Definitions'!$B$5:$B$14,0),IF(ISNA(_xlpm.t),"NO TERRITORY",IF(INDEX('[1]Territory Definitions'!$D$5:$M$14,_xlpm.t,MATCH(K$4,'[1]Territory Definitions'!$D$4:$M$4,0))&lt;&gt;1,"NOT IN TERRITORY",IF(COUNTIFS('[1]Blackout Brand Fam Areas (Enc)'!$B$6:$B$998,$A230,'[1]Blackout Brand Fam Areas (Enc)'!$C$6:$C$998,K$4,'[1]Blackout Brand Fam Areas (Enc)'!$D$6:$D$998,"Inactive")&gt;0,"BLOCKED","CAN SELL")))))</f>
        <v>NOT IN TERRITORY</v>
      </c>
      <c r="L230" s="11" t="str">
        <f>IF($A230="","",_xlfn.LET(_xlpm.t,MATCH($B230,'[1]Territory Definitions'!$B$5:$B$14,0),IF(ISNA(_xlpm.t),"NO TERRITORY",IF(INDEX('[1]Territory Definitions'!$D$5:$M$14,_xlpm.t,MATCH(L$4,'[1]Territory Definitions'!$D$4:$M$4,0))&lt;&gt;1,"NOT IN TERRITORY",IF(COUNTIFS('[1]Blackout Brand Fam Areas (Enc)'!$B$6:$B$998,$A230,'[1]Blackout Brand Fam Areas (Enc)'!$C$6:$C$998,L$4,'[1]Blackout Brand Fam Areas (Enc)'!$D$6:$D$998,"Inactive")&gt;0,"BLOCKED","CAN SELL")))))</f>
        <v>CAN SELL</v>
      </c>
      <c r="M230" s="12">
        <f>IF($A230="","",COUNTIF($C230:$L230,"CAN SELL"))</f>
        <v>4</v>
      </c>
      <c r="N230" s="13" cm="1">
        <f t="array" ref="N230">IF($A230="","",SUMPRODUCT(($C230:$L230="CAN SELL")*$C$3:$L$3))</f>
        <v>1318</v>
      </c>
      <c r="O230" s="14" t="str">
        <f>IF($A230="","",IF(COUNTIF($A$5:$A$299,$A230)&gt;1,"DUPLICATE - two different territories assigned",IF($B230="** NO TERRITORY SET **","No territory on Brand Family Territory (Enc)","")))</f>
        <v/>
      </c>
      <c r="P230" s="18" t="str">
        <f>IF($A230="","",IFERROR(INDEX([1]Products!$H$4:$H$4801,MATCH($A230,[1]Products!$G$4:$G$4801,0)),"(no products)"))</f>
        <v>US Beverage</v>
      </c>
      <c r="Q230" s="19">
        <f>IF($A230="","",COUNTIFS([1]Products!$G$4:$G$4801,$A230,[1]Products!$L$4:$L$4801,"Yes"))</f>
        <v>1</v>
      </c>
      <c r="R230" s="19">
        <f>IF($A230="","",COUNTIFS([1]Products!$G$4:$G$4801,$A230,[1]Products!$L$4:$L$4801,"Yes",[1]Products!$K$4:$K$4801,"Draft"))</f>
        <v>0</v>
      </c>
      <c r="S230" s="19">
        <f>IF($A230="","",COUNTIFS([1]Products!$G$4:$G$4801,$A230,[1]Products!$L$4:$L$4801,"Yes",[1]Products!$K$4:$K$4801,"Package"))</f>
        <v>1</v>
      </c>
      <c r="T230" s="20" t="str" cm="1">
        <f t="array" ref="T230">IF($A230="","",_xlfn.IFS($Q230=0,"NO ACTIVE SKUs",AND($R230&gt;0,$S230&gt;0),"Draft &amp; Package",$R230&gt;0,"Draft only",TRUE,"Package only"))</f>
        <v>Package only</v>
      </c>
    </row>
    <row r="231" spans="1:20" x14ac:dyDescent="0.2">
      <c r="A231" s="9" t="str">
        <v>Samuel Adams</v>
      </c>
      <c r="B231" s="10" t="str">
        <f>IF($A231="","",_xlfn.XLOOKUP($A231,'[1]Brand Family Territory (Enc)'!$A:$A,'[1]Brand Family Territory (Enc)'!$B:$B,"** NO TERRITORY SET **"))</f>
        <v>Core Market</v>
      </c>
      <c r="C231" s="11" t="str">
        <f>IF($A231="","",_xlfn.LET(_xlpm.t,MATCH($B231,'[1]Territory Definitions'!$B$5:$B$14,0),IF(ISNA(_xlpm.t),"NO TERRITORY",IF(INDEX('[1]Territory Definitions'!$D$5:$M$14,_xlpm.t,MATCH(C$4,'[1]Territory Definitions'!$D$4:$M$4,0))&lt;&gt;1,"NOT IN TERRITORY",IF(COUNTIFS('[1]Blackout Brand Fam Areas (Enc)'!$B$6:$B$998,$A231,'[1]Blackout Brand Fam Areas (Enc)'!$C$6:$C$998,C$4,'[1]Blackout Brand Fam Areas (Enc)'!$D$6:$D$998,"Inactive")&gt;0,"BLOCKED","CAN SELL")))))</f>
        <v>CAN SELL</v>
      </c>
      <c r="D231" s="11" t="str">
        <f>IF($A231="","",_xlfn.LET(_xlpm.t,MATCH($B231,'[1]Territory Definitions'!$B$5:$B$14,0),IF(ISNA(_xlpm.t),"NO TERRITORY",IF(INDEX('[1]Territory Definitions'!$D$5:$M$14,_xlpm.t,MATCH(D$4,'[1]Territory Definitions'!$D$4:$M$4,0))&lt;&gt;1,"NOT IN TERRITORY",IF(COUNTIFS('[1]Blackout Brand Fam Areas (Enc)'!$B$6:$B$998,$A231,'[1]Blackout Brand Fam Areas (Enc)'!$C$6:$C$998,D$4,'[1]Blackout Brand Fam Areas (Enc)'!$D$6:$D$998,"Inactive")&gt;0,"BLOCKED","CAN SELL")))))</f>
        <v>CAN SELL</v>
      </c>
      <c r="E231" s="11" t="str">
        <f>IF($A231="","",_xlfn.LET(_xlpm.t,MATCH($B231,'[1]Territory Definitions'!$B$5:$B$14,0),IF(ISNA(_xlpm.t),"NO TERRITORY",IF(INDEX('[1]Territory Definitions'!$D$5:$M$14,_xlpm.t,MATCH(E$4,'[1]Territory Definitions'!$D$4:$M$4,0))&lt;&gt;1,"NOT IN TERRITORY",IF(COUNTIFS('[1]Blackout Brand Fam Areas (Enc)'!$B$6:$B$998,$A231,'[1]Blackout Brand Fam Areas (Enc)'!$C$6:$C$998,E$4,'[1]Blackout Brand Fam Areas (Enc)'!$D$6:$D$998,"Inactive")&gt;0,"BLOCKED","CAN SELL")))))</f>
        <v>CAN SELL</v>
      </c>
      <c r="F231" s="11" t="str">
        <f>IF($A231="","",_xlfn.LET(_xlpm.t,MATCH($B231,'[1]Territory Definitions'!$B$5:$B$14,0),IF(ISNA(_xlpm.t),"NO TERRITORY",IF(INDEX('[1]Territory Definitions'!$D$5:$M$14,_xlpm.t,MATCH(F$4,'[1]Territory Definitions'!$D$4:$M$4,0))&lt;&gt;1,"NOT IN TERRITORY",IF(COUNTIFS('[1]Blackout Brand Fam Areas (Enc)'!$B$6:$B$998,$A231,'[1]Blackout Brand Fam Areas (Enc)'!$C$6:$C$998,F$4,'[1]Blackout Brand Fam Areas (Enc)'!$D$6:$D$998,"Inactive")&gt;0,"BLOCKED","CAN SELL")))))</f>
        <v>NOT IN TERRITORY</v>
      </c>
      <c r="G231" s="11" t="str">
        <f>IF($A231="","",_xlfn.LET(_xlpm.t,MATCH($B231,'[1]Territory Definitions'!$B$5:$B$14,0),IF(ISNA(_xlpm.t),"NO TERRITORY",IF(INDEX('[1]Territory Definitions'!$D$5:$M$14,_xlpm.t,MATCH(G$4,'[1]Territory Definitions'!$D$4:$M$4,0))&lt;&gt;1,"NOT IN TERRITORY",IF(COUNTIFS('[1]Blackout Brand Fam Areas (Enc)'!$B$6:$B$998,$A231,'[1]Blackout Brand Fam Areas (Enc)'!$C$6:$C$998,G$4,'[1]Blackout Brand Fam Areas (Enc)'!$D$6:$D$998,"Inactive")&gt;0,"BLOCKED","CAN SELL")))))</f>
        <v>NOT IN TERRITORY</v>
      </c>
      <c r="H231" s="11" t="str">
        <f>IF($A231="","",_xlfn.LET(_xlpm.t,MATCH($B231,'[1]Territory Definitions'!$B$5:$B$14,0),IF(ISNA(_xlpm.t),"NO TERRITORY",IF(INDEX('[1]Territory Definitions'!$D$5:$M$14,_xlpm.t,MATCH(H$4,'[1]Territory Definitions'!$D$4:$M$4,0))&lt;&gt;1,"NOT IN TERRITORY",IF(COUNTIFS('[1]Blackout Brand Fam Areas (Enc)'!$B$6:$B$998,$A231,'[1]Blackout Brand Fam Areas (Enc)'!$C$6:$C$998,H$4,'[1]Blackout Brand Fam Areas (Enc)'!$D$6:$D$998,"Inactive")&gt;0,"BLOCKED","CAN SELL")))))</f>
        <v>NOT IN TERRITORY</v>
      </c>
      <c r="I231" s="11" t="str">
        <f>IF($A231="","",_xlfn.LET(_xlpm.t,MATCH($B231,'[1]Territory Definitions'!$B$5:$B$14,0),IF(ISNA(_xlpm.t),"NO TERRITORY",IF(INDEX('[1]Territory Definitions'!$D$5:$M$14,_xlpm.t,MATCH(I$4,'[1]Territory Definitions'!$D$4:$M$4,0))&lt;&gt;1,"NOT IN TERRITORY",IF(COUNTIFS('[1]Blackout Brand Fam Areas (Enc)'!$B$6:$B$998,$A231,'[1]Blackout Brand Fam Areas (Enc)'!$C$6:$C$998,I$4,'[1]Blackout Brand Fam Areas (Enc)'!$D$6:$D$998,"Inactive")&gt;0,"BLOCKED","CAN SELL")))))</f>
        <v>CAN SELL</v>
      </c>
      <c r="J231" s="11" t="str">
        <f>IF($A231="","",_xlfn.LET(_xlpm.t,MATCH($B231,'[1]Territory Definitions'!$B$5:$B$14,0),IF(ISNA(_xlpm.t),"NO TERRITORY",IF(INDEX('[1]Territory Definitions'!$D$5:$M$14,_xlpm.t,MATCH(J$4,'[1]Territory Definitions'!$D$4:$M$4,0))&lt;&gt;1,"NOT IN TERRITORY",IF(COUNTIFS('[1]Blackout Brand Fam Areas (Enc)'!$B$6:$B$998,$A231,'[1]Blackout Brand Fam Areas (Enc)'!$C$6:$C$998,J$4,'[1]Blackout Brand Fam Areas (Enc)'!$D$6:$D$998,"Inactive")&gt;0,"BLOCKED","CAN SELL")))))</f>
        <v>CAN SELL</v>
      </c>
      <c r="K231" s="11" t="str">
        <f>IF($A231="","",_xlfn.LET(_xlpm.t,MATCH($B231,'[1]Territory Definitions'!$B$5:$B$14,0),IF(ISNA(_xlpm.t),"NO TERRITORY",IF(INDEX('[1]Territory Definitions'!$D$5:$M$14,_xlpm.t,MATCH(K$4,'[1]Territory Definitions'!$D$4:$M$4,0))&lt;&gt;1,"NOT IN TERRITORY",IF(COUNTIFS('[1]Blackout Brand Fam Areas (Enc)'!$B$6:$B$998,$A231,'[1]Blackout Brand Fam Areas (Enc)'!$C$6:$C$998,K$4,'[1]Blackout Brand Fam Areas (Enc)'!$D$6:$D$998,"Inactive")&gt;0,"BLOCKED","CAN SELL")))))</f>
        <v>NOT IN TERRITORY</v>
      </c>
      <c r="L231" s="11" t="str">
        <f>IF($A231="","",_xlfn.LET(_xlpm.t,MATCH($B231,'[1]Territory Definitions'!$B$5:$B$14,0),IF(ISNA(_xlpm.t),"NO TERRITORY",IF(INDEX('[1]Territory Definitions'!$D$5:$M$14,_xlpm.t,MATCH(L$4,'[1]Territory Definitions'!$D$4:$M$4,0))&lt;&gt;1,"NOT IN TERRITORY",IF(COUNTIFS('[1]Blackout Brand Fam Areas (Enc)'!$B$6:$B$998,$A231,'[1]Blackout Brand Fam Areas (Enc)'!$C$6:$C$998,L$4,'[1]Blackout Brand Fam Areas (Enc)'!$D$6:$D$998,"Inactive")&gt;0,"BLOCKED","CAN SELL")))))</f>
        <v>CAN SELL</v>
      </c>
      <c r="M231" s="12">
        <f>IF($A231="","",COUNTIF($C231:$L231,"CAN SELL"))</f>
        <v>6</v>
      </c>
      <c r="N231" s="13" cm="1">
        <f t="array" ref="N231">IF($A231="","",SUMPRODUCT(($C231:$L231="CAN SELL")*$C$3:$L$3))</f>
        <v>1596</v>
      </c>
      <c r="O231" s="14" t="str">
        <f>IF($A231="","",IF(COUNTIF($A$5:$A$299,$A231)&gt;1,"DUPLICATE - two different territories assigned",IF($B231="** NO TERRITORY SET **","No territory on Brand Family Territory (Enc)","")))</f>
        <v/>
      </c>
      <c r="P231" s="18" t="str">
        <f>IF($A231="","",IFERROR(INDEX([1]Products!$H$4:$H$4801,MATCH($A231,[1]Products!$G$4:$G$4801,0)),"(no products)"))</f>
        <v>Boston Beer Company</v>
      </c>
      <c r="Q231" s="19">
        <f>IF($A231="","",COUNTIFS([1]Products!$G$4:$G$4801,$A231,[1]Products!$L$4:$L$4801,"Yes"))</f>
        <v>94</v>
      </c>
      <c r="R231" s="19">
        <f>IF($A231="","",COUNTIFS([1]Products!$G$4:$G$4801,$A231,[1]Products!$L$4:$L$4801,"Yes",[1]Products!$K$4:$K$4801,"Draft"))</f>
        <v>22</v>
      </c>
      <c r="S231" s="19">
        <f>IF($A231="","",COUNTIFS([1]Products!$G$4:$G$4801,$A231,[1]Products!$L$4:$L$4801,"Yes",[1]Products!$K$4:$K$4801,"Package"))</f>
        <v>72</v>
      </c>
      <c r="T231" s="20" t="str" cm="1">
        <f t="array" ref="T231">IF($A231="","",_xlfn.IFS($Q231=0,"NO ACTIVE SKUs",AND($R231&gt;0,$S231&gt;0),"Draft &amp; Package",$R231&gt;0,"Draft only",TRUE,"Package only"))</f>
        <v>Draft &amp; Package</v>
      </c>
    </row>
    <row r="232" spans="1:20" x14ac:dyDescent="0.2">
      <c r="A232" s="9" t="str">
        <v>Sapporo</v>
      </c>
      <c r="B232" s="10" t="str">
        <f>IF($A232="","",_xlfn.XLOOKUP($A232,'[1]Brand Family Territory (Enc)'!$A:$A,'[1]Brand Family Territory (Enc)'!$B:$B,"** NO TERRITORY SET **"))</f>
        <v>All Counties</v>
      </c>
      <c r="C232" s="11" t="str">
        <f>IF($A232="","",_xlfn.LET(_xlpm.t,MATCH($B232,'[1]Territory Definitions'!$B$5:$B$14,0),IF(ISNA(_xlpm.t),"NO TERRITORY",IF(INDEX('[1]Territory Definitions'!$D$5:$M$14,_xlpm.t,MATCH(C$4,'[1]Territory Definitions'!$D$4:$M$4,0))&lt;&gt;1,"NOT IN TERRITORY",IF(COUNTIFS('[1]Blackout Brand Fam Areas (Enc)'!$B$6:$B$998,$A232,'[1]Blackout Brand Fam Areas (Enc)'!$C$6:$C$998,C$4,'[1]Blackout Brand Fam Areas (Enc)'!$D$6:$D$998,"Inactive")&gt;0,"BLOCKED","CAN SELL")))))</f>
        <v>CAN SELL</v>
      </c>
      <c r="D232" s="11" t="str">
        <f>IF($A232="","",_xlfn.LET(_xlpm.t,MATCH($B232,'[1]Territory Definitions'!$B$5:$B$14,0),IF(ISNA(_xlpm.t),"NO TERRITORY",IF(INDEX('[1]Territory Definitions'!$D$5:$M$14,_xlpm.t,MATCH(D$4,'[1]Territory Definitions'!$D$4:$M$4,0))&lt;&gt;1,"NOT IN TERRITORY",IF(COUNTIFS('[1]Blackout Brand Fam Areas (Enc)'!$B$6:$B$998,$A232,'[1]Blackout Brand Fam Areas (Enc)'!$C$6:$C$998,D$4,'[1]Blackout Brand Fam Areas (Enc)'!$D$6:$D$998,"Inactive")&gt;0,"BLOCKED","CAN SELL")))))</f>
        <v>CAN SELL</v>
      </c>
      <c r="E232" s="11" t="str">
        <f>IF($A232="","",_xlfn.LET(_xlpm.t,MATCH($B232,'[1]Territory Definitions'!$B$5:$B$14,0),IF(ISNA(_xlpm.t),"NO TERRITORY",IF(INDEX('[1]Territory Definitions'!$D$5:$M$14,_xlpm.t,MATCH(E$4,'[1]Territory Definitions'!$D$4:$M$4,0))&lt;&gt;1,"NOT IN TERRITORY",IF(COUNTIFS('[1]Blackout Brand Fam Areas (Enc)'!$B$6:$B$998,$A232,'[1]Blackout Brand Fam Areas (Enc)'!$C$6:$C$998,E$4,'[1]Blackout Brand Fam Areas (Enc)'!$D$6:$D$998,"Inactive")&gt;0,"BLOCKED","CAN SELL")))))</f>
        <v>CAN SELL</v>
      </c>
      <c r="F232" s="11" t="str">
        <f>IF($A232="","",_xlfn.LET(_xlpm.t,MATCH($B232,'[1]Territory Definitions'!$B$5:$B$14,0),IF(ISNA(_xlpm.t),"NO TERRITORY",IF(INDEX('[1]Territory Definitions'!$D$5:$M$14,_xlpm.t,MATCH(F$4,'[1]Territory Definitions'!$D$4:$M$4,0))&lt;&gt;1,"NOT IN TERRITORY",IF(COUNTIFS('[1]Blackout Brand Fam Areas (Enc)'!$B$6:$B$998,$A232,'[1]Blackout Brand Fam Areas (Enc)'!$C$6:$C$998,F$4,'[1]Blackout Brand Fam Areas (Enc)'!$D$6:$D$998,"Inactive")&gt;0,"BLOCKED","CAN SELL")))))</f>
        <v>CAN SELL</v>
      </c>
      <c r="G232" s="11" t="str">
        <f>IF($A232="","",_xlfn.LET(_xlpm.t,MATCH($B232,'[1]Territory Definitions'!$B$5:$B$14,0),IF(ISNA(_xlpm.t),"NO TERRITORY",IF(INDEX('[1]Territory Definitions'!$D$5:$M$14,_xlpm.t,MATCH(G$4,'[1]Territory Definitions'!$D$4:$M$4,0))&lt;&gt;1,"NOT IN TERRITORY",IF(COUNTIFS('[1]Blackout Brand Fam Areas (Enc)'!$B$6:$B$998,$A232,'[1]Blackout Brand Fam Areas (Enc)'!$C$6:$C$998,G$4,'[1]Blackout Brand Fam Areas (Enc)'!$D$6:$D$998,"Inactive")&gt;0,"BLOCKED","CAN SELL")))))</f>
        <v>CAN SELL</v>
      </c>
      <c r="H232" s="11" t="str">
        <f>IF($A232="","",_xlfn.LET(_xlpm.t,MATCH($B232,'[1]Territory Definitions'!$B$5:$B$14,0),IF(ISNA(_xlpm.t),"NO TERRITORY",IF(INDEX('[1]Territory Definitions'!$D$5:$M$14,_xlpm.t,MATCH(H$4,'[1]Territory Definitions'!$D$4:$M$4,0))&lt;&gt;1,"NOT IN TERRITORY",IF(COUNTIFS('[1]Blackout Brand Fam Areas (Enc)'!$B$6:$B$998,$A232,'[1]Blackout Brand Fam Areas (Enc)'!$C$6:$C$998,H$4,'[1]Blackout Brand Fam Areas (Enc)'!$D$6:$D$998,"Inactive")&gt;0,"BLOCKED","CAN SELL")))))</f>
        <v>CAN SELL</v>
      </c>
      <c r="I232" s="11" t="str">
        <f>IF($A232="","",_xlfn.LET(_xlpm.t,MATCH($B232,'[1]Territory Definitions'!$B$5:$B$14,0),IF(ISNA(_xlpm.t),"NO TERRITORY",IF(INDEX('[1]Territory Definitions'!$D$5:$M$14,_xlpm.t,MATCH(I$4,'[1]Territory Definitions'!$D$4:$M$4,0))&lt;&gt;1,"NOT IN TERRITORY",IF(COUNTIFS('[1]Blackout Brand Fam Areas (Enc)'!$B$6:$B$998,$A232,'[1]Blackout Brand Fam Areas (Enc)'!$C$6:$C$998,I$4,'[1]Blackout Brand Fam Areas (Enc)'!$D$6:$D$998,"Inactive")&gt;0,"BLOCKED","CAN SELL")))))</f>
        <v>CAN SELL</v>
      </c>
      <c r="J232" s="11" t="str">
        <f>IF($A232="","",_xlfn.LET(_xlpm.t,MATCH($B232,'[1]Territory Definitions'!$B$5:$B$14,0),IF(ISNA(_xlpm.t),"NO TERRITORY",IF(INDEX('[1]Territory Definitions'!$D$5:$M$14,_xlpm.t,MATCH(J$4,'[1]Territory Definitions'!$D$4:$M$4,0))&lt;&gt;1,"NOT IN TERRITORY",IF(COUNTIFS('[1]Blackout Brand Fam Areas (Enc)'!$B$6:$B$998,$A232,'[1]Blackout Brand Fam Areas (Enc)'!$C$6:$C$998,J$4,'[1]Blackout Brand Fam Areas (Enc)'!$D$6:$D$998,"Inactive")&gt;0,"BLOCKED","CAN SELL")))))</f>
        <v>CAN SELL</v>
      </c>
      <c r="K232" s="11" t="str">
        <f>IF($A232="","",_xlfn.LET(_xlpm.t,MATCH($B232,'[1]Territory Definitions'!$B$5:$B$14,0),IF(ISNA(_xlpm.t),"NO TERRITORY",IF(INDEX('[1]Territory Definitions'!$D$5:$M$14,_xlpm.t,MATCH(K$4,'[1]Territory Definitions'!$D$4:$M$4,0))&lt;&gt;1,"NOT IN TERRITORY",IF(COUNTIFS('[1]Blackout Brand Fam Areas (Enc)'!$B$6:$B$998,$A232,'[1]Blackout Brand Fam Areas (Enc)'!$C$6:$C$998,K$4,'[1]Blackout Brand Fam Areas (Enc)'!$D$6:$D$998,"Inactive")&gt;0,"BLOCKED","CAN SELL")))))</f>
        <v>CAN SELL</v>
      </c>
      <c r="L232" s="11" t="str">
        <f>IF($A232="","",_xlfn.LET(_xlpm.t,MATCH($B232,'[1]Territory Definitions'!$B$5:$B$14,0),IF(ISNA(_xlpm.t),"NO TERRITORY",IF(INDEX('[1]Territory Definitions'!$D$5:$M$14,_xlpm.t,MATCH(L$4,'[1]Territory Definitions'!$D$4:$M$4,0))&lt;&gt;1,"NOT IN TERRITORY",IF(COUNTIFS('[1]Blackout Brand Fam Areas (Enc)'!$B$6:$B$998,$A232,'[1]Blackout Brand Fam Areas (Enc)'!$C$6:$C$998,L$4,'[1]Blackout Brand Fam Areas (Enc)'!$D$6:$D$998,"Inactive")&gt;0,"BLOCKED","CAN SELL")))))</f>
        <v>CAN SELL</v>
      </c>
      <c r="M232" s="12">
        <f>IF($A232="","",COUNTIF($C232:$L232,"CAN SELL"))</f>
        <v>10</v>
      </c>
      <c r="N232" s="13" cm="1">
        <f t="array" ref="N232">IF($A232="","",SUMPRODUCT(($C232:$L232="CAN SELL")*$C$3:$L$3))</f>
        <v>2306</v>
      </c>
      <c r="O232" s="14" t="str">
        <f>IF($A232="","",IF(COUNTIF($A$5:$A$299,$A232)&gt;1,"DUPLICATE - two different territories assigned",IF($B232="** NO TERRITORY SET **","No territory on Brand Family Territory (Enc)","")))</f>
        <v/>
      </c>
      <c r="P232" s="18" t="str">
        <f>IF($A232="","",IFERROR(INDEX([1]Products!$H$4:$H$4801,MATCH($A232,[1]Products!$G$4:$G$4801,0)),"(no products)"))</f>
        <v>Sapporo</v>
      </c>
      <c r="Q232" s="19">
        <f>IF($A232="","",COUNTIFS([1]Products!$G$4:$G$4801,$A232,[1]Products!$L$4:$L$4801,"Yes"))</f>
        <v>13</v>
      </c>
      <c r="R232" s="19">
        <f>IF($A232="","",COUNTIFS([1]Products!$G$4:$G$4801,$A232,[1]Products!$L$4:$L$4801,"Yes",[1]Products!$K$4:$K$4801,"Draft"))</f>
        <v>2</v>
      </c>
      <c r="S232" s="19">
        <f>IF($A232="","",COUNTIFS([1]Products!$G$4:$G$4801,$A232,[1]Products!$L$4:$L$4801,"Yes",[1]Products!$K$4:$K$4801,"Package"))</f>
        <v>11</v>
      </c>
      <c r="T232" s="20" t="str" cm="1">
        <f t="array" ref="T232">IF($A232="","",_xlfn.IFS($Q232=0,"NO ACTIVE SKUs",AND($R232&gt;0,$S232&gt;0),"Draft &amp; Package",$R232&gt;0,"Draft only",TRUE,"Package only"))</f>
        <v>Draft &amp; Package</v>
      </c>
    </row>
    <row r="233" spans="1:20" x14ac:dyDescent="0.2">
      <c r="A233" s="9" t="str">
        <v>Saranac</v>
      </c>
      <c r="B233" s="10" t="str">
        <f>IF($A233="","",_xlfn.XLOOKUP($A233,'[1]Brand Family Territory (Enc)'!$A:$A,'[1]Brand Family Territory (Enc)'!$B:$B,"** NO TERRITORY SET **"))</f>
        <v>All Counties</v>
      </c>
      <c r="C233" s="11" t="str">
        <f>IF($A233="","",_xlfn.LET(_xlpm.t,MATCH($B233,'[1]Territory Definitions'!$B$5:$B$14,0),IF(ISNA(_xlpm.t),"NO TERRITORY",IF(INDEX('[1]Territory Definitions'!$D$5:$M$14,_xlpm.t,MATCH(C$4,'[1]Territory Definitions'!$D$4:$M$4,0))&lt;&gt;1,"NOT IN TERRITORY",IF(COUNTIFS('[1]Blackout Brand Fam Areas (Enc)'!$B$6:$B$998,$A233,'[1]Blackout Brand Fam Areas (Enc)'!$C$6:$C$998,C$4,'[1]Blackout Brand Fam Areas (Enc)'!$D$6:$D$998,"Inactive")&gt;0,"BLOCKED","CAN SELL")))))</f>
        <v>CAN SELL</v>
      </c>
      <c r="D233" s="11" t="str">
        <f>IF($A233="","",_xlfn.LET(_xlpm.t,MATCH($B233,'[1]Territory Definitions'!$B$5:$B$14,0),IF(ISNA(_xlpm.t),"NO TERRITORY",IF(INDEX('[1]Territory Definitions'!$D$5:$M$14,_xlpm.t,MATCH(D$4,'[1]Territory Definitions'!$D$4:$M$4,0))&lt;&gt;1,"NOT IN TERRITORY",IF(COUNTIFS('[1]Blackout Brand Fam Areas (Enc)'!$B$6:$B$998,$A233,'[1]Blackout Brand Fam Areas (Enc)'!$C$6:$C$998,D$4,'[1]Blackout Brand Fam Areas (Enc)'!$D$6:$D$998,"Inactive")&gt;0,"BLOCKED","CAN SELL")))))</f>
        <v>CAN SELL</v>
      </c>
      <c r="E233" s="11" t="str">
        <f>IF($A233="","",_xlfn.LET(_xlpm.t,MATCH($B233,'[1]Territory Definitions'!$B$5:$B$14,0),IF(ISNA(_xlpm.t),"NO TERRITORY",IF(INDEX('[1]Territory Definitions'!$D$5:$M$14,_xlpm.t,MATCH(E$4,'[1]Territory Definitions'!$D$4:$M$4,0))&lt;&gt;1,"NOT IN TERRITORY",IF(COUNTIFS('[1]Blackout Brand Fam Areas (Enc)'!$B$6:$B$998,$A233,'[1]Blackout Brand Fam Areas (Enc)'!$C$6:$C$998,E$4,'[1]Blackout Brand Fam Areas (Enc)'!$D$6:$D$998,"Inactive")&gt;0,"BLOCKED","CAN SELL")))))</f>
        <v>CAN SELL</v>
      </c>
      <c r="F233" s="11" t="str">
        <f>IF($A233="","",_xlfn.LET(_xlpm.t,MATCH($B233,'[1]Territory Definitions'!$B$5:$B$14,0),IF(ISNA(_xlpm.t),"NO TERRITORY",IF(INDEX('[1]Territory Definitions'!$D$5:$M$14,_xlpm.t,MATCH(F$4,'[1]Territory Definitions'!$D$4:$M$4,0))&lt;&gt;1,"NOT IN TERRITORY",IF(COUNTIFS('[1]Blackout Brand Fam Areas (Enc)'!$B$6:$B$998,$A233,'[1]Blackout Brand Fam Areas (Enc)'!$C$6:$C$998,F$4,'[1]Blackout Brand Fam Areas (Enc)'!$D$6:$D$998,"Inactive")&gt;0,"BLOCKED","CAN SELL")))))</f>
        <v>CAN SELL</v>
      </c>
      <c r="G233" s="11" t="str">
        <f>IF($A233="","",_xlfn.LET(_xlpm.t,MATCH($B233,'[1]Territory Definitions'!$B$5:$B$14,0),IF(ISNA(_xlpm.t),"NO TERRITORY",IF(INDEX('[1]Territory Definitions'!$D$5:$M$14,_xlpm.t,MATCH(G$4,'[1]Territory Definitions'!$D$4:$M$4,0))&lt;&gt;1,"NOT IN TERRITORY",IF(COUNTIFS('[1]Blackout Brand Fam Areas (Enc)'!$B$6:$B$998,$A233,'[1]Blackout Brand Fam Areas (Enc)'!$C$6:$C$998,G$4,'[1]Blackout Brand Fam Areas (Enc)'!$D$6:$D$998,"Inactive")&gt;0,"BLOCKED","CAN SELL")))))</f>
        <v>CAN SELL</v>
      </c>
      <c r="H233" s="11" t="str">
        <f>IF($A233="","",_xlfn.LET(_xlpm.t,MATCH($B233,'[1]Territory Definitions'!$B$5:$B$14,0),IF(ISNA(_xlpm.t),"NO TERRITORY",IF(INDEX('[1]Territory Definitions'!$D$5:$M$14,_xlpm.t,MATCH(H$4,'[1]Territory Definitions'!$D$4:$M$4,0))&lt;&gt;1,"NOT IN TERRITORY",IF(COUNTIFS('[1]Blackout Brand Fam Areas (Enc)'!$B$6:$B$998,$A233,'[1]Blackout Brand Fam Areas (Enc)'!$C$6:$C$998,H$4,'[1]Blackout Brand Fam Areas (Enc)'!$D$6:$D$998,"Inactive")&gt;0,"BLOCKED","CAN SELL")))))</f>
        <v>CAN SELL</v>
      </c>
      <c r="I233" s="11" t="str">
        <f>IF($A233="","",_xlfn.LET(_xlpm.t,MATCH($B233,'[1]Territory Definitions'!$B$5:$B$14,0),IF(ISNA(_xlpm.t),"NO TERRITORY",IF(INDEX('[1]Territory Definitions'!$D$5:$M$14,_xlpm.t,MATCH(I$4,'[1]Territory Definitions'!$D$4:$M$4,0))&lt;&gt;1,"NOT IN TERRITORY",IF(COUNTIFS('[1]Blackout Brand Fam Areas (Enc)'!$B$6:$B$998,$A233,'[1]Blackout Brand Fam Areas (Enc)'!$C$6:$C$998,I$4,'[1]Blackout Brand Fam Areas (Enc)'!$D$6:$D$998,"Inactive")&gt;0,"BLOCKED","CAN SELL")))))</f>
        <v>CAN SELL</v>
      </c>
      <c r="J233" s="11" t="str">
        <f>IF($A233="","",_xlfn.LET(_xlpm.t,MATCH($B233,'[1]Territory Definitions'!$B$5:$B$14,0),IF(ISNA(_xlpm.t),"NO TERRITORY",IF(INDEX('[1]Territory Definitions'!$D$5:$M$14,_xlpm.t,MATCH(J$4,'[1]Territory Definitions'!$D$4:$M$4,0))&lt;&gt;1,"NOT IN TERRITORY",IF(COUNTIFS('[1]Blackout Brand Fam Areas (Enc)'!$B$6:$B$998,$A233,'[1]Blackout Brand Fam Areas (Enc)'!$C$6:$C$998,J$4,'[1]Blackout Brand Fam Areas (Enc)'!$D$6:$D$998,"Inactive")&gt;0,"BLOCKED","CAN SELL")))))</f>
        <v>CAN SELL</v>
      </c>
      <c r="K233" s="11" t="str">
        <f>IF($A233="","",_xlfn.LET(_xlpm.t,MATCH($B233,'[1]Territory Definitions'!$B$5:$B$14,0),IF(ISNA(_xlpm.t),"NO TERRITORY",IF(INDEX('[1]Territory Definitions'!$D$5:$M$14,_xlpm.t,MATCH(K$4,'[1]Territory Definitions'!$D$4:$M$4,0))&lt;&gt;1,"NOT IN TERRITORY",IF(COUNTIFS('[1]Blackout Brand Fam Areas (Enc)'!$B$6:$B$998,$A233,'[1]Blackout Brand Fam Areas (Enc)'!$C$6:$C$998,K$4,'[1]Blackout Brand Fam Areas (Enc)'!$D$6:$D$998,"Inactive")&gt;0,"BLOCKED","CAN SELL")))))</f>
        <v>CAN SELL</v>
      </c>
      <c r="L233" s="11" t="str">
        <f>IF($A233="","",_xlfn.LET(_xlpm.t,MATCH($B233,'[1]Territory Definitions'!$B$5:$B$14,0),IF(ISNA(_xlpm.t),"NO TERRITORY",IF(INDEX('[1]Territory Definitions'!$D$5:$M$14,_xlpm.t,MATCH(L$4,'[1]Territory Definitions'!$D$4:$M$4,0))&lt;&gt;1,"NOT IN TERRITORY",IF(COUNTIFS('[1]Blackout Brand Fam Areas (Enc)'!$B$6:$B$998,$A233,'[1]Blackout Brand Fam Areas (Enc)'!$C$6:$C$998,L$4,'[1]Blackout Brand Fam Areas (Enc)'!$D$6:$D$998,"Inactive")&gt;0,"BLOCKED","CAN SELL")))))</f>
        <v>CAN SELL</v>
      </c>
      <c r="M233" s="12">
        <f>IF($A233="","",COUNTIF($C233:$L233,"CAN SELL"))</f>
        <v>10</v>
      </c>
      <c r="N233" s="13" cm="1">
        <f t="array" ref="N233">IF($A233="","",SUMPRODUCT(($C233:$L233="CAN SELL")*$C$3:$L$3))</f>
        <v>2306</v>
      </c>
      <c r="O233" s="14" t="str">
        <f>IF($A233="","",IF(COUNTIF($A$5:$A$299,$A233)&gt;1,"DUPLICATE - two different territories assigned",IF($B233="** NO TERRITORY SET **","No territory on Brand Family Territory (Enc)","")))</f>
        <v/>
      </c>
      <c r="P233" s="18" t="str">
        <f>IF($A233="","",IFERROR(INDEX([1]Products!$H$4:$H$4801,MATCH($A233,[1]Products!$G$4:$G$4801,0)),"(no products)"))</f>
        <v>FX Matt</v>
      </c>
      <c r="Q233" s="19">
        <f>IF($A233="","",COUNTIFS([1]Products!$G$4:$G$4801,$A233,[1]Products!$L$4:$L$4801,"Yes"))</f>
        <v>22</v>
      </c>
      <c r="R233" s="19">
        <f>IF($A233="","",COUNTIFS([1]Products!$G$4:$G$4801,$A233,[1]Products!$L$4:$L$4801,"Yes",[1]Products!$K$4:$K$4801,"Draft"))</f>
        <v>1</v>
      </c>
      <c r="S233" s="19">
        <f>IF($A233="","",COUNTIFS([1]Products!$G$4:$G$4801,$A233,[1]Products!$L$4:$L$4801,"Yes",[1]Products!$K$4:$K$4801,"Package"))</f>
        <v>21</v>
      </c>
      <c r="T233" s="20" t="str" cm="1">
        <f t="array" ref="T233">IF($A233="","",_xlfn.IFS($Q233=0,"NO ACTIVE SKUs",AND($R233&gt;0,$S233&gt;0),"Draft &amp; Package",$R233&gt;0,"Draft only",TRUE,"Package only"))</f>
        <v>Draft &amp; Package</v>
      </c>
    </row>
    <row r="234" spans="1:20" x14ac:dyDescent="0.2">
      <c r="A234" s="9" t="str">
        <v>Saratoga</v>
      </c>
      <c r="B234" s="10" t="str">
        <f>IF($A234="","",_xlfn.XLOOKUP($A234,'[1]Brand Family Territory (Enc)'!$A:$A,'[1]Brand Family Territory (Enc)'!$B:$B,"** NO TERRITORY SET **"))</f>
        <v>All Counties</v>
      </c>
      <c r="C234" s="11" t="str">
        <f>IF($A234="","",_xlfn.LET(_xlpm.t,MATCH($B234,'[1]Territory Definitions'!$B$5:$B$14,0),IF(ISNA(_xlpm.t),"NO TERRITORY",IF(INDEX('[1]Territory Definitions'!$D$5:$M$14,_xlpm.t,MATCH(C$4,'[1]Territory Definitions'!$D$4:$M$4,0))&lt;&gt;1,"NOT IN TERRITORY",IF(COUNTIFS('[1]Blackout Brand Fam Areas (Enc)'!$B$6:$B$998,$A234,'[1]Blackout Brand Fam Areas (Enc)'!$C$6:$C$998,C$4,'[1]Blackout Brand Fam Areas (Enc)'!$D$6:$D$998,"Inactive")&gt;0,"BLOCKED","CAN SELL")))))</f>
        <v>CAN SELL</v>
      </c>
      <c r="D234" s="11" t="str">
        <f>IF($A234="","",_xlfn.LET(_xlpm.t,MATCH($B234,'[1]Territory Definitions'!$B$5:$B$14,0),IF(ISNA(_xlpm.t),"NO TERRITORY",IF(INDEX('[1]Territory Definitions'!$D$5:$M$14,_xlpm.t,MATCH(D$4,'[1]Territory Definitions'!$D$4:$M$4,0))&lt;&gt;1,"NOT IN TERRITORY",IF(COUNTIFS('[1]Blackout Brand Fam Areas (Enc)'!$B$6:$B$998,$A234,'[1]Blackout Brand Fam Areas (Enc)'!$C$6:$C$998,D$4,'[1]Blackout Brand Fam Areas (Enc)'!$D$6:$D$998,"Inactive")&gt;0,"BLOCKED","CAN SELL")))))</f>
        <v>CAN SELL</v>
      </c>
      <c r="E234" s="11" t="str">
        <f>IF($A234="","",_xlfn.LET(_xlpm.t,MATCH($B234,'[1]Territory Definitions'!$B$5:$B$14,0),IF(ISNA(_xlpm.t),"NO TERRITORY",IF(INDEX('[1]Territory Definitions'!$D$5:$M$14,_xlpm.t,MATCH(E$4,'[1]Territory Definitions'!$D$4:$M$4,0))&lt;&gt;1,"NOT IN TERRITORY",IF(COUNTIFS('[1]Blackout Brand Fam Areas (Enc)'!$B$6:$B$998,$A234,'[1]Blackout Brand Fam Areas (Enc)'!$C$6:$C$998,E$4,'[1]Blackout Brand Fam Areas (Enc)'!$D$6:$D$998,"Inactive")&gt;0,"BLOCKED","CAN SELL")))))</f>
        <v>CAN SELL</v>
      </c>
      <c r="F234" s="11" t="str">
        <f>IF($A234="","",_xlfn.LET(_xlpm.t,MATCH($B234,'[1]Territory Definitions'!$B$5:$B$14,0),IF(ISNA(_xlpm.t),"NO TERRITORY",IF(INDEX('[1]Territory Definitions'!$D$5:$M$14,_xlpm.t,MATCH(F$4,'[1]Territory Definitions'!$D$4:$M$4,0))&lt;&gt;1,"NOT IN TERRITORY",IF(COUNTIFS('[1]Blackout Brand Fam Areas (Enc)'!$B$6:$B$998,$A234,'[1]Blackout Brand Fam Areas (Enc)'!$C$6:$C$998,F$4,'[1]Blackout Brand Fam Areas (Enc)'!$D$6:$D$998,"Inactive")&gt;0,"BLOCKED","CAN SELL")))))</f>
        <v>CAN SELL</v>
      </c>
      <c r="G234" s="11" t="str">
        <f>IF($A234="","",_xlfn.LET(_xlpm.t,MATCH($B234,'[1]Territory Definitions'!$B$5:$B$14,0),IF(ISNA(_xlpm.t),"NO TERRITORY",IF(INDEX('[1]Territory Definitions'!$D$5:$M$14,_xlpm.t,MATCH(G$4,'[1]Territory Definitions'!$D$4:$M$4,0))&lt;&gt;1,"NOT IN TERRITORY",IF(COUNTIFS('[1]Blackout Brand Fam Areas (Enc)'!$B$6:$B$998,$A234,'[1]Blackout Brand Fam Areas (Enc)'!$C$6:$C$998,G$4,'[1]Blackout Brand Fam Areas (Enc)'!$D$6:$D$998,"Inactive")&gt;0,"BLOCKED","CAN SELL")))))</f>
        <v>CAN SELL</v>
      </c>
      <c r="H234" s="11" t="str">
        <f>IF($A234="","",_xlfn.LET(_xlpm.t,MATCH($B234,'[1]Territory Definitions'!$B$5:$B$14,0),IF(ISNA(_xlpm.t),"NO TERRITORY",IF(INDEX('[1]Territory Definitions'!$D$5:$M$14,_xlpm.t,MATCH(H$4,'[1]Territory Definitions'!$D$4:$M$4,0))&lt;&gt;1,"NOT IN TERRITORY",IF(COUNTIFS('[1]Blackout Brand Fam Areas (Enc)'!$B$6:$B$998,$A234,'[1]Blackout Brand Fam Areas (Enc)'!$C$6:$C$998,H$4,'[1]Blackout Brand Fam Areas (Enc)'!$D$6:$D$998,"Inactive")&gt;0,"BLOCKED","CAN SELL")))))</f>
        <v>CAN SELL</v>
      </c>
      <c r="I234" s="11" t="str">
        <f>IF($A234="","",_xlfn.LET(_xlpm.t,MATCH($B234,'[1]Territory Definitions'!$B$5:$B$14,0),IF(ISNA(_xlpm.t),"NO TERRITORY",IF(INDEX('[1]Territory Definitions'!$D$5:$M$14,_xlpm.t,MATCH(I$4,'[1]Territory Definitions'!$D$4:$M$4,0))&lt;&gt;1,"NOT IN TERRITORY",IF(COUNTIFS('[1]Blackout Brand Fam Areas (Enc)'!$B$6:$B$998,$A234,'[1]Blackout Brand Fam Areas (Enc)'!$C$6:$C$998,I$4,'[1]Blackout Brand Fam Areas (Enc)'!$D$6:$D$998,"Inactive")&gt;0,"BLOCKED","CAN SELL")))))</f>
        <v>CAN SELL</v>
      </c>
      <c r="J234" s="11" t="str">
        <f>IF($A234="","",_xlfn.LET(_xlpm.t,MATCH($B234,'[1]Territory Definitions'!$B$5:$B$14,0),IF(ISNA(_xlpm.t),"NO TERRITORY",IF(INDEX('[1]Territory Definitions'!$D$5:$M$14,_xlpm.t,MATCH(J$4,'[1]Territory Definitions'!$D$4:$M$4,0))&lt;&gt;1,"NOT IN TERRITORY",IF(COUNTIFS('[1]Blackout Brand Fam Areas (Enc)'!$B$6:$B$998,$A234,'[1]Blackout Brand Fam Areas (Enc)'!$C$6:$C$998,J$4,'[1]Blackout Brand Fam Areas (Enc)'!$D$6:$D$998,"Inactive")&gt;0,"BLOCKED","CAN SELL")))))</f>
        <v>CAN SELL</v>
      </c>
      <c r="K234" s="11" t="str">
        <f>IF($A234="","",_xlfn.LET(_xlpm.t,MATCH($B234,'[1]Territory Definitions'!$B$5:$B$14,0),IF(ISNA(_xlpm.t),"NO TERRITORY",IF(INDEX('[1]Territory Definitions'!$D$5:$M$14,_xlpm.t,MATCH(K$4,'[1]Territory Definitions'!$D$4:$M$4,0))&lt;&gt;1,"NOT IN TERRITORY",IF(COUNTIFS('[1]Blackout Brand Fam Areas (Enc)'!$B$6:$B$998,$A234,'[1]Blackout Brand Fam Areas (Enc)'!$C$6:$C$998,K$4,'[1]Blackout Brand Fam Areas (Enc)'!$D$6:$D$998,"Inactive")&gt;0,"BLOCKED","CAN SELL")))))</f>
        <v>CAN SELL</v>
      </c>
      <c r="L234" s="11" t="str">
        <f>IF($A234="","",_xlfn.LET(_xlpm.t,MATCH($B234,'[1]Territory Definitions'!$B$5:$B$14,0),IF(ISNA(_xlpm.t),"NO TERRITORY",IF(INDEX('[1]Territory Definitions'!$D$5:$M$14,_xlpm.t,MATCH(L$4,'[1]Territory Definitions'!$D$4:$M$4,0))&lt;&gt;1,"NOT IN TERRITORY",IF(COUNTIFS('[1]Blackout Brand Fam Areas (Enc)'!$B$6:$B$998,$A234,'[1]Blackout Brand Fam Areas (Enc)'!$C$6:$C$998,L$4,'[1]Blackout Brand Fam Areas (Enc)'!$D$6:$D$998,"Inactive")&gt;0,"BLOCKED","CAN SELL")))))</f>
        <v>CAN SELL</v>
      </c>
      <c r="M234" s="12">
        <f>IF($A234="","",COUNTIF($C234:$L234,"CAN SELL"))</f>
        <v>10</v>
      </c>
      <c r="N234" s="13" cm="1">
        <f t="array" ref="N234">IF($A234="","",SUMPRODUCT(($C234:$L234="CAN SELL")*$C$3:$L$3))</f>
        <v>2306</v>
      </c>
      <c r="O234" s="14" t="str">
        <f>IF($A234="","",IF(COUNTIF($A$5:$A$299,$A234)&gt;1,"DUPLICATE - two different territories assigned",IF($B234="** NO TERRITORY SET **","No territory on Brand Family Territory (Enc)","")))</f>
        <v/>
      </c>
      <c r="P234" s="18" t="str">
        <f>IF($A234="","",IFERROR(INDEX([1]Products!$H$4:$H$4801,MATCH($A234,[1]Products!$G$4:$G$4801,0)),"(no products)"))</f>
        <v>Saratoga</v>
      </c>
      <c r="Q234" s="19">
        <f>IF($A234="","",COUNTIFS([1]Products!$G$4:$G$4801,$A234,[1]Products!$L$4:$L$4801,"Yes"))</f>
        <v>4</v>
      </c>
      <c r="R234" s="19">
        <f>IF($A234="","",COUNTIFS([1]Products!$G$4:$G$4801,$A234,[1]Products!$L$4:$L$4801,"Yes",[1]Products!$K$4:$K$4801,"Draft"))</f>
        <v>0</v>
      </c>
      <c r="S234" s="19">
        <f>IF($A234="","",COUNTIFS([1]Products!$G$4:$G$4801,$A234,[1]Products!$L$4:$L$4801,"Yes",[1]Products!$K$4:$K$4801,"Package"))</f>
        <v>4</v>
      </c>
      <c r="T234" s="20" t="str" cm="1">
        <f t="array" ref="T234">IF($A234="","",_xlfn.IFS($Q234=0,"NO ACTIVE SKUs",AND($R234&gt;0,$S234&gt;0),"Draft &amp; Package",$R234&gt;0,"Draft only",TRUE,"Package only"))</f>
        <v>Package only</v>
      </c>
    </row>
    <row r="235" spans="1:20" x14ac:dyDescent="0.2">
      <c r="A235" s="9" t="str">
        <v>Sauza</v>
      </c>
      <c r="B235" s="10" t="str">
        <f>IF($A235="","",_xlfn.XLOOKUP($A235,'[1]Brand Family Territory (Enc)'!$A:$A,'[1]Brand Family Territory (Enc)'!$B:$B,"** NO TERRITORY SET **"))</f>
        <v>Core Market</v>
      </c>
      <c r="C235" s="11" t="str">
        <f>IF($A235="","",_xlfn.LET(_xlpm.t,MATCH($B235,'[1]Territory Definitions'!$B$5:$B$14,0),IF(ISNA(_xlpm.t),"NO TERRITORY",IF(INDEX('[1]Territory Definitions'!$D$5:$M$14,_xlpm.t,MATCH(C$4,'[1]Territory Definitions'!$D$4:$M$4,0))&lt;&gt;1,"NOT IN TERRITORY",IF(COUNTIFS('[1]Blackout Brand Fam Areas (Enc)'!$B$6:$B$998,$A235,'[1]Blackout Brand Fam Areas (Enc)'!$C$6:$C$998,C$4,'[1]Blackout Brand Fam Areas (Enc)'!$D$6:$D$998,"Inactive")&gt;0,"BLOCKED","CAN SELL")))))</f>
        <v>CAN SELL</v>
      </c>
      <c r="D235" s="11" t="str">
        <f>IF($A235="","",_xlfn.LET(_xlpm.t,MATCH($B235,'[1]Territory Definitions'!$B$5:$B$14,0),IF(ISNA(_xlpm.t),"NO TERRITORY",IF(INDEX('[1]Territory Definitions'!$D$5:$M$14,_xlpm.t,MATCH(D$4,'[1]Territory Definitions'!$D$4:$M$4,0))&lt;&gt;1,"NOT IN TERRITORY",IF(COUNTIFS('[1]Blackout Brand Fam Areas (Enc)'!$B$6:$B$998,$A235,'[1]Blackout Brand Fam Areas (Enc)'!$C$6:$C$998,D$4,'[1]Blackout Brand Fam Areas (Enc)'!$D$6:$D$998,"Inactive")&gt;0,"BLOCKED","CAN SELL")))))</f>
        <v>CAN SELL</v>
      </c>
      <c r="E235" s="11" t="str">
        <f>IF($A235="","",_xlfn.LET(_xlpm.t,MATCH($B235,'[1]Territory Definitions'!$B$5:$B$14,0),IF(ISNA(_xlpm.t),"NO TERRITORY",IF(INDEX('[1]Territory Definitions'!$D$5:$M$14,_xlpm.t,MATCH(E$4,'[1]Territory Definitions'!$D$4:$M$4,0))&lt;&gt;1,"NOT IN TERRITORY",IF(COUNTIFS('[1]Blackout Brand Fam Areas (Enc)'!$B$6:$B$998,$A235,'[1]Blackout Brand Fam Areas (Enc)'!$C$6:$C$998,E$4,'[1]Blackout Brand Fam Areas (Enc)'!$D$6:$D$998,"Inactive")&gt;0,"BLOCKED","CAN SELL")))))</f>
        <v>CAN SELL</v>
      </c>
      <c r="F235" s="11" t="str">
        <f>IF($A235="","",_xlfn.LET(_xlpm.t,MATCH($B235,'[1]Territory Definitions'!$B$5:$B$14,0),IF(ISNA(_xlpm.t),"NO TERRITORY",IF(INDEX('[1]Territory Definitions'!$D$5:$M$14,_xlpm.t,MATCH(F$4,'[1]Territory Definitions'!$D$4:$M$4,0))&lt;&gt;1,"NOT IN TERRITORY",IF(COUNTIFS('[1]Blackout Brand Fam Areas (Enc)'!$B$6:$B$998,$A235,'[1]Blackout Brand Fam Areas (Enc)'!$C$6:$C$998,F$4,'[1]Blackout Brand Fam Areas (Enc)'!$D$6:$D$998,"Inactive")&gt;0,"BLOCKED","CAN SELL")))))</f>
        <v>NOT IN TERRITORY</v>
      </c>
      <c r="G235" s="11" t="str">
        <f>IF($A235="","",_xlfn.LET(_xlpm.t,MATCH($B235,'[1]Territory Definitions'!$B$5:$B$14,0),IF(ISNA(_xlpm.t),"NO TERRITORY",IF(INDEX('[1]Territory Definitions'!$D$5:$M$14,_xlpm.t,MATCH(G$4,'[1]Territory Definitions'!$D$4:$M$4,0))&lt;&gt;1,"NOT IN TERRITORY",IF(COUNTIFS('[1]Blackout Brand Fam Areas (Enc)'!$B$6:$B$998,$A235,'[1]Blackout Brand Fam Areas (Enc)'!$C$6:$C$998,G$4,'[1]Blackout Brand Fam Areas (Enc)'!$D$6:$D$998,"Inactive")&gt;0,"BLOCKED","CAN SELL")))))</f>
        <v>NOT IN TERRITORY</v>
      </c>
      <c r="H235" s="11" t="str">
        <f>IF($A235="","",_xlfn.LET(_xlpm.t,MATCH($B235,'[1]Territory Definitions'!$B$5:$B$14,0),IF(ISNA(_xlpm.t),"NO TERRITORY",IF(INDEX('[1]Territory Definitions'!$D$5:$M$14,_xlpm.t,MATCH(H$4,'[1]Territory Definitions'!$D$4:$M$4,0))&lt;&gt;1,"NOT IN TERRITORY",IF(COUNTIFS('[1]Blackout Brand Fam Areas (Enc)'!$B$6:$B$998,$A235,'[1]Blackout Brand Fam Areas (Enc)'!$C$6:$C$998,H$4,'[1]Blackout Brand Fam Areas (Enc)'!$D$6:$D$998,"Inactive")&gt;0,"BLOCKED","CAN SELL")))))</f>
        <v>NOT IN TERRITORY</v>
      </c>
      <c r="I235" s="11" t="str">
        <f>IF($A235="","",_xlfn.LET(_xlpm.t,MATCH($B235,'[1]Territory Definitions'!$B$5:$B$14,0),IF(ISNA(_xlpm.t),"NO TERRITORY",IF(INDEX('[1]Territory Definitions'!$D$5:$M$14,_xlpm.t,MATCH(I$4,'[1]Territory Definitions'!$D$4:$M$4,0))&lt;&gt;1,"NOT IN TERRITORY",IF(COUNTIFS('[1]Blackout Brand Fam Areas (Enc)'!$B$6:$B$998,$A235,'[1]Blackout Brand Fam Areas (Enc)'!$C$6:$C$998,I$4,'[1]Blackout Brand Fam Areas (Enc)'!$D$6:$D$998,"Inactive")&gt;0,"BLOCKED","CAN SELL")))))</f>
        <v>CAN SELL</v>
      </c>
      <c r="J235" s="11" t="str">
        <f>IF($A235="","",_xlfn.LET(_xlpm.t,MATCH($B235,'[1]Territory Definitions'!$B$5:$B$14,0),IF(ISNA(_xlpm.t),"NO TERRITORY",IF(INDEX('[1]Territory Definitions'!$D$5:$M$14,_xlpm.t,MATCH(J$4,'[1]Territory Definitions'!$D$4:$M$4,0))&lt;&gt;1,"NOT IN TERRITORY",IF(COUNTIFS('[1]Blackout Brand Fam Areas (Enc)'!$B$6:$B$998,$A235,'[1]Blackout Brand Fam Areas (Enc)'!$C$6:$C$998,J$4,'[1]Blackout Brand Fam Areas (Enc)'!$D$6:$D$998,"Inactive")&gt;0,"BLOCKED","CAN SELL")))))</f>
        <v>CAN SELL</v>
      </c>
      <c r="K235" s="11" t="str">
        <f>IF($A235="","",_xlfn.LET(_xlpm.t,MATCH($B235,'[1]Territory Definitions'!$B$5:$B$14,0),IF(ISNA(_xlpm.t),"NO TERRITORY",IF(INDEX('[1]Territory Definitions'!$D$5:$M$14,_xlpm.t,MATCH(K$4,'[1]Territory Definitions'!$D$4:$M$4,0))&lt;&gt;1,"NOT IN TERRITORY",IF(COUNTIFS('[1]Blackout Brand Fam Areas (Enc)'!$B$6:$B$998,$A235,'[1]Blackout Brand Fam Areas (Enc)'!$C$6:$C$998,K$4,'[1]Blackout Brand Fam Areas (Enc)'!$D$6:$D$998,"Inactive")&gt;0,"BLOCKED","CAN SELL")))))</f>
        <v>NOT IN TERRITORY</v>
      </c>
      <c r="L235" s="11" t="str">
        <f>IF($A235="","",_xlfn.LET(_xlpm.t,MATCH($B235,'[1]Territory Definitions'!$B$5:$B$14,0),IF(ISNA(_xlpm.t),"NO TERRITORY",IF(INDEX('[1]Territory Definitions'!$D$5:$M$14,_xlpm.t,MATCH(L$4,'[1]Territory Definitions'!$D$4:$M$4,0))&lt;&gt;1,"NOT IN TERRITORY",IF(COUNTIFS('[1]Blackout Brand Fam Areas (Enc)'!$B$6:$B$998,$A235,'[1]Blackout Brand Fam Areas (Enc)'!$C$6:$C$998,L$4,'[1]Blackout Brand Fam Areas (Enc)'!$D$6:$D$998,"Inactive")&gt;0,"BLOCKED","CAN SELL")))))</f>
        <v>CAN SELL</v>
      </c>
      <c r="M235" s="12">
        <f>IF($A235="","",COUNTIF($C235:$L235,"CAN SELL"))</f>
        <v>6</v>
      </c>
      <c r="N235" s="13" cm="1">
        <f t="array" ref="N235">IF($A235="","",SUMPRODUCT(($C235:$L235="CAN SELL")*$C$3:$L$3))</f>
        <v>1596</v>
      </c>
      <c r="O235" s="14" t="str">
        <f>IF($A235="","",IF(COUNTIF($A$5:$A$299,$A235)&gt;1,"DUPLICATE - two different territories assigned",IF($B235="** NO TERRITORY SET **","No territory on Brand Family Territory (Enc)","")))</f>
        <v/>
      </c>
      <c r="P235" s="18" t="str">
        <f>IF($A235="","",IFERROR(INDEX([1]Products!$H$4:$H$4801,MATCH($A235,[1]Products!$G$4:$G$4801,0)),"(no products)"))</f>
        <v>Boston Beer Company</v>
      </c>
      <c r="Q235" s="19">
        <f>IF($A235="","",COUNTIFS([1]Products!$G$4:$G$4801,$A235,[1]Products!$L$4:$L$4801,"Yes"))</f>
        <v>5</v>
      </c>
      <c r="R235" s="19">
        <f>IF($A235="","",COUNTIFS([1]Products!$G$4:$G$4801,$A235,[1]Products!$L$4:$L$4801,"Yes",[1]Products!$K$4:$K$4801,"Draft"))</f>
        <v>0</v>
      </c>
      <c r="S235" s="19">
        <f>IF($A235="","",COUNTIFS([1]Products!$G$4:$G$4801,$A235,[1]Products!$L$4:$L$4801,"Yes",[1]Products!$K$4:$K$4801,"Package"))</f>
        <v>5</v>
      </c>
      <c r="T235" s="20" t="str" cm="1">
        <f t="array" ref="T235">IF($A235="","",_xlfn.IFS($Q235=0,"NO ACTIVE SKUs",AND($R235&gt;0,$S235&gt;0),"Draft &amp; Package",$R235&gt;0,"Draft only",TRUE,"Package only"))</f>
        <v>Package only</v>
      </c>
    </row>
    <row r="236" spans="1:20" x14ac:dyDescent="0.2">
      <c r="A236" s="9" t="str">
        <v>Schaefer</v>
      </c>
      <c r="B236" s="10" t="str">
        <f>IF($A236="","",_xlfn.XLOOKUP($A236,'[1]Brand Family Territory (Enc)'!$A:$A,'[1]Brand Family Territory (Enc)'!$B:$B,"** NO TERRITORY SET **"))</f>
        <v>All Counties</v>
      </c>
      <c r="C236" s="11" t="str">
        <f>IF($A236="","",_xlfn.LET(_xlpm.t,MATCH($B236,'[1]Territory Definitions'!$B$5:$B$14,0),IF(ISNA(_xlpm.t),"NO TERRITORY",IF(INDEX('[1]Territory Definitions'!$D$5:$M$14,_xlpm.t,MATCH(C$4,'[1]Territory Definitions'!$D$4:$M$4,0))&lt;&gt;1,"NOT IN TERRITORY",IF(COUNTIFS('[1]Blackout Brand Fam Areas (Enc)'!$B$6:$B$998,$A236,'[1]Blackout Brand Fam Areas (Enc)'!$C$6:$C$998,C$4,'[1]Blackout Brand Fam Areas (Enc)'!$D$6:$D$998,"Inactive")&gt;0,"BLOCKED","CAN SELL")))))</f>
        <v>CAN SELL</v>
      </c>
      <c r="D236" s="11" t="str">
        <f>IF($A236="","",_xlfn.LET(_xlpm.t,MATCH($B236,'[1]Territory Definitions'!$B$5:$B$14,0),IF(ISNA(_xlpm.t),"NO TERRITORY",IF(INDEX('[1]Territory Definitions'!$D$5:$M$14,_xlpm.t,MATCH(D$4,'[1]Territory Definitions'!$D$4:$M$4,0))&lt;&gt;1,"NOT IN TERRITORY",IF(COUNTIFS('[1]Blackout Brand Fam Areas (Enc)'!$B$6:$B$998,$A236,'[1]Blackout Brand Fam Areas (Enc)'!$C$6:$C$998,D$4,'[1]Blackout Brand Fam Areas (Enc)'!$D$6:$D$998,"Inactive")&gt;0,"BLOCKED","CAN SELL")))))</f>
        <v>CAN SELL</v>
      </c>
      <c r="E236" s="11" t="str">
        <f>IF($A236="","",_xlfn.LET(_xlpm.t,MATCH($B236,'[1]Territory Definitions'!$B$5:$B$14,0),IF(ISNA(_xlpm.t),"NO TERRITORY",IF(INDEX('[1]Territory Definitions'!$D$5:$M$14,_xlpm.t,MATCH(E$4,'[1]Territory Definitions'!$D$4:$M$4,0))&lt;&gt;1,"NOT IN TERRITORY",IF(COUNTIFS('[1]Blackout Brand Fam Areas (Enc)'!$B$6:$B$998,$A236,'[1]Blackout Brand Fam Areas (Enc)'!$C$6:$C$998,E$4,'[1]Blackout Brand Fam Areas (Enc)'!$D$6:$D$998,"Inactive")&gt;0,"BLOCKED","CAN SELL")))))</f>
        <v>CAN SELL</v>
      </c>
      <c r="F236" s="11" t="str">
        <f>IF($A236="","",_xlfn.LET(_xlpm.t,MATCH($B236,'[1]Territory Definitions'!$B$5:$B$14,0),IF(ISNA(_xlpm.t),"NO TERRITORY",IF(INDEX('[1]Territory Definitions'!$D$5:$M$14,_xlpm.t,MATCH(F$4,'[1]Territory Definitions'!$D$4:$M$4,0))&lt;&gt;1,"NOT IN TERRITORY",IF(COUNTIFS('[1]Blackout Brand Fam Areas (Enc)'!$B$6:$B$998,$A236,'[1]Blackout Brand Fam Areas (Enc)'!$C$6:$C$998,F$4,'[1]Blackout Brand Fam Areas (Enc)'!$D$6:$D$998,"Inactive")&gt;0,"BLOCKED","CAN SELL")))))</f>
        <v>CAN SELL</v>
      </c>
      <c r="G236" s="11" t="str">
        <f>IF($A236="","",_xlfn.LET(_xlpm.t,MATCH($B236,'[1]Territory Definitions'!$B$5:$B$14,0),IF(ISNA(_xlpm.t),"NO TERRITORY",IF(INDEX('[1]Territory Definitions'!$D$5:$M$14,_xlpm.t,MATCH(G$4,'[1]Territory Definitions'!$D$4:$M$4,0))&lt;&gt;1,"NOT IN TERRITORY",IF(COUNTIFS('[1]Blackout Brand Fam Areas (Enc)'!$B$6:$B$998,$A236,'[1]Blackout Brand Fam Areas (Enc)'!$C$6:$C$998,G$4,'[1]Blackout Brand Fam Areas (Enc)'!$D$6:$D$998,"Inactive")&gt;0,"BLOCKED","CAN SELL")))))</f>
        <v>CAN SELL</v>
      </c>
      <c r="H236" s="11" t="str">
        <f>IF($A236="","",_xlfn.LET(_xlpm.t,MATCH($B236,'[1]Territory Definitions'!$B$5:$B$14,0),IF(ISNA(_xlpm.t),"NO TERRITORY",IF(INDEX('[1]Territory Definitions'!$D$5:$M$14,_xlpm.t,MATCH(H$4,'[1]Territory Definitions'!$D$4:$M$4,0))&lt;&gt;1,"NOT IN TERRITORY",IF(COUNTIFS('[1]Blackout Brand Fam Areas (Enc)'!$B$6:$B$998,$A236,'[1]Blackout Brand Fam Areas (Enc)'!$C$6:$C$998,H$4,'[1]Blackout Brand Fam Areas (Enc)'!$D$6:$D$998,"Inactive")&gt;0,"BLOCKED","CAN SELL")))))</f>
        <v>CAN SELL</v>
      </c>
      <c r="I236" s="11" t="str">
        <f>IF($A236="","",_xlfn.LET(_xlpm.t,MATCH($B236,'[1]Territory Definitions'!$B$5:$B$14,0),IF(ISNA(_xlpm.t),"NO TERRITORY",IF(INDEX('[1]Territory Definitions'!$D$5:$M$14,_xlpm.t,MATCH(I$4,'[1]Territory Definitions'!$D$4:$M$4,0))&lt;&gt;1,"NOT IN TERRITORY",IF(COUNTIFS('[1]Blackout Brand Fam Areas (Enc)'!$B$6:$B$998,$A236,'[1]Blackout Brand Fam Areas (Enc)'!$C$6:$C$998,I$4,'[1]Blackout Brand Fam Areas (Enc)'!$D$6:$D$998,"Inactive")&gt;0,"BLOCKED","CAN SELL")))))</f>
        <v>CAN SELL</v>
      </c>
      <c r="J236" s="11" t="str">
        <f>IF($A236="","",_xlfn.LET(_xlpm.t,MATCH($B236,'[1]Territory Definitions'!$B$5:$B$14,0),IF(ISNA(_xlpm.t),"NO TERRITORY",IF(INDEX('[1]Territory Definitions'!$D$5:$M$14,_xlpm.t,MATCH(J$4,'[1]Territory Definitions'!$D$4:$M$4,0))&lt;&gt;1,"NOT IN TERRITORY",IF(COUNTIFS('[1]Blackout Brand Fam Areas (Enc)'!$B$6:$B$998,$A236,'[1]Blackout Brand Fam Areas (Enc)'!$C$6:$C$998,J$4,'[1]Blackout Brand Fam Areas (Enc)'!$D$6:$D$998,"Inactive")&gt;0,"BLOCKED","CAN SELL")))))</f>
        <v>CAN SELL</v>
      </c>
      <c r="K236" s="11" t="str">
        <f>IF($A236="","",_xlfn.LET(_xlpm.t,MATCH($B236,'[1]Territory Definitions'!$B$5:$B$14,0),IF(ISNA(_xlpm.t),"NO TERRITORY",IF(INDEX('[1]Territory Definitions'!$D$5:$M$14,_xlpm.t,MATCH(K$4,'[1]Territory Definitions'!$D$4:$M$4,0))&lt;&gt;1,"NOT IN TERRITORY",IF(COUNTIFS('[1]Blackout Brand Fam Areas (Enc)'!$B$6:$B$998,$A236,'[1]Blackout Brand Fam Areas (Enc)'!$C$6:$C$998,K$4,'[1]Blackout Brand Fam Areas (Enc)'!$D$6:$D$998,"Inactive")&gt;0,"BLOCKED","CAN SELL")))))</f>
        <v>CAN SELL</v>
      </c>
      <c r="L236" s="11" t="str">
        <f>IF($A236="","",_xlfn.LET(_xlpm.t,MATCH($B236,'[1]Territory Definitions'!$B$5:$B$14,0),IF(ISNA(_xlpm.t),"NO TERRITORY",IF(INDEX('[1]Territory Definitions'!$D$5:$M$14,_xlpm.t,MATCH(L$4,'[1]Territory Definitions'!$D$4:$M$4,0))&lt;&gt;1,"NOT IN TERRITORY",IF(COUNTIFS('[1]Blackout Brand Fam Areas (Enc)'!$B$6:$B$998,$A236,'[1]Blackout Brand Fam Areas (Enc)'!$C$6:$C$998,L$4,'[1]Blackout Brand Fam Areas (Enc)'!$D$6:$D$998,"Inactive")&gt;0,"BLOCKED","CAN SELL")))))</f>
        <v>CAN SELL</v>
      </c>
      <c r="M236" s="12">
        <f>IF($A236="","",COUNTIF($C236:$L236,"CAN SELL"))</f>
        <v>10</v>
      </c>
      <c r="N236" s="13" cm="1">
        <f t="array" ref="N236">IF($A236="","",SUMPRODUCT(($C236:$L236="CAN SELL")*$C$3:$L$3))</f>
        <v>2306</v>
      </c>
      <c r="O236" s="14" t="str">
        <f>IF($A236="","",IF(COUNTIF($A$5:$A$299,$A236)&gt;1,"DUPLICATE - two different territories assigned",IF($B236="** NO TERRITORY SET **","No territory on Brand Family Territory (Enc)","")))</f>
        <v/>
      </c>
      <c r="P236" s="18" t="str">
        <f>IF($A236="","",IFERROR(INDEX([1]Products!$H$4:$H$4801,MATCH($A236,[1]Products!$G$4:$G$4801,0)),"(no products)"))</f>
        <v>Pabst Brewing Company</v>
      </c>
      <c r="Q236" s="19">
        <f>IF($A236="","",COUNTIFS([1]Products!$G$4:$G$4801,$A236,[1]Products!$L$4:$L$4801,"Yes"))</f>
        <v>1</v>
      </c>
      <c r="R236" s="19">
        <f>IF($A236="","",COUNTIFS([1]Products!$G$4:$G$4801,$A236,[1]Products!$L$4:$L$4801,"Yes",[1]Products!$K$4:$K$4801,"Draft"))</f>
        <v>0</v>
      </c>
      <c r="S236" s="19">
        <f>IF($A236="","",COUNTIFS([1]Products!$G$4:$G$4801,$A236,[1]Products!$L$4:$L$4801,"Yes",[1]Products!$K$4:$K$4801,"Package"))</f>
        <v>1</v>
      </c>
      <c r="T236" s="20" t="str" cm="1">
        <f t="array" ref="T236">IF($A236="","",_xlfn.IFS($Q236=0,"NO ACTIVE SKUs",AND($R236&gt;0,$S236&gt;0),"Draft &amp; Package",$R236&gt;0,"Draft only",TRUE,"Package only"))</f>
        <v>Package only</v>
      </c>
    </row>
    <row r="237" spans="1:20" x14ac:dyDescent="0.2">
      <c r="A237" s="9" t="str">
        <v>Schlitz Malt</v>
      </c>
      <c r="B237" s="10" t="str">
        <f>IF($A237="","",_xlfn.XLOOKUP($A237,'[1]Brand Family Territory (Enc)'!$A:$A,'[1]Brand Family Territory (Enc)'!$B:$B,"** NO TERRITORY SET **"))</f>
        <v>All Counties</v>
      </c>
      <c r="C237" s="11" t="str">
        <f>IF($A237="","",_xlfn.LET(_xlpm.t,MATCH($B237,'[1]Territory Definitions'!$B$5:$B$14,0),IF(ISNA(_xlpm.t),"NO TERRITORY",IF(INDEX('[1]Territory Definitions'!$D$5:$M$14,_xlpm.t,MATCH(C$4,'[1]Territory Definitions'!$D$4:$M$4,0))&lt;&gt;1,"NOT IN TERRITORY",IF(COUNTIFS('[1]Blackout Brand Fam Areas (Enc)'!$B$6:$B$998,$A237,'[1]Blackout Brand Fam Areas (Enc)'!$C$6:$C$998,C$4,'[1]Blackout Brand Fam Areas (Enc)'!$D$6:$D$998,"Inactive")&gt;0,"BLOCKED","CAN SELL")))))</f>
        <v>CAN SELL</v>
      </c>
      <c r="D237" s="11" t="str">
        <f>IF($A237="","",_xlfn.LET(_xlpm.t,MATCH($B237,'[1]Territory Definitions'!$B$5:$B$14,0),IF(ISNA(_xlpm.t),"NO TERRITORY",IF(INDEX('[1]Territory Definitions'!$D$5:$M$14,_xlpm.t,MATCH(D$4,'[1]Territory Definitions'!$D$4:$M$4,0))&lt;&gt;1,"NOT IN TERRITORY",IF(COUNTIFS('[1]Blackout Brand Fam Areas (Enc)'!$B$6:$B$998,$A237,'[1]Blackout Brand Fam Areas (Enc)'!$C$6:$C$998,D$4,'[1]Blackout Brand Fam Areas (Enc)'!$D$6:$D$998,"Inactive")&gt;0,"BLOCKED","CAN SELL")))))</f>
        <v>CAN SELL</v>
      </c>
      <c r="E237" s="11" t="str">
        <f>IF($A237="","",_xlfn.LET(_xlpm.t,MATCH($B237,'[1]Territory Definitions'!$B$5:$B$14,0),IF(ISNA(_xlpm.t),"NO TERRITORY",IF(INDEX('[1]Territory Definitions'!$D$5:$M$14,_xlpm.t,MATCH(E$4,'[1]Territory Definitions'!$D$4:$M$4,0))&lt;&gt;1,"NOT IN TERRITORY",IF(COUNTIFS('[1]Blackout Brand Fam Areas (Enc)'!$B$6:$B$998,$A237,'[1]Blackout Brand Fam Areas (Enc)'!$C$6:$C$998,E$4,'[1]Blackout Brand Fam Areas (Enc)'!$D$6:$D$998,"Inactive")&gt;0,"BLOCKED","CAN SELL")))))</f>
        <v>CAN SELL</v>
      </c>
      <c r="F237" s="11" t="str">
        <f>IF($A237="","",_xlfn.LET(_xlpm.t,MATCH($B237,'[1]Territory Definitions'!$B$5:$B$14,0),IF(ISNA(_xlpm.t),"NO TERRITORY",IF(INDEX('[1]Territory Definitions'!$D$5:$M$14,_xlpm.t,MATCH(F$4,'[1]Territory Definitions'!$D$4:$M$4,0))&lt;&gt;1,"NOT IN TERRITORY",IF(COUNTIFS('[1]Blackout Brand Fam Areas (Enc)'!$B$6:$B$998,$A237,'[1]Blackout Brand Fam Areas (Enc)'!$C$6:$C$998,F$4,'[1]Blackout Brand Fam Areas (Enc)'!$D$6:$D$998,"Inactive")&gt;0,"BLOCKED","CAN SELL")))))</f>
        <v>CAN SELL</v>
      </c>
      <c r="G237" s="11" t="str">
        <f>IF($A237="","",_xlfn.LET(_xlpm.t,MATCH($B237,'[1]Territory Definitions'!$B$5:$B$14,0),IF(ISNA(_xlpm.t),"NO TERRITORY",IF(INDEX('[1]Territory Definitions'!$D$5:$M$14,_xlpm.t,MATCH(G$4,'[1]Territory Definitions'!$D$4:$M$4,0))&lt;&gt;1,"NOT IN TERRITORY",IF(COUNTIFS('[1]Blackout Brand Fam Areas (Enc)'!$B$6:$B$998,$A237,'[1]Blackout Brand Fam Areas (Enc)'!$C$6:$C$998,G$4,'[1]Blackout Brand Fam Areas (Enc)'!$D$6:$D$998,"Inactive")&gt;0,"BLOCKED","CAN SELL")))))</f>
        <v>CAN SELL</v>
      </c>
      <c r="H237" s="11" t="str">
        <f>IF($A237="","",_xlfn.LET(_xlpm.t,MATCH($B237,'[1]Territory Definitions'!$B$5:$B$14,0),IF(ISNA(_xlpm.t),"NO TERRITORY",IF(INDEX('[1]Territory Definitions'!$D$5:$M$14,_xlpm.t,MATCH(H$4,'[1]Territory Definitions'!$D$4:$M$4,0))&lt;&gt;1,"NOT IN TERRITORY",IF(COUNTIFS('[1]Blackout Brand Fam Areas (Enc)'!$B$6:$B$998,$A237,'[1]Blackout Brand Fam Areas (Enc)'!$C$6:$C$998,H$4,'[1]Blackout Brand Fam Areas (Enc)'!$D$6:$D$998,"Inactive")&gt;0,"BLOCKED","CAN SELL")))))</f>
        <v>CAN SELL</v>
      </c>
      <c r="I237" s="11" t="str">
        <f>IF($A237="","",_xlfn.LET(_xlpm.t,MATCH($B237,'[1]Territory Definitions'!$B$5:$B$14,0),IF(ISNA(_xlpm.t),"NO TERRITORY",IF(INDEX('[1]Territory Definitions'!$D$5:$M$14,_xlpm.t,MATCH(I$4,'[1]Territory Definitions'!$D$4:$M$4,0))&lt;&gt;1,"NOT IN TERRITORY",IF(COUNTIFS('[1]Blackout Brand Fam Areas (Enc)'!$B$6:$B$998,$A237,'[1]Blackout Brand Fam Areas (Enc)'!$C$6:$C$998,I$4,'[1]Blackout Brand Fam Areas (Enc)'!$D$6:$D$998,"Inactive")&gt;0,"BLOCKED","CAN SELL")))))</f>
        <v>CAN SELL</v>
      </c>
      <c r="J237" s="11" t="str">
        <f>IF($A237="","",_xlfn.LET(_xlpm.t,MATCH($B237,'[1]Territory Definitions'!$B$5:$B$14,0),IF(ISNA(_xlpm.t),"NO TERRITORY",IF(INDEX('[1]Territory Definitions'!$D$5:$M$14,_xlpm.t,MATCH(J$4,'[1]Territory Definitions'!$D$4:$M$4,0))&lt;&gt;1,"NOT IN TERRITORY",IF(COUNTIFS('[1]Blackout Brand Fam Areas (Enc)'!$B$6:$B$998,$A237,'[1]Blackout Brand Fam Areas (Enc)'!$C$6:$C$998,J$4,'[1]Blackout Brand Fam Areas (Enc)'!$D$6:$D$998,"Inactive")&gt;0,"BLOCKED","CAN SELL")))))</f>
        <v>CAN SELL</v>
      </c>
      <c r="K237" s="11" t="str">
        <f>IF($A237="","",_xlfn.LET(_xlpm.t,MATCH($B237,'[1]Territory Definitions'!$B$5:$B$14,0),IF(ISNA(_xlpm.t),"NO TERRITORY",IF(INDEX('[1]Territory Definitions'!$D$5:$M$14,_xlpm.t,MATCH(K$4,'[1]Territory Definitions'!$D$4:$M$4,0))&lt;&gt;1,"NOT IN TERRITORY",IF(COUNTIFS('[1]Blackout Brand Fam Areas (Enc)'!$B$6:$B$998,$A237,'[1]Blackout Brand Fam Areas (Enc)'!$C$6:$C$998,K$4,'[1]Blackout Brand Fam Areas (Enc)'!$D$6:$D$998,"Inactive")&gt;0,"BLOCKED","CAN SELL")))))</f>
        <v>CAN SELL</v>
      </c>
      <c r="L237" s="11" t="str">
        <f>IF($A237="","",_xlfn.LET(_xlpm.t,MATCH($B237,'[1]Territory Definitions'!$B$5:$B$14,0),IF(ISNA(_xlpm.t),"NO TERRITORY",IF(INDEX('[1]Territory Definitions'!$D$5:$M$14,_xlpm.t,MATCH(L$4,'[1]Territory Definitions'!$D$4:$M$4,0))&lt;&gt;1,"NOT IN TERRITORY",IF(COUNTIFS('[1]Blackout Brand Fam Areas (Enc)'!$B$6:$B$998,$A237,'[1]Blackout Brand Fam Areas (Enc)'!$C$6:$C$998,L$4,'[1]Blackout Brand Fam Areas (Enc)'!$D$6:$D$998,"Inactive")&gt;0,"BLOCKED","CAN SELL")))))</f>
        <v>CAN SELL</v>
      </c>
      <c r="M237" s="12">
        <f>IF($A237="","",COUNTIF($C237:$L237,"CAN SELL"))</f>
        <v>10</v>
      </c>
      <c r="N237" s="13" cm="1">
        <f t="array" ref="N237">IF($A237="","",SUMPRODUCT(($C237:$L237="CAN SELL")*$C$3:$L$3))</f>
        <v>2306</v>
      </c>
      <c r="O237" s="14" t="str">
        <f>IF($A237="","",IF(COUNTIF($A$5:$A$299,$A237)&gt;1,"DUPLICATE - two different territories assigned",IF($B237="** NO TERRITORY SET **","No territory on Brand Family Territory (Enc)","")))</f>
        <v/>
      </c>
      <c r="P237" s="18" t="str">
        <f>IF($A237="","",IFERROR(INDEX([1]Products!$H$4:$H$4801,MATCH($A237,[1]Products!$G$4:$G$4801,0)),"(no products)"))</f>
        <v>Pabst Brewing Company</v>
      </c>
      <c r="Q237" s="19">
        <f>IF($A237="","",COUNTIFS([1]Products!$G$4:$G$4801,$A237,[1]Products!$L$4:$L$4801,"Yes"))</f>
        <v>3</v>
      </c>
      <c r="R237" s="19">
        <f>IF($A237="","",COUNTIFS([1]Products!$G$4:$G$4801,$A237,[1]Products!$L$4:$L$4801,"Yes",[1]Products!$K$4:$K$4801,"Draft"))</f>
        <v>0</v>
      </c>
      <c r="S237" s="19">
        <f>IF($A237="","",COUNTIFS([1]Products!$G$4:$G$4801,$A237,[1]Products!$L$4:$L$4801,"Yes",[1]Products!$K$4:$K$4801,"Package"))</f>
        <v>3</v>
      </c>
      <c r="T237" s="20" t="str" cm="1">
        <f t="array" ref="T237">IF($A237="","",_xlfn.IFS($Q237=0,"NO ACTIVE SKUs",AND($R237&gt;0,$S237&gt;0),"Draft &amp; Package",$R237&gt;0,"Draft only",TRUE,"Package only"))</f>
        <v>Package only</v>
      </c>
    </row>
    <row r="238" spans="1:20" x14ac:dyDescent="0.2">
      <c r="A238" s="9" t="str">
        <v>Schofferhofer</v>
      </c>
      <c r="B238" s="10" t="str">
        <f>IF($A238="","",_xlfn.XLOOKUP($A238,'[1]Brand Family Territory (Enc)'!$A:$A,'[1]Brand Family Territory (Enc)'!$B:$B,"** NO TERRITORY SET **"))</f>
        <v>All Counties</v>
      </c>
      <c r="C238" s="11" t="str">
        <f>IF($A238="","",_xlfn.LET(_xlpm.t,MATCH($B238,'[1]Territory Definitions'!$B$5:$B$14,0),IF(ISNA(_xlpm.t),"NO TERRITORY",IF(INDEX('[1]Territory Definitions'!$D$5:$M$14,_xlpm.t,MATCH(C$4,'[1]Territory Definitions'!$D$4:$M$4,0))&lt;&gt;1,"NOT IN TERRITORY",IF(COUNTIFS('[1]Blackout Brand Fam Areas (Enc)'!$B$6:$B$998,$A238,'[1]Blackout Brand Fam Areas (Enc)'!$C$6:$C$998,C$4,'[1]Blackout Brand Fam Areas (Enc)'!$D$6:$D$998,"Inactive")&gt;0,"BLOCKED","CAN SELL")))))</f>
        <v>CAN SELL</v>
      </c>
      <c r="D238" s="11" t="str">
        <f>IF($A238="","",_xlfn.LET(_xlpm.t,MATCH($B238,'[1]Territory Definitions'!$B$5:$B$14,0),IF(ISNA(_xlpm.t),"NO TERRITORY",IF(INDEX('[1]Territory Definitions'!$D$5:$M$14,_xlpm.t,MATCH(D$4,'[1]Territory Definitions'!$D$4:$M$4,0))&lt;&gt;1,"NOT IN TERRITORY",IF(COUNTIFS('[1]Blackout Brand Fam Areas (Enc)'!$B$6:$B$998,$A238,'[1]Blackout Brand Fam Areas (Enc)'!$C$6:$C$998,D$4,'[1]Blackout Brand Fam Areas (Enc)'!$D$6:$D$998,"Inactive")&gt;0,"BLOCKED","CAN SELL")))))</f>
        <v>CAN SELL</v>
      </c>
      <c r="E238" s="11" t="str">
        <f>IF($A238="","",_xlfn.LET(_xlpm.t,MATCH($B238,'[1]Territory Definitions'!$B$5:$B$14,0),IF(ISNA(_xlpm.t),"NO TERRITORY",IF(INDEX('[1]Territory Definitions'!$D$5:$M$14,_xlpm.t,MATCH(E$4,'[1]Territory Definitions'!$D$4:$M$4,0))&lt;&gt;1,"NOT IN TERRITORY",IF(COUNTIFS('[1]Blackout Brand Fam Areas (Enc)'!$B$6:$B$998,$A238,'[1]Blackout Brand Fam Areas (Enc)'!$C$6:$C$998,E$4,'[1]Blackout Brand Fam Areas (Enc)'!$D$6:$D$998,"Inactive")&gt;0,"BLOCKED","CAN SELL")))))</f>
        <v>CAN SELL</v>
      </c>
      <c r="F238" s="11" t="str">
        <f>IF($A238="","",_xlfn.LET(_xlpm.t,MATCH($B238,'[1]Territory Definitions'!$B$5:$B$14,0),IF(ISNA(_xlpm.t),"NO TERRITORY",IF(INDEX('[1]Territory Definitions'!$D$5:$M$14,_xlpm.t,MATCH(F$4,'[1]Territory Definitions'!$D$4:$M$4,0))&lt;&gt;1,"NOT IN TERRITORY",IF(COUNTIFS('[1]Blackout Brand Fam Areas (Enc)'!$B$6:$B$998,$A238,'[1]Blackout Brand Fam Areas (Enc)'!$C$6:$C$998,F$4,'[1]Blackout Brand Fam Areas (Enc)'!$D$6:$D$998,"Inactive")&gt;0,"BLOCKED","CAN SELL")))))</f>
        <v>CAN SELL</v>
      </c>
      <c r="G238" s="11" t="str">
        <f>IF($A238="","",_xlfn.LET(_xlpm.t,MATCH($B238,'[1]Territory Definitions'!$B$5:$B$14,0),IF(ISNA(_xlpm.t),"NO TERRITORY",IF(INDEX('[1]Territory Definitions'!$D$5:$M$14,_xlpm.t,MATCH(G$4,'[1]Territory Definitions'!$D$4:$M$4,0))&lt;&gt;1,"NOT IN TERRITORY",IF(COUNTIFS('[1]Blackout Brand Fam Areas (Enc)'!$B$6:$B$998,$A238,'[1]Blackout Brand Fam Areas (Enc)'!$C$6:$C$998,G$4,'[1]Blackout Brand Fam Areas (Enc)'!$D$6:$D$998,"Inactive")&gt;0,"BLOCKED","CAN SELL")))))</f>
        <v>CAN SELL</v>
      </c>
      <c r="H238" s="11" t="str">
        <f>IF($A238="","",_xlfn.LET(_xlpm.t,MATCH($B238,'[1]Territory Definitions'!$B$5:$B$14,0),IF(ISNA(_xlpm.t),"NO TERRITORY",IF(INDEX('[1]Territory Definitions'!$D$5:$M$14,_xlpm.t,MATCH(H$4,'[1]Territory Definitions'!$D$4:$M$4,0))&lt;&gt;1,"NOT IN TERRITORY",IF(COUNTIFS('[1]Blackout Brand Fam Areas (Enc)'!$B$6:$B$998,$A238,'[1]Blackout Brand Fam Areas (Enc)'!$C$6:$C$998,H$4,'[1]Blackout Brand Fam Areas (Enc)'!$D$6:$D$998,"Inactive")&gt;0,"BLOCKED","CAN SELL")))))</f>
        <v>CAN SELL</v>
      </c>
      <c r="I238" s="11" t="str">
        <f>IF($A238="","",_xlfn.LET(_xlpm.t,MATCH($B238,'[1]Territory Definitions'!$B$5:$B$14,0),IF(ISNA(_xlpm.t),"NO TERRITORY",IF(INDEX('[1]Territory Definitions'!$D$5:$M$14,_xlpm.t,MATCH(I$4,'[1]Territory Definitions'!$D$4:$M$4,0))&lt;&gt;1,"NOT IN TERRITORY",IF(COUNTIFS('[1]Blackout Brand Fam Areas (Enc)'!$B$6:$B$998,$A238,'[1]Blackout Brand Fam Areas (Enc)'!$C$6:$C$998,I$4,'[1]Blackout Brand Fam Areas (Enc)'!$D$6:$D$998,"Inactive")&gt;0,"BLOCKED","CAN SELL")))))</f>
        <v>CAN SELL</v>
      </c>
      <c r="J238" s="11" t="str">
        <f>IF($A238="","",_xlfn.LET(_xlpm.t,MATCH($B238,'[1]Territory Definitions'!$B$5:$B$14,0),IF(ISNA(_xlpm.t),"NO TERRITORY",IF(INDEX('[1]Territory Definitions'!$D$5:$M$14,_xlpm.t,MATCH(J$4,'[1]Territory Definitions'!$D$4:$M$4,0))&lt;&gt;1,"NOT IN TERRITORY",IF(COUNTIFS('[1]Blackout Brand Fam Areas (Enc)'!$B$6:$B$998,$A238,'[1]Blackout Brand Fam Areas (Enc)'!$C$6:$C$998,J$4,'[1]Blackout Brand Fam Areas (Enc)'!$D$6:$D$998,"Inactive")&gt;0,"BLOCKED","CAN SELL")))))</f>
        <v>CAN SELL</v>
      </c>
      <c r="K238" s="11" t="str">
        <f>IF($A238="","",_xlfn.LET(_xlpm.t,MATCH($B238,'[1]Territory Definitions'!$B$5:$B$14,0),IF(ISNA(_xlpm.t),"NO TERRITORY",IF(INDEX('[1]Territory Definitions'!$D$5:$M$14,_xlpm.t,MATCH(K$4,'[1]Territory Definitions'!$D$4:$M$4,0))&lt;&gt;1,"NOT IN TERRITORY",IF(COUNTIFS('[1]Blackout Brand Fam Areas (Enc)'!$B$6:$B$998,$A238,'[1]Blackout Brand Fam Areas (Enc)'!$C$6:$C$998,K$4,'[1]Blackout Brand Fam Areas (Enc)'!$D$6:$D$998,"Inactive")&gt;0,"BLOCKED","CAN SELL")))))</f>
        <v>CAN SELL</v>
      </c>
      <c r="L238" s="11" t="str">
        <f>IF($A238="","",_xlfn.LET(_xlpm.t,MATCH($B238,'[1]Territory Definitions'!$B$5:$B$14,0),IF(ISNA(_xlpm.t),"NO TERRITORY",IF(INDEX('[1]Territory Definitions'!$D$5:$M$14,_xlpm.t,MATCH(L$4,'[1]Territory Definitions'!$D$4:$M$4,0))&lt;&gt;1,"NOT IN TERRITORY",IF(COUNTIFS('[1]Blackout Brand Fam Areas (Enc)'!$B$6:$B$998,$A238,'[1]Blackout Brand Fam Areas (Enc)'!$C$6:$C$998,L$4,'[1]Blackout Brand Fam Areas (Enc)'!$D$6:$D$998,"Inactive")&gt;0,"BLOCKED","CAN SELL")))))</f>
        <v>CAN SELL</v>
      </c>
      <c r="M238" s="12">
        <f>IF($A238="","",COUNTIF($C238:$L238,"CAN SELL"))</f>
        <v>10</v>
      </c>
      <c r="N238" s="13" cm="1">
        <f t="array" ref="N238">IF($A238="","",SUMPRODUCT(($C238:$L238="CAN SELL")*$C$3:$L$3))</f>
        <v>2306</v>
      </c>
      <c r="O238" s="14" t="str">
        <f>IF($A238="","",IF(COUNTIF($A$5:$A$299,$A238)&gt;1,"DUPLICATE - two different territories assigned",IF($B238="** NO TERRITORY SET **","No territory on Brand Family Territory (Enc)","")))</f>
        <v/>
      </c>
      <c r="P238" s="18" t="str">
        <f>IF($A238="","",IFERROR(INDEX([1]Products!$H$4:$H$4801,MATCH($A238,[1]Products!$G$4:$G$4801,0)),"(no products)"))</f>
        <v>Radeberger USA</v>
      </c>
      <c r="Q238" s="19">
        <f>IF($A238="","",COUNTIFS([1]Products!$G$4:$G$4801,$A238,[1]Products!$L$4:$L$4801,"Yes"))</f>
        <v>5</v>
      </c>
      <c r="R238" s="19">
        <f>IF($A238="","",COUNTIFS([1]Products!$G$4:$G$4801,$A238,[1]Products!$L$4:$L$4801,"Yes",[1]Products!$K$4:$K$4801,"Draft"))</f>
        <v>1</v>
      </c>
      <c r="S238" s="19">
        <f>IF($A238="","",COUNTIFS([1]Products!$G$4:$G$4801,$A238,[1]Products!$L$4:$L$4801,"Yes",[1]Products!$K$4:$K$4801,"Package"))</f>
        <v>4</v>
      </c>
      <c r="T238" s="20" t="str" cm="1">
        <f t="array" ref="T238">IF($A238="","",_xlfn.IFS($Q238=0,"NO ACTIVE SKUs",AND($R238&gt;0,$S238&gt;0),"Draft &amp; Package",$R238&gt;0,"Draft only",TRUE,"Package only"))</f>
        <v>Draft &amp; Package</v>
      </c>
    </row>
    <row r="239" spans="1:20" x14ac:dyDescent="0.2">
      <c r="A239" s="9" t="str">
        <v>Shabo Wine</v>
      </c>
      <c r="B239" s="10" t="str">
        <f>IF($A239="","",_xlfn.XLOOKUP($A239,'[1]Brand Family Territory (Enc)'!$A:$A,'[1]Brand Family Territory (Enc)'!$B:$B,"** NO TERRITORY SET **"))</f>
        <v>Core Market</v>
      </c>
      <c r="C239" s="11" t="str">
        <f>IF($A239="","",_xlfn.LET(_xlpm.t,MATCH($B239,'[1]Territory Definitions'!$B$5:$B$14,0),IF(ISNA(_xlpm.t),"NO TERRITORY",IF(INDEX('[1]Territory Definitions'!$D$5:$M$14,_xlpm.t,MATCH(C$4,'[1]Territory Definitions'!$D$4:$M$4,0))&lt;&gt;1,"NOT IN TERRITORY",IF(COUNTIFS('[1]Blackout Brand Fam Areas (Enc)'!$B$6:$B$998,$A239,'[1]Blackout Brand Fam Areas (Enc)'!$C$6:$C$998,C$4,'[1]Blackout Brand Fam Areas (Enc)'!$D$6:$D$998,"Inactive")&gt;0,"BLOCKED","CAN SELL")))))</f>
        <v>CAN SELL</v>
      </c>
      <c r="D239" s="11" t="str">
        <f>IF($A239="","",_xlfn.LET(_xlpm.t,MATCH($B239,'[1]Territory Definitions'!$B$5:$B$14,0),IF(ISNA(_xlpm.t),"NO TERRITORY",IF(INDEX('[1]Territory Definitions'!$D$5:$M$14,_xlpm.t,MATCH(D$4,'[1]Territory Definitions'!$D$4:$M$4,0))&lt;&gt;1,"NOT IN TERRITORY",IF(COUNTIFS('[1]Blackout Brand Fam Areas (Enc)'!$B$6:$B$998,$A239,'[1]Blackout Brand Fam Areas (Enc)'!$C$6:$C$998,D$4,'[1]Blackout Brand Fam Areas (Enc)'!$D$6:$D$998,"Inactive")&gt;0,"BLOCKED","CAN SELL")))))</f>
        <v>CAN SELL</v>
      </c>
      <c r="E239" s="11" t="str">
        <f>IF($A239="","",_xlfn.LET(_xlpm.t,MATCH($B239,'[1]Territory Definitions'!$B$5:$B$14,0),IF(ISNA(_xlpm.t),"NO TERRITORY",IF(INDEX('[1]Territory Definitions'!$D$5:$M$14,_xlpm.t,MATCH(E$4,'[1]Territory Definitions'!$D$4:$M$4,0))&lt;&gt;1,"NOT IN TERRITORY",IF(COUNTIFS('[1]Blackout Brand Fam Areas (Enc)'!$B$6:$B$998,$A239,'[1]Blackout Brand Fam Areas (Enc)'!$C$6:$C$998,E$4,'[1]Blackout Brand Fam Areas (Enc)'!$D$6:$D$998,"Inactive")&gt;0,"BLOCKED","CAN SELL")))))</f>
        <v>CAN SELL</v>
      </c>
      <c r="F239" s="11" t="str">
        <f>IF($A239="","",_xlfn.LET(_xlpm.t,MATCH($B239,'[1]Territory Definitions'!$B$5:$B$14,0),IF(ISNA(_xlpm.t),"NO TERRITORY",IF(INDEX('[1]Territory Definitions'!$D$5:$M$14,_xlpm.t,MATCH(F$4,'[1]Territory Definitions'!$D$4:$M$4,0))&lt;&gt;1,"NOT IN TERRITORY",IF(COUNTIFS('[1]Blackout Brand Fam Areas (Enc)'!$B$6:$B$998,$A239,'[1]Blackout Brand Fam Areas (Enc)'!$C$6:$C$998,F$4,'[1]Blackout Brand Fam Areas (Enc)'!$D$6:$D$998,"Inactive")&gt;0,"BLOCKED","CAN SELL")))))</f>
        <v>NOT IN TERRITORY</v>
      </c>
      <c r="G239" s="11" t="str">
        <f>IF($A239="","",_xlfn.LET(_xlpm.t,MATCH($B239,'[1]Territory Definitions'!$B$5:$B$14,0),IF(ISNA(_xlpm.t),"NO TERRITORY",IF(INDEX('[1]Territory Definitions'!$D$5:$M$14,_xlpm.t,MATCH(G$4,'[1]Territory Definitions'!$D$4:$M$4,0))&lt;&gt;1,"NOT IN TERRITORY",IF(COUNTIFS('[1]Blackout Brand Fam Areas (Enc)'!$B$6:$B$998,$A239,'[1]Blackout Brand Fam Areas (Enc)'!$C$6:$C$998,G$4,'[1]Blackout Brand Fam Areas (Enc)'!$D$6:$D$998,"Inactive")&gt;0,"BLOCKED","CAN SELL")))))</f>
        <v>NOT IN TERRITORY</v>
      </c>
      <c r="H239" s="11" t="str">
        <f>IF($A239="","",_xlfn.LET(_xlpm.t,MATCH($B239,'[1]Territory Definitions'!$B$5:$B$14,0),IF(ISNA(_xlpm.t),"NO TERRITORY",IF(INDEX('[1]Territory Definitions'!$D$5:$M$14,_xlpm.t,MATCH(H$4,'[1]Territory Definitions'!$D$4:$M$4,0))&lt;&gt;1,"NOT IN TERRITORY",IF(COUNTIFS('[1]Blackout Brand Fam Areas (Enc)'!$B$6:$B$998,$A239,'[1]Blackout Brand Fam Areas (Enc)'!$C$6:$C$998,H$4,'[1]Blackout Brand Fam Areas (Enc)'!$D$6:$D$998,"Inactive")&gt;0,"BLOCKED","CAN SELL")))))</f>
        <v>NOT IN TERRITORY</v>
      </c>
      <c r="I239" s="11" t="str">
        <f>IF($A239="","",_xlfn.LET(_xlpm.t,MATCH($B239,'[1]Territory Definitions'!$B$5:$B$14,0),IF(ISNA(_xlpm.t),"NO TERRITORY",IF(INDEX('[1]Territory Definitions'!$D$5:$M$14,_xlpm.t,MATCH(I$4,'[1]Territory Definitions'!$D$4:$M$4,0))&lt;&gt;1,"NOT IN TERRITORY",IF(COUNTIFS('[1]Blackout Brand Fam Areas (Enc)'!$B$6:$B$998,$A239,'[1]Blackout Brand Fam Areas (Enc)'!$C$6:$C$998,I$4,'[1]Blackout Brand Fam Areas (Enc)'!$D$6:$D$998,"Inactive")&gt;0,"BLOCKED","CAN SELL")))))</f>
        <v>CAN SELL</v>
      </c>
      <c r="J239" s="11" t="str">
        <f>IF($A239="","",_xlfn.LET(_xlpm.t,MATCH($B239,'[1]Territory Definitions'!$B$5:$B$14,0),IF(ISNA(_xlpm.t),"NO TERRITORY",IF(INDEX('[1]Territory Definitions'!$D$5:$M$14,_xlpm.t,MATCH(J$4,'[1]Territory Definitions'!$D$4:$M$4,0))&lt;&gt;1,"NOT IN TERRITORY",IF(COUNTIFS('[1]Blackout Brand Fam Areas (Enc)'!$B$6:$B$998,$A239,'[1]Blackout Brand Fam Areas (Enc)'!$C$6:$C$998,J$4,'[1]Blackout Brand Fam Areas (Enc)'!$D$6:$D$998,"Inactive")&gt;0,"BLOCKED","CAN SELL")))))</f>
        <v>CAN SELL</v>
      </c>
      <c r="K239" s="11" t="str">
        <f>IF($A239="","",_xlfn.LET(_xlpm.t,MATCH($B239,'[1]Territory Definitions'!$B$5:$B$14,0),IF(ISNA(_xlpm.t),"NO TERRITORY",IF(INDEX('[1]Territory Definitions'!$D$5:$M$14,_xlpm.t,MATCH(K$4,'[1]Territory Definitions'!$D$4:$M$4,0))&lt;&gt;1,"NOT IN TERRITORY",IF(COUNTIFS('[1]Blackout Brand Fam Areas (Enc)'!$B$6:$B$998,$A239,'[1]Blackout Brand Fam Areas (Enc)'!$C$6:$C$998,K$4,'[1]Blackout Brand Fam Areas (Enc)'!$D$6:$D$998,"Inactive")&gt;0,"BLOCKED","CAN SELL")))))</f>
        <v>NOT IN TERRITORY</v>
      </c>
      <c r="L239" s="11" t="str">
        <f>IF($A239="","",_xlfn.LET(_xlpm.t,MATCH($B239,'[1]Territory Definitions'!$B$5:$B$14,0),IF(ISNA(_xlpm.t),"NO TERRITORY",IF(INDEX('[1]Territory Definitions'!$D$5:$M$14,_xlpm.t,MATCH(L$4,'[1]Territory Definitions'!$D$4:$M$4,0))&lt;&gt;1,"NOT IN TERRITORY",IF(COUNTIFS('[1]Blackout Brand Fam Areas (Enc)'!$B$6:$B$998,$A239,'[1]Blackout Brand Fam Areas (Enc)'!$C$6:$C$998,L$4,'[1]Blackout Brand Fam Areas (Enc)'!$D$6:$D$998,"Inactive")&gt;0,"BLOCKED","CAN SELL")))))</f>
        <v>CAN SELL</v>
      </c>
      <c r="M239" s="12">
        <f>IF($A239="","",COUNTIF($C239:$L239,"CAN SELL"))</f>
        <v>6</v>
      </c>
      <c r="N239" s="13" cm="1">
        <f t="array" ref="N239">IF($A239="","",SUMPRODUCT(($C239:$L239="CAN SELL")*$C$3:$L$3))</f>
        <v>1596</v>
      </c>
      <c r="O239" s="14" t="str">
        <f>IF($A239="","",IF(COUNTIF($A$5:$A$299,$A239)&gt;1,"DUPLICATE - two different territories assigned",IF($B239="** NO TERRITORY SET **","No territory on Brand Family Territory (Enc)","")))</f>
        <v/>
      </c>
      <c r="P239" s="18" t="str">
        <f>IF($A239="","",IFERROR(INDEX([1]Products!$H$4:$H$4801,MATCH($A239,[1]Products!$G$4:$G$4801,0)),"(no products)"))</f>
        <v>SPYRT Worldwide</v>
      </c>
      <c r="Q239" s="19">
        <f>IF($A239="","",COUNTIFS([1]Products!$G$4:$G$4801,$A239,[1]Products!$L$4:$L$4801,"Yes"))</f>
        <v>4</v>
      </c>
      <c r="R239" s="19">
        <f>IF($A239="","",COUNTIFS([1]Products!$G$4:$G$4801,$A239,[1]Products!$L$4:$L$4801,"Yes",[1]Products!$K$4:$K$4801,"Draft"))</f>
        <v>0</v>
      </c>
      <c r="S239" s="19">
        <f>IF($A239="","",COUNTIFS([1]Products!$G$4:$G$4801,$A239,[1]Products!$L$4:$L$4801,"Yes",[1]Products!$K$4:$K$4801,"Package"))</f>
        <v>0</v>
      </c>
      <c r="T239" s="20" t="str" cm="1">
        <f t="array" ref="T239">IF($A239="","",_xlfn.IFS($Q239=0,"NO ACTIVE SKUs",AND($R239&gt;0,$S239&gt;0),"Draft &amp; Package",$R239&gt;0,"Draft only",TRUE,"Package only"))</f>
        <v>Package only</v>
      </c>
    </row>
    <row r="240" spans="1:20" x14ac:dyDescent="0.2">
      <c r="A240" s="9" t="str">
        <v>Shiner</v>
      </c>
      <c r="B240" s="10" t="str">
        <f>IF($A240="","",_xlfn.XLOOKUP($A240,'[1]Brand Family Territory (Enc)'!$A:$A,'[1]Brand Family Territory (Enc)'!$B:$B,"** NO TERRITORY SET **"))</f>
        <v>Core Market</v>
      </c>
      <c r="C240" s="11" t="str">
        <f>IF($A240="","",_xlfn.LET(_xlpm.t,MATCH($B240,'[1]Territory Definitions'!$B$5:$B$14,0),IF(ISNA(_xlpm.t),"NO TERRITORY",IF(INDEX('[1]Territory Definitions'!$D$5:$M$14,_xlpm.t,MATCH(C$4,'[1]Territory Definitions'!$D$4:$M$4,0))&lt;&gt;1,"NOT IN TERRITORY",IF(COUNTIFS('[1]Blackout Brand Fam Areas (Enc)'!$B$6:$B$998,$A240,'[1]Blackout Brand Fam Areas (Enc)'!$C$6:$C$998,C$4,'[1]Blackout Brand Fam Areas (Enc)'!$D$6:$D$998,"Inactive")&gt;0,"BLOCKED","CAN SELL")))))</f>
        <v>CAN SELL</v>
      </c>
      <c r="D240" s="11" t="str">
        <f>IF($A240="","",_xlfn.LET(_xlpm.t,MATCH($B240,'[1]Territory Definitions'!$B$5:$B$14,0),IF(ISNA(_xlpm.t),"NO TERRITORY",IF(INDEX('[1]Territory Definitions'!$D$5:$M$14,_xlpm.t,MATCH(D$4,'[1]Territory Definitions'!$D$4:$M$4,0))&lt;&gt;1,"NOT IN TERRITORY",IF(COUNTIFS('[1]Blackout Brand Fam Areas (Enc)'!$B$6:$B$998,$A240,'[1]Blackout Brand Fam Areas (Enc)'!$C$6:$C$998,D$4,'[1]Blackout Brand Fam Areas (Enc)'!$D$6:$D$998,"Inactive")&gt;0,"BLOCKED","CAN SELL")))))</f>
        <v>CAN SELL</v>
      </c>
      <c r="E240" s="11" t="str">
        <f>IF($A240="","",_xlfn.LET(_xlpm.t,MATCH($B240,'[1]Territory Definitions'!$B$5:$B$14,0),IF(ISNA(_xlpm.t),"NO TERRITORY",IF(INDEX('[1]Territory Definitions'!$D$5:$M$14,_xlpm.t,MATCH(E$4,'[1]Territory Definitions'!$D$4:$M$4,0))&lt;&gt;1,"NOT IN TERRITORY",IF(COUNTIFS('[1]Blackout Brand Fam Areas (Enc)'!$B$6:$B$998,$A240,'[1]Blackout Brand Fam Areas (Enc)'!$C$6:$C$998,E$4,'[1]Blackout Brand Fam Areas (Enc)'!$D$6:$D$998,"Inactive")&gt;0,"BLOCKED","CAN SELL")))))</f>
        <v>CAN SELL</v>
      </c>
      <c r="F240" s="11" t="str">
        <f>IF($A240="","",_xlfn.LET(_xlpm.t,MATCH($B240,'[1]Territory Definitions'!$B$5:$B$14,0),IF(ISNA(_xlpm.t),"NO TERRITORY",IF(INDEX('[1]Territory Definitions'!$D$5:$M$14,_xlpm.t,MATCH(F$4,'[1]Territory Definitions'!$D$4:$M$4,0))&lt;&gt;1,"NOT IN TERRITORY",IF(COUNTIFS('[1]Blackout Brand Fam Areas (Enc)'!$B$6:$B$998,$A240,'[1]Blackout Brand Fam Areas (Enc)'!$C$6:$C$998,F$4,'[1]Blackout Brand Fam Areas (Enc)'!$D$6:$D$998,"Inactive")&gt;0,"BLOCKED","CAN SELL")))))</f>
        <v>NOT IN TERRITORY</v>
      </c>
      <c r="G240" s="11" t="str">
        <f>IF($A240="","",_xlfn.LET(_xlpm.t,MATCH($B240,'[1]Territory Definitions'!$B$5:$B$14,0),IF(ISNA(_xlpm.t),"NO TERRITORY",IF(INDEX('[1]Territory Definitions'!$D$5:$M$14,_xlpm.t,MATCH(G$4,'[1]Territory Definitions'!$D$4:$M$4,0))&lt;&gt;1,"NOT IN TERRITORY",IF(COUNTIFS('[1]Blackout Brand Fam Areas (Enc)'!$B$6:$B$998,$A240,'[1]Blackout Brand Fam Areas (Enc)'!$C$6:$C$998,G$4,'[1]Blackout Brand Fam Areas (Enc)'!$D$6:$D$998,"Inactive")&gt;0,"BLOCKED","CAN SELL")))))</f>
        <v>NOT IN TERRITORY</v>
      </c>
      <c r="H240" s="11" t="str">
        <f>IF($A240="","",_xlfn.LET(_xlpm.t,MATCH($B240,'[1]Territory Definitions'!$B$5:$B$14,0),IF(ISNA(_xlpm.t),"NO TERRITORY",IF(INDEX('[1]Territory Definitions'!$D$5:$M$14,_xlpm.t,MATCH(H$4,'[1]Territory Definitions'!$D$4:$M$4,0))&lt;&gt;1,"NOT IN TERRITORY",IF(COUNTIFS('[1]Blackout Brand Fam Areas (Enc)'!$B$6:$B$998,$A240,'[1]Blackout Brand Fam Areas (Enc)'!$C$6:$C$998,H$4,'[1]Blackout Brand Fam Areas (Enc)'!$D$6:$D$998,"Inactive")&gt;0,"BLOCKED","CAN SELL")))))</f>
        <v>NOT IN TERRITORY</v>
      </c>
      <c r="I240" s="11" t="str">
        <f>IF($A240="","",_xlfn.LET(_xlpm.t,MATCH($B240,'[1]Territory Definitions'!$B$5:$B$14,0),IF(ISNA(_xlpm.t),"NO TERRITORY",IF(INDEX('[1]Territory Definitions'!$D$5:$M$14,_xlpm.t,MATCH(I$4,'[1]Territory Definitions'!$D$4:$M$4,0))&lt;&gt;1,"NOT IN TERRITORY",IF(COUNTIFS('[1]Blackout Brand Fam Areas (Enc)'!$B$6:$B$998,$A240,'[1]Blackout Brand Fam Areas (Enc)'!$C$6:$C$998,I$4,'[1]Blackout Brand Fam Areas (Enc)'!$D$6:$D$998,"Inactive")&gt;0,"BLOCKED","CAN SELL")))))</f>
        <v>CAN SELL</v>
      </c>
      <c r="J240" s="11" t="str">
        <f>IF($A240="","",_xlfn.LET(_xlpm.t,MATCH($B240,'[1]Territory Definitions'!$B$5:$B$14,0),IF(ISNA(_xlpm.t),"NO TERRITORY",IF(INDEX('[1]Territory Definitions'!$D$5:$M$14,_xlpm.t,MATCH(J$4,'[1]Territory Definitions'!$D$4:$M$4,0))&lt;&gt;1,"NOT IN TERRITORY",IF(COUNTIFS('[1]Blackout Brand Fam Areas (Enc)'!$B$6:$B$998,$A240,'[1]Blackout Brand Fam Areas (Enc)'!$C$6:$C$998,J$4,'[1]Blackout Brand Fam Areas (Enc)'!$D$6:$D$998,"Inactive")&gt;0,"BLOCKED","CAN SELL")))))</f>
        <v>CAN SELL</v>
      </c>
      <c r="K240" s="11" t="str">
        <f>IF($A240="","",_xlfn.LET(_xlpm.t,MATCH($B240,'[1]Territory Definitions'!$B$5:$B$14,0),IF(ISNA(_xlpm.t),"NO TERRITORY",IF(INDEX('[1]Territory Definitions'!$D$5:$M$14,_xlpm.t,MATCH(K$4,'[1]Territory Definitions'!$D$4:$M$4,0))&lt;&gt;1,"NOT IN TERRITORY",IF(COUNTIFS('[1]Blackout Brand Fam Areas (Enc)'!$B$6:$B$998,$A240,'[1]Blackout Brand Fam Areas (Enc)'!$C$6:$C$998,K$4,'[1]Blackout Brand Fam Areas (Enc)'!$D$6:$D$998,"Inactive")&gt;0,"BLOCKED","CAN SELL")))))</f>
        <v>NOT IN TERRITORY</v>
      </c>
      <c r="L240" s="11" t="str">
        <f>IF($A240="","",_xlfn.LET(_xlpm.t,MATCH($B240,'[1]Territory Definitions'!$B$5:$B$14,0),IF(ISNA(_xlpm.t),"NO TERRITORY",IF(INDEX('[1]Territory Definitions'!$D$5:$M$14,_xlpm.t,MATCH(L$4,'[1]Territory Definitions'!$D$4:$M$4,0))&lt;&gt;1,"NOT IN TERRITORY",IF(COUNTIFS('[1]Blackout Brand Fam Areas (Enc)'!$B$6:$B$998,$A240,'[1]Blackout Brand Fam Areas (Enc)'!$C$6:$C$998,L$4,'[1]Blackout Brand Fam Areas (Enc)'!$D$6:$D$998,"Inactive")&gt;0,"BLOCKED","CAN SELL")))))</f>
        <v>CAN SELL</v>
      </c>
      <c r="M240" s="12">
        <f>IF($A240="","",COUNTIF($C240:$L240,"CAN SELL"))</f>
        <v>6</v>
      </c>
      <c r="N240" s="13" cm="1">
        <f t="array" ref="N240">IF($A240="","",SUMPRODUCT(($C240:$L240="CAN SELL")*$C$3:$L$3))</f>
        <v>1596</v>
      </c>
      <c r="O240" s="14" t="str">
        <f>IF($A240="","",IF(COUNTIF($A$5:$A$299,$A240)&gt;1,"DUPLICATE - two different territories assigned",IF($B240="** NO TERRITORY SET **","No territory on Brand Family Territory (Enc)","")))</f>
        <v/>
      </c>
      <c r="P240" s="18" t="str">
        <f>IF($A240="","",IFERROR(INDEX([1]Products!$H$4:$H$4801,MATCH($A240,[1]Products!$G$4:$G$4801,0)),"(no products)"))</f>
        <v>Gambrinus Imports</v>
      </c>
      <c r="Q240" s="19">
        <f>IF($A240="","",COUNTIFS([1]Products!$G$4:$G$4801,$A240,[1]Products!$L$4:$L$4801,"Yes"))</f>
        <v>24</v>
      </c>
      <c r="R240" s="19">
        <f>IF($A240="","",COUNTIFS([1]Products!$G$4:$G$4801,$A240,[1]Products!$L$4:$L$4801,"Yes",[1]Products!$K$4:$K$4801,"Draft"))</f>
        <v>6</v>
      </c>
      <c r="S240" s="19">
        <f>IF($A240="","",COUNTIFS([1]Products!$G$4:$G$4801,$A240,[1]Products!$L$4:$L$4801,"Yes",[1]Products!$K$4:$K$4801,"Package"))</f>
        <v>18</v>
      </c>
      <c r="T240" s="20" t="str" cm="1">
        <f t="array" ref="T240">IF($A240="","",_xlfn.IFS($Q240=0,"NO ACTIVE SKUs",AND($R240&gt;0,$S240&gt;0),"Draft &amp; Package",$R240&gt;0,"Draft only",TRUE,"Package only"))</f>
        <v>Draft &amp; Package</v>
      </c>
    </row>
    <row r="241" spans="1:20" x14ac:dyDescent="0.2">
      <c r="A241" s="9" t="str">
        <v>Shipyard</v>
      </c>
      <c r="B241" s="10" t="str">
        <f>IF($A241="","",_xlfn.XLOOKUP($A241,'[1]Brand Family Territory (Enc)'!$A:$A,'[1]Brand Family Territory (Enc)'!$B:$B,"** NO TERRITORY SET **"))</f>
        <v>Bergen/Passaic/Hudson/Essex</v>
      </c>
      <c r="C241" s="11" t="str">
        <f>IF($A241="","",_xlfn.LET(_xlpm.t,MATCH($B241,'[1]Territory Definitions'!$B$5:$B$14,0),IF(ISNA(_xlpm.t),"NO TERRITORY",IF(INDEX('[1]Territory Definitions'!$D$5:$M$14,_xlpm.t,MATCH(C$4,'[1]Territory Definitions'!$D$4:$M$4,0))&lt;&gt;1,"NOT IN TERRITORY",IF(COUNTIFS('[1]Blackout Brand Fam Areas (Enc)'!$B$6:$B$998,$A241,'[1]Blackout Brand Fam Areas (Enc)'!$C$6:$C$998,C$4,'[1]Blackout Brand Fam Areas (Enc)'!$D$6:$D$998,"Inactive")&gt;0,"BLOCKED","CAN SELL")))))</f>
        <v>CAN SELL</v>
      </c>
      <c r="D241" s="11" t="str">
        <f>IF($A241="","",_xlfn.LET(_xlpm.t,MATCH($B241,'[1]Territory Definitions'!$B$5:$B$14,0),IF(ISNA(_xlpm.t),"NO TERRITORY",IF(INDEX('[1]Territory Definitions'!$D$5:$M$14,_xlpm.t,MATCH(D$4,'[1]Territory Definitions'!$D$4:$M$4,0))&lt;&gt;1,"NOT IN TERRITORY",IF(COUNTIFS('[1]Blackout Brand Fam Areas (Enc)'!$B$6:$B$998,$A241,'[1]Blackout Brand Fam Areas (Enc)'!$C$6:$C$998,D$4,'[1]Blackout Brand Fam Areas (Enc)'!$D$6:$D$998,"Inactive")&gt;0,"BLOCKED","CAN SELL")))))</f>
        <v>CAN SELL</v>
      </c>
      <c r="E241" s="11" t="str">
        <f>IF($A241="","",_xlfn.LET(_xlpm.t,MATCH($B241,'[1]Territory Definitions'!$B$5:$B$14,0),IF(ISNA(_xlpm.t),"NO TERRITORY",IF(INDEX('[1]Territory Definitions'!$D$5:$M$14,_xlpm.t,MATCH(E$4,'[1]Territory Definitions'!$D$4:$M$4,0))&lt;&gt;1,"NOT IN TERRITORY",IF(COUNTIFS('[1]Blackout Brand Fam Areas (Enc)'!$B$6:$B$998,$A241,'[1]Blackout Brand Fam Areas (Enc)'!$C$6:$C$998,E$4,'[1]Blackout Brand Fam Areas (Enc)'!$D$6:$D$998,"Inactive")&gt;0,"BLOCKED","CAN SELL")))))</f>
        <v>CAN SELL</v>
      </c>
      <c r="F241" s="11" t="str">
        <f>IF($A241="","",_xlfn.LET(_xlpm.t,MATCH($B241,'[1]Territory Definitions'!$B$5:$B$14,0),IF(ISNA(_xlpm.t),"NO TERRITORY",IF(INDEX('[1]Territory Definitions'!$D$5:$M$14,_xlpm.t,MATCH(F$4,'[1]Territory Definitions'!$D$4:$M$4,0))&lt;&gt;1,"NOT IN TERRITORY",IF(COUNTIFS('[1]Blackout Brand Fam Areas (Enc)'!$B$6:$B$998,$A241,'[1]Blackout Brand Fam Areas (Enc)'!$C$6:$C$998,F$4,'[1]Blackout Brand Fam Areas (Enc)'!$D$6:$D$998,"Inactive")&gt;0,"BLOCKED","CAN SELL")))))</f>
        <v>CAN SELL</v>
      </c>
      <c r="G241" s="11" t="str">
        <f>IF($A241="","",_xlfn.LET(_xlpm.t,MATCH($B241,'[1]Territory Definitions'!$B$5:$B$14,0),IF(ISNA(_xlpm.t),"NO TERRITORY",IF(INDEX('[1]Territory Definitions'!$D$5:$M$14,_xlpm.t,MATCH(G$4,'[1]Territory Definitions'!$D$4:$M$4,0))&lt;&gt;1,"NOT IN TERRITORY",IF(COUNTIFS('[1]Blackout Brand Fam Areas (Enc)'!$B$6:$B$998,$A241,'[1]Blackout Brand Fam Areas (Enc)'!$C$6:$C$998,G$4,'[1]Blackout Brand Fam Areas (Enc)'!$D$6:$D$998,"Inactive")&gt;0,"BLOCKED","CAN SELL")))))</f>
        <v>CAN SELL</v>
      </c>
      <c r="H241" s="11" t="str">
        <f>IF($A241="","",_xlfn.LET(_xlpm.t,MATCH($B241,'[1]Territory Definitions'!$B$5:$B$14,0),IF(ISNA(_xlpm.t),"NO TERRITORY",IF(INDEX('[1]Territory Definitions'!$D$5:$M$14,_xlpm.t,MATCH(H$4,'[1]Territory Definitions'!$D$4:$M$4,0))&lt;&gt;1,"NOT IN TERRITORY",IF(COUNTIFS('[1]Blackout Brand Fam Areas (Enc)'!$B$6:$B$998,$A241,'[1]Blackout Brand Fam Areas (Enc)'!$C$6:$C$998,H$4,'[1]Blackout Brand Fam Areas (Enc)'!$D$6:$D$998,"Inactive")&gt;0,"BLOCKED","CAN SELL")))))</f>
        <v>NOT IN TERRITORY</v>
      </c>
      <c r="I241" s="11" t="str">
        <f>IF($A241="","",_xlfn.LET(_xlpm.t,MATCH($B241,'[1]Territory Definitions'!$B$5:$B$14,0),IF(ISNA(_xlpm.t),"NO TERRITORY",IF(INDEX('[1]Territory Definitions'!$D$5:$M$14,_xlpm.t,MATCH(I$4,'[1]Territory Definitions'!$D$4:$M$4,0))&lt;&gt;1,"NOT IN TERRITORY",IF(COUNTIFS('[1]Blackout Brand Fam Areas (Enc)'!$B$6:$B$998,$A241,'[1]Blackout Brand Fam Areas (Enc)'!$C$6:$C$998,I$4,'[1]Blackout Brand Fam Areas (Enc)'!$D$6:$D$998,"Inactive")&gt;0,"BLOCKED","CAN SELL")))))</f>
        <v>NOT IN TERRITORY</v>
      </c>
      <c r="J241" s="11" t="str">
        <f>IF($A241="","",_xlfn.LET(_xlpm.t,MATCH($B241,'[1]Territory Definitions'!$B$5:$B$14,0),IF(ISNA(_xlpm.t),"NO TERRITORY",IF(INDEX('[1]Territory Definitions'!$D$5:$M$14,_xlpm.t,MATCH(J$4,'[1]Territory Definitions'!$D$4:$M$4,0))&lt;&gt;1,"NOT IN TERRITORY",IF(COUNTIFS('[1]Blackout Brand Fam Areas (Enc)'!$B$6:$B$998,$A241,'[1]Blackout Brand Fam Areas (Enc)'!$C$6:$C$998,J$4,'[1]Blackout Brand Fam Areas (Enc)'!$D$6:$D$998,"Inactive")&gt;0,"BLOCKED","CAN SELL")))))</f>
        <v>NOT IN TERRITORY</v>
      </c>
      <c r="K241" s="11" t="str">
        <f>IF($A241="","",_xlfn.LET(_xlpm.t,MATCH($B241,'[1]Territory Definitions'!$B$5:$B$14,0),IF(ISNA(_xlpm.t),"NO TERRITORY",IF(INDEX('[1]Territory Definitions'!$D$5:$M$14,_xlpm.t,MATCH(K$4,'[1]Territory Definitions'!$D$4:$M$4,0))&lt;&gt;1,"NOT IN TERRITORY",IF(COUNTIFS('[1]Blackout Brand Fam Areas (Enc)'!$B$6:$B$998,$A241,'[1]Blackout Brand Fam Areas (Enc)'!$C$6:$C$998,K$4,'[1]Blackout Brand Fam Areas (Enc)'!$D$6:$D$998,"Inactive")&gt;0,"BLOCKED","CAN SELL")))))</f>
        <v>NOT IN TERRITORY</v>
      </c>
      <c r="L241" s="11" t="str">
        <f>IF($A241="","",_xlfn.LET(_xlpm.t,MATCH($B241,'[1]Territory Definitions'!$B$5:$B$14,0),IF(ISNA(_xlpm.t),"NO TERRITORY",IF(INDEX('[1]Territory Definitions'!$D$5:$M$14,_xlpm.t,MATCH(L$4,'[1]Territory Definitions'!$D$4:$M$4,0))&lt;&gt;1,"NOT IN TERRITORY",IF(COUNTIFS('[1]Blackout Brand Fam Areas (Enc)'!$B$6:$B$998,$A241,'[1]Blackout Brand Fam Areas (Enc)'!$C$6:$C$998,L$4,'[1]Blackout Brand Fam Areas (Enc)'!$D$6:$D$998,"Inactive")&gt;0,"BLOCKED","CAN SELL")))))</f>
        <v>NOT IN TERRITORY</v>
      </c>
      <c r="M241" s="12">
        <f>IF($A241="","",COUNTIF($C241:$L241,"CAN SELL"))</f>
        <v>5</v>
      </c>
      <c r="N241" s="13" cm="1">
        <f t="array" ref="N241">IF($A241="","",SUMPRODUCT(($C241:$L241="CAN SELL")*$C$3:$L$3))</f>
        <v>1859</v>
      </c>
      <c r="O241" s="14" t="str">
        <f>IF($A241="","",IF(COUNTIF($A$5:$A$299,$A241)&gt;1,"DUPLICATE - two different territories assigned",IF($B241="** NO TERRITORY SET **","No territory on Brand Family Territory (Enc)","")))</f>
        <v/>
      </c>
      <c r="P241" s="18" t="str">
        <f>IF($A241="","",IFERROR(INDEX([1]Products!$H$4:$H$4801,MATCH($A241,[1]Products!$G$4:$G$4801,0)),"(no products)"))</f>
        <v>Total Beverage Solutions</v>
      </c>
      <c r="Q241" s="19">
        <f>IF($A241="","",COUNTIFS([1]Products!$G$4:$G$4801,$A241,[1]Products!$L$4:$L$4801,"Yes"))</f>
        <v>11</v>
      </c>
      <c r="R241" s="19">
        <f>IF($A241="","",COUNTIFS([1]Products!$G$4:$G$4801,$A241,[1]Products!$L$4:$L$4801,"Yes",[1]Products!$K$4:$K$4801,"Draft"))</f>
        <v>2</v>
      </c>
      <c r="S241" s="19">
        <f>IF($A241="","",COUNTIFS([1]Products!$G$4:$G$4801,$A241,[1]Products!$L$4:$L$4801,"Yes",[1]Products!$K$4:$K$4801,"Package"))</f>
        <v>9</v>
      </c>
      <c r="T241" s="20" t="str" cm="1">
        <f t="array" ref="T241">IF($A241="","",_xlfn.IFS($Q241=0,"NO ACTIVE SKUs",AND($R241&gt;0,$S241&gt;0),"Draft &amp; Package",$R241&gt;0,"Draft only",TRUE,"Package only"))</f>
        <v>Draft &amp; Package</v>
      </c>
    </row>
    <row r="242" spans="1:20" x14ac:dyDescent="0.2">
      <c r="A242" s="9" t="str">
        <v>Sierra Nevada</v>
      </c>
      <c r="B242" s="10" t="str">
        <f>IF($A242="","",_xlfn.XLOOKUP($A242,'[1]Brand Family Territory (Enc)'!$A:$A,'[1]Brand Family Territory (Enc)'!$B:$B,"** NO TERRITORY SET **"))</f>
        <v>Core Market</v>
      </c>
      <c r="C242" s="11" t="str">
        <f>IF($A242="","",_xlfn.LET(_xlpm.t,MATCH($B242,'[1]Territory Definitions'!$B$5:$B$14,0),IF(ISNA(_xlpm.t),"NO TERRITORY",IF(INDEX('[1]Territory Definitions'!$D$5:$M$14,_xlpm.t,MATCH(C$4,'[1]Territory Definitions'!$D$4:$M$4,0))&lt;&gt;1,"NOT IN TERRITORY",IF(COUNTIFS('[1]Blackout Brand Fam Areas (Enc)'!$B$6:$B$998,$A242,'[1]Blackout Brand Fam Areas (Enc)'!$C$6:$C$998,C$4,'[1]Blackout Brand Fam Areas (Enc)'!$D$6:$D$998,"Inactive")&gt;0,"BLOCKED","CAN SELL")))))</f>
        <v>CAN SELL</v>
      </c>
      <c r="D242" s="11" t="str">
        <f>IF($A242="","",_xlfn.LET(_xlpm.t,MATCH($B242,'[1]Territory Definitions'!$B$5:$B$14,0),IF(ISNA(_xlpm.t),"NO TERRITORY",IF(INDEX('[1]Territory Definitions'!$D$5:$M$14,_xlpm.t,MATCH(D$4,'[1]Territory Definitions'!$D$4:$M$4,0))&lt;&gt;1,"NOT IN TERRITORY",IF(COUNTIFS('[1]Blackout Brand Fam Areas (Enc)'!$B$6:$B$998,$A242,'[1]Blackout Brand Fam Areas (Enc)'!$C$6:$C$998,D$4,'[1]Blackout Brand Fam Areas (Enc)'!$D$6:$D$998,"Inactive")&gt;0,"BLOCKED","CAN SELL")))))</f>
        <v>CAN SELL</v>
      </c>
      <c r="E242" s="11" t="str">
        <f>IF($A242="","",_xlfn.LET(_xlpm.t,MATCH($B242,'[1]Territory Definitions'!$B$5:$B$14,0),IF(ISNA(_xlpm.t),"NO TERRITORY",IF(INDEX('[1]Territory Definitions'!$D$5:$M$14,_xlpm.t,MATCH(E$4,'[1]Territory Definitions'!$D$4:$M$4,0))&lt;&gt;1,"NOT IN TERRITORY",IF(COUNTIFS('[1]Blackout Brand Fam Areas (Enc)'!$B$6:$B$998,$A242,'[1]Blackout Brand Fam Areas (Enc)'!$C$6:$C$998,E$4,'[1]Blackout Brand Fam Areas (Enc)'!$D$6:$D$998,"Inactive")&gt;0,"BLOCKED","CAN SELL")))))</f>
        <v>CAN SELL</v>
      </c>
      <c r="F242" s="11" t="str">
        <f>IF($A242="","",_xlfn.LET(_xlpm.t,MATCH($B242,'[1]Territory Definitions'!$B$5:$B$14,0),IF(ISNA(_xlpm.t),"NO TERRITORY",IF(INDEX('[1]Territory Definitions'!$D$5:$M$14,_xlpm.t,MATCH(F$4,'[1]Territory Definitions'!$D$4:$M$4,0))&lt;&gt;1,"NOT IN TERRITORY",IF(COUNTIFS('[1]Blackout Brand Fam Areas (Enc)'!$B$6:$B$998,$A242,'[1]Blackout Brand Fam Areas (Enc)'!$C$6:$C$998,F$4,'[1]Blackout Brand Fam Areas (Enc)'!$D$6:$D$998,"Inactive")&gt;0,"BLOCKED","CAN SELL")))))</f>
        <v>NOT IN TERRITORY</v>
      </c>
      <c r="G242" s="11" t="str">
        <f>IF($A242="","",_xlfn.LET(_xlpm.t,MATCH($B242,'[1]Territory Definitions'!$B$5:$B$14,0),IF(ISNA(_xlpm.t),"NO TERRITORY",IF(INDEX('[1]Territory Definitions'!$D$5:$M$14,_xlpm.t,MATCH(G$4,'[1]Territory Definitions'!$D$4:$M$4,0))&lt;&gt;1,"NOT IN TERRITORY",IF(COUNTIFS('[1]Blackout Brand Fam Areas (Enc)'!$B$6:$B$998,$A242,'[1]Blackout Brand Fam Areas (Enc)'!$C$6:$C$998,G$4,'[1]Blackout Brand Fam Areas (Enc)'!$D$6:$D$998,"Inactive")&gt;0,"BLOCKED","CAN SELL")))))</f>
        <v>NOT IN TERRITORY</v>
      </c>
      <c r="H242" s="11" t="str">
        <f>IF($A242="","",_xlfn.LET(_xlpm.t,MATCH($B242,'[1]Territory Definitions'!$B$5:$B$14,0),IF(ISNA(_xlpm.t),"NO TERRITORY",IF(INDEX('[1]Territory Definitions'!$D$5:$M$14,_xlpm.t,MATCH(H$4,'[1]Territory Definitions'!$D$4:$M$4,0))&lt;&gt;1,"NOT IN TERRITORY",IF(COUNTIFS('[1]Blackout Brand Fam Areas (Enc)'!$B$6:$B$998,$A242,'[1]Blackout Brand Fam Areas (Enc)'!$C$6:$C$998,H$4,'[1]Blackout Brand Fam Areas (Enc)'!$D$6:$D$998,"Inactive")&gt;0,"BLOCKED","CAN SELL")))))</f>
        <v>NOT IN TERRITORY</v>
      </c>
      <c r="I242" s="11" t="str">
        <f>IF($A242="","",_xlfn.LET(_xlpm.t,MATCH($B242,'[1]Territory Definitions'!$B$5:$B$14,0),IF(ISNA(_xlpm.t),"NO TERRITORY",IF(INDEX('[1]Territory Definitions'!$D$5:$M$14,_xlpm.t,MATCH(I$4,'[1]Territory Definitions'!$D$4:$M$4,0))&lt;&gt;1,"NOT IN TERRITORY",IF(COUNTIFS('[1]Blackout Brand Fam Areas (Enc)'!$B$6:$B$998,$A242,'[1]Blackout Brand Fam Areas (Enc)'!$C$6:$C$998,I$4,'[1]Blackout Brand Fam Areas (Enc)'!$D$6:$D$998,"Inactive")&gt;0,"BLOCKED","CAN SELL")))))</f>
        <v>CAN SELL</v>
      </c>
      <c r="J242" s="11" t="str">
        <f>IF($A242="","",_xlfn.LET(_xlpm.t,MATCH($B242,'[1]Territory Definitions'!$B$5:$B$14,0),IF(ISNA(_xlpm.t),"NO TERRITORY",IF(INDEX('[1]Territory Definitions'!$D$5:$M$14,_xlpm.t,MATCH(J$4,'[1]Territory Definitions'!$D$4:$M$4,0))&lt;&gt;1,"NOT IN TERRITORY",IF(COUNTIFS('[1]Blackout Brand Fam Areas (Enc)'!$B$6:$B$998,$A242,'[1]Blackout Brand Fam Areas (Enc)'!$C$6:$C$998,J$4,'[1]Blackout Brand Fam Areas (Enc)'!$D$6:$D$998,"Inactive")&gt;0,"BLOCKED","CAN SELL")))))</f>
        <v>CAN SELL</v>
      </c>
      <c r="K242" s="11" t="str">
        <f>IF($A242="","",_xlfn.LET(_xlpm.t,MATCH($B242,'[1]Territory Definitions'!$B$5:$B$14,0),IF(ISNA(_xlpm.t),"NO TERRITORY",IF(INDEX('[1]Territory Definitions'!$D$5:$M$14,_xlpm.t,MATCH(K$4,'[1]Territory Definitions'!$D$4:$M$4,0))&lt;&gt;1,"NOT IN TERRITORY",IF(COUNTIFS('[1]Blackout Brand Fam Areas (Enc)'!$B$6:$B$998,$A242,'[1]Blackout Brand Fam Areas (Enc)'!$C$6:$C$998,K$4,'[1]Blackout Brand Fam Areas (Enc)'!$D$6:$D$998,"Inactive")&gt;0,"BLOCKED","CAN SELL")))))</f>
        <v>NOT IN TERRITORY</v>
      </c>
      <c r="L242" s="11" t="str">
        <f>IF($A242="","",_xlfn.LET(_xlpm.t,MATCH($B242,'[1]Territory Definitions'!$B$5:$B$14,0),IF(ISNA(_xlpm.t),"NO TERRITORY",IF(INDEX('[1]Territory Definitions'!$D$5:$M$14,_xlpm.t,MATCH(L$4,'[1]Territory Definitions'!$D$4:$M$4,0))&lt;&gt;1,"NOT IN TERRITORY",IF(COUNTIFS('[1]Blackout Brand Fam Areas (Enc)'!$B$6:$B$998,$A242,'[1]Blackout Brand Fam Areas (Enc)'!$C$6:$C$998,L$4,'[1]Blackout Brand Fam Areas (Enc)'!$D$6:$D$998,"Inactive")&gt;0,"BLOCKED","CAN SELL")))))</f>
        <v>CAN SELL</v>
      </c>
      <c r="M242" s="12">
        <f>IF($A242="","",COUNTIF($C242:$L242,"CAN SELL"))</f>
        <v>6</v>
      </c>
      <c r="N242" s="13" cm="1">
        <f t="array" ref="N242">IF($A242="","",SUMPRODUCT(($C242:$L242="CAN SELL")*$C$3:$L$3))</f>
        <v>1596</v>
      </c>
      <c r="O242" s="14" t="str">
        <f>IF($A242="","",IF(COUNTIF($A$5:$A$299,$A242)&gt;1,"DUPLICATE - two different territories assigned",IF($B242="** NO TERRITORY SET **","No territory on Brand Family Territory (Enc)","")))</f>
        <v/>
      </c>
      <c r="P242" s="18" t="str">
        <f>IF($A242="","",IFERROR(INDEX([1]Products!$H$4:$H$4801,MATCH($A242,[1]Products!$G$4:$G$4801,0)),"(no products)"))</f>
        <v>Sierra Nevada Brewing Company</v>
      </c>
      <c r="Q242" s="19">
        <f>IF($A242="","",COUNTIFS([1]Products!$G$4:$G$4801,$A242,[1]Products!$L$4:$L$4801,"Yes"))</f>
        <v>74</v>
      </c>
      <c r="R242" s="19">
        <f>IF($A242="","",COUNTIFS([1]Products!$G$4:$G$4801,$A242,[1]Products!$L$4:$L$4801,"Yes",[1]Products!$K$4:$K$4801,"Draft"))</f>
        <v>17</v>
      </c>
      <c r="S242" s="19">
        <f>IF($A242="","",COUNTIFS([1]Products!$G$4:$G$4801,$A242,[1]Products!$L$4:$L$4801,"Yes",[1]Products!$K$4:$K$4801,"Package"))</f>
        <v>57</v>
      </c>
      <c r="T242" s="20" t="str" cm="1">
        <f t="array" ref="T242">IF($A242="","",_xlfn.IFS($Q242=0,"NO ACTIVE SKUs",AND($R242&gt;0,$S242&gt;0),"Draft &amp; Package",$R242&gt;0,"Draft only",TRUE,"Package only"))</f>
        <v>Draft &amp; Package</v>
      </c>
    </row>
    <row r="243" spans="1:20" x14ac:dyDescent="0.2">
      <c r="A243" s="9" t="str">
        <v>Simply Spiked</v>
      </c>
      <c r="B243" s="10" t="str">
        <f>IF($A243="","",_xlfn.XLOOKUP($A243,'[1]Brand Family Territory (Enc)'!$A:$A,'[1]Brand Family Territory (Enc)'!$B:$B,"** NO TERRITORY SET **"))</f>
        <v>Core Market</v>
      </c>
      <c r="C243" s="11" t="str">
        <f>IF($A243="","",_xlfn.LET(_xlpm.t,MATCH($B243,'[1]Territory Definitions'!$B$5:$B$14,0),IF(ISNA(_xlpm.t),"NO TERRITORY",IF(INDEX('[1]Territory Definitions'!$D$5:$M$14,_xlpm.t,MATCH(C$4,'[1]Territory Definitions'!$D$4:$M$4,0))&lt;&gt;1,"NOT IN TERRITORY",IF(COUNTIFS('[1]Blackout Brand Fam Areas (Enc)'!$B$6:$B$998,$A243,'[1]Blackout Brand Fam Areas (Enc)'!$C$6:$C$998,C$4,'[1]Blackout Brand Fam Areas (Enc)'!$D$6:$D$998,"Inactive")&gt;0,"BLOCKED","CAN SELL")))))</f>
        <v>CAN SELL</v>
      </c>
      <c r="D243" s="11" t="str">
        <f>IF($A243="","",_xlfn.LET(_xlpm.t,MATCH($B243,'[1]Territory Definitions'!$B$5:$B$14,0),IF(ISNA(_xlpm.t),"NO TERRITORY",IF(INDEX('[1]Territory Definitions'!$D$5:$M$14,_xlpm.t,MATCH(D$4,'[1]Territory Definitions'!$D$4:$M$4,0))&lt;&gt;1,"NOT IN TERRITORY",IF(COUNTIFS('[1]Blackout Brand Fam Areas (Enc)'!$B$6:$B$998,$A243,'[1]Blackout Brand Fam Areas (Enc)'!$C$6:$C$998,D$4,'[1]Blackout Brand Fam Areas (Enc)'!$D$6:$D$998,"Inactive")&gt;0,"BLOCKED","CAN SELL")))))</f>
        <v>CAN SELL</v>
      </c>
      <c r="E243" s="11" t="str">
        <f>IF($A243="","",_xlfn.LET(_xlpm.t,MATCH($B243,'[1]Territory Definitions'!$B$5:$B$14,0),IF(ISNA(_xlpm.t),"NO TERRITORY",IF(INDEX('[1]Territory Definitions'!$D$5:$M$14,_xlpm.t,MATCH(E$4,'[1]Territory Definitions'!$D$4:$M$4,0))&lt;&gt;1,"NOT IN TERRITORY",IF(COUNTIFS('[1]Blackout Brand Fam Areas (Enc)'!$B$6:$B$998,$A243,'[1]Blackout Brand Fam Areas (Enc)'!$C$6:$C$998,E$4,'[1]Blackout Brand Fam Areas (Enc)'!$D$6:$D$998,"Inactive")&gt;0,"BLOCKED","CAN SELL")))))</f>
        <v>CAN SELL</v>
      </c>
      <c r="F243" s="11" t="str">
        <f>IF($A243="","",_xlfn.LET(_xlpm.t,MATCH($B243,'[1]Territory Definitions'!$B$5:$B$14,0),IF(ISNA(_xlpm.t),"NO TERRITORY",IF(INDEX('[1]Territory Definitions'!$D$5:$M$14,_xlpm.t,MATCH(F$4,'[1]Territory Definitions'!$D$4:$M$4,0))&lt;&gt;1,"NOT IN TERRITORY",IF(COUNTIFS('[1]Blackout Brand Fam Areas (Enc)'!$B$6:$B$998,$A243,'[1]Blackout Brand Fam Areas (Enc)'!$C$6:$C$998,F$4,'[1]Blackout Brand Fam Areas (Enc)'!$D$6:$D$998,"Inactive")&gt;0,"BLOCKED","CAN SELL")))))</f>
        <v>NOT IN TERRITORY</v>
      </c>
      <c r="G243" s="11" t="str">
        <f>IF($A243="","",_xlfn.LET(_xlpm.t,MATCH($B243,'[1]Territory Definitions'!$B$5:$B$14,0),IF(ISNA(_xlpm.t),"NO TERRITORY",IF(INDEX('[1]Territory Definitions'!$D$5:$M$14,_xlpm.t,MATCH(G$4,'[1]Territory Definitions'!$D$4:$M$4,0))&lt;&gt;1,"NOT IN TERRITORY",IF(COUNTIFS('[1]Blackout Brand Fam Areas (Enc)'!$B$6:$B$998,$A243,'[1]Blackout Brand Fam Areas (Enc)'!$C$6:$C$998,G$4,'[1]Blackout Brand Fam Areas (Enc)'!$D$6:$D$998,"Inactive")&gt;0,"BLOCKED","CAN SELL")))))</f>
        <v>NOT IN TERRITORY</v>
      </c>
      <c r="H243" s="11" t="str">
        <f>IF($A243="","",_xlfn.LET(_xlpm.t,MATCH($B243,'[1]Territory Definitions'!$B$5:$B$14,0),IF(ISNA(_xlpm.t),"NO TERRITORY",IF(INDEX('[1]Territory Definitions'!$D$5:$M$14,_xlpm.t,MATCH(H$4,'[1]Territory Definitions'!$D$4:$M$4,0))&lt;&gt;1,"NOT IN TERRITORY",IF(COUNTIFS('[1]Blackout Brand Fam Areas (Enc)'!$B$6:$B$998,$A243,'[1]Blackout Brand Fam Areas (Enc)'!$C$6:$C$998,H$4,'[1]Blackout Brand Fam Areas (Enc)'!$D$6:$D$998,"Inactive")&gt;0,"BLOCKED","CAN SELL")))))</f>
        <v>NOT IN TERRITORY</v>
      </c>
      <c r="I243" s="11" t="str">
        <f>IF($A243="","",_xlfn.LET(_xlpm.t,MATCH($B243,'[1]Territory Definitions'!$B$5:$B$14,0),IF(ISNA(_xlpm.t),"NO TERRITORY",IF(INDEX('[1]Territory Definitions'!$D$5:$M$14,_xlpm.t,MATCH(I$4,'[1]Territory Definitions'!$D$4:$M$4,0))&lt;&gt;1,"NOT IN TERRITORY",IF(COUNTIFS('[1]Blackout Brand Fam Areas (Enc)'!$B$6:$B$998,$A243,'[1]Blackout Brand Fam Areas (Enc)'!$C$6:$C$998,I$4,'[1]Blackout Brand Fam Areas (Enc)'!$D$6:$D$998,"Inactive")&gt;0,"BLOCKED","CAN SELL")))))</f>
        <v>CAN SELL</v>
      </c>
      <c r="J243" s="11" t="str">
        <f>IF($A243="","",_xlfn.LET(_xlpm.t,MATCH($B243,'[1]Territory Definitions'!$B$5:$B$14,0),IF(ISNA(_xlpm.t),"NO TERRITORY",IF(INDEX('[1]Territory Definitions'!$D$5:$M$14,_xlpm.t,MATCH(J$4,'[1]Territory Definitions'!$D$4:$M$4,0))&lt;&gt;1,"NOT IN TERRITORY",IF(COUNTIFS('[1]Blackout Brand Fam Areas (Enc)'!$B$6:$B$998,$A243,'[1]Blackout Brand Fam Areas (Enc)'!$C$6:$C$998,J$4,'[1]Blackout Brand Fam Areas (Enc)'!$D$6:$D$998,"Inactive")&gt;0,"BLOCKED","CAN SELL")))))</f>
        <v>CAN SELL</v>
      </c>
      <c r="K243" s="11" t="str">
        <f>IF($A243="","",_xlfn.LET(_xlpm.t,MATCH($B243,'[1]Territory Definitions'!$B$5:$B$14,0),IF(ISNA(_xlpm.t),"NO TERRITORY",IF(INDEX('[1]Territory Definitions'!$D$5:$M$14,_xlpm.t,MATCH(K$4,'[1]Territory Definitions'!$D$4:$M$4,0))&lt;&gt;1,"NOT IN TERRITORY",IF(COUNTIFS('[1]Blackout Brand Fam Areas (Enc)'!$B$6:$B$998,$A243,'[1]Blackout Brand Fam Areas (Enc)'!$C$6:$C$998,K$4,'[1]Blackout Brand Fam Areas (Enc)'!$D$6:$D$998,"Inactive")&gt;0,"BLOCKED","CAN SELL")))))</f>
        <v>NOT IN TERRITORY</v>
      </c>
      <c r="L243" s="11" t="str">
        <f>IF($A243="","",_xlfn.LET(_xlpm.t,MATCH($B243,'[1]Territory Definitions'!$B$5:$B$14,0),IF(ISNA(_xlpm.t),"NO TERRITORY",IF(INDEX('[1]Territory Definitions'!$D$5:$M$14,_xlpm.t,MATCH(L$4,'[1]Territory Definitions'!$D$4:$M$4,0))&lt;&gt;1,"NOT IN TERRITORY",IF(COUNTIFS('[1]Blackout Brand Fam Areas (Enc)'!$B$6:$B$998,$A243,'[1]Blackout Brand Fam Areas (Enc)'!$C$6:$C$998,L$4,'[1]Blackout Brand Fam Areas (Enc)'!$D$6:$D$998,"Inactive")&gt;0,"BLOCKED","CAN SELL")))))</f>
        <v>CAN SELL</v>
      </c>
      <c r="M243" s="12">
        <f>IF($A243="","",COUNTIF($C243:$L243,"CAN SELL"))</f>
        <v>6</v>
      </c>
      <c r="N243" s="13" cm="1">
        <f t="array" ref="N243">IF($A243="","",SUMPRODUCT(($C243:$L243="CAN SELL")*$C$3:$L$3))</f>
        <v>1596</v>
      </c>
      <c r="O243" s="14" t="str">
        <f>IF($A243="","",IF(COUNTIF($A$5:$A$299,$A243)&gt;1,"DUPLICATE - two different territories assigned",IF($B243="** NO TERRITORY SET **","No territory on Brand Family Territory (Enc)","")))</f>
        <v/>
      </c>
      <c r="P243" s="18" t="str">
        <f>IF($A243="","",IFERROR(INDEX([1]Products!$H$4:$H$4801,MATCH($A243,[1]Products!$G$4:$G$4801,0)),"(no products)"))</f>
        <v>MolsonCoors Beverage Company</v>
      </c>
      <c r="Q243" s="19">
        <f>IF($A243="","",COUNTIFS([1]Products!$G$4:$G$4801,$A243,[1]Products!$L$4:$L$4801,"Yes"))</f>
        <v>11</v>
      </c>
      <c r="R243" s="19">
        <f>IF($A243="","",COUNTIFS([1]Products!$G$4:$G$4801,$A243,[1]Products!$L$4:$L$4801,"Yes",[1]Products!$K$4:$K$4801,"Draft"))</f>
        <v>0</v>
      </c>
      <c r="S243" s="19">
        <f>IF($A243="","",COUNTIFS([1]Products!$G$4:$G$4801,$A243,[1]Products!$L$4:$L$4801,"Yes",[1]Products!$K$4:$K$4801,"Package"))</f>
        <v>11</v>
      </c>
      <c r="T243" s="20" t="str" cm="1">
        <f t="array" ref="T243">IF($A243="","",_xlfn.IFS($Q243=0,"NO ACTIVE SKUs",AND($R243&gt;0,$S243&gt;0),"Draft &amp; Package",$R243&gt;0,"Draft only",TRUE,"Package only"))</f>
        <v>Package only</v>
      </c>
    </row>
    <row r="244" spans="1:20" x14ac:dyDescent="0.2">
      <c r="A244" s="9" t="str">
        <v>Sinless Vodka Cocktail</v>
      </c>
      <c r="B244" s="10" t="str">
        <f>IF($A244="","",_xlfn.XLOOKUP($A244,'[1]Brand Family Territory (Enc)'!$A:$A,'[1]Brand Family Territory (Enc)'!$B:$B,"** NO TERRITORY SET **"))</f>
        <v>Core Market</v>
      </c>
      <c r="C244" s="11" t="str">
        <f>IF($A244="","",_xlfn.LET(_xlpm.t,MATCH($B244,'[1]Territory Definitions'!$B$5:$B$14,0),IF(ISNA(_xlpm.t),"NO TERRITORY",IF(INDEX('[1]Territory Definitions'!$D$5:$M$14,_xlpm.t,MATCH(C$4,'[1]Territory Definitions'!$D$4:$M$4,0))&lt;&gt;1,"NOT IN TERRITORY",IF(COUNTIFS('[1]Blackout Brand Fam Areas (Enc)'!$B$6:$B$998,$A244,'[1]Blackout Brand Fam Areas (Enc)'!$C$6:$C$998,C$4,'[1]Blackout Brand Fam Areas (Enc)'!$D$6:$D$998,"Inactive")&gt;0,"BLOCKED","CAN SELL")))))</f>
        <v>CAN SELL</v>
      </c>
      <c r="D244" s="11" t="str">
        <f>IF($A244="","",_xlfn.LET(_xlpm.t,MATCH($B244,'[1]Territory Definitions'!$B$5:$B$14,0),IF(ISNA(_xlpm.t),"NO TERRITORY",IF(INDEX('[1]Territory Definitions'!$D$5:$M$14,_xlpm.t,MATCH(D$4,'[1]Territory Definitions'!$D$4:$M$4,0))&lt;&gt;1,"NOT IN TERRITORY",IF(COUNTIFS('[1]Blackout Brand Fam Areas (Enc)'!$B$6:$B$998,$A244,'[1]Blackout Brand Fam Areas (Enc)'!$C$6:$C$998,D$4,'[1]Blackout Brand Fam Areas (Enc)'!$D$6:$D$998,"Inactive")&gt;0,"BLOCKED","CAN SELL")))))</f>
        <v>CAN SELL</v>
      </c>
      <c r="E244" s="11" t="str">
        <f>IF($A244="","",_xlfn.LET(_xlpm.t,MATCH($B244,'[1]Territory Definitions'!$B$5:$B$14,0),IF(ISNA(_xlpm.t),"NO TERRITORY",IF(INDEX('[1]Territory Definitions'!$D$5:$M$14,_xlpm.t,MATCH(E$4,'[1]Territory Definitions'!$D$4:$M$4,0))&lt;&gt;1,"NOT IN TERRITORY",IF(COUNTIFS('[1]Blackout Brand Fam Areas (Enc)'!$B$6:$B$998,$A244,'[1]Blackout Brand Fam Areas (Enc)'!$C$6:$C$998,E$4,'[1]Blackout Brand Fam Areas (Enc)'!$D$6:$D$998,"Inactive")&gt;0,"BLOCKED","CAN SELL")))))</f>
        <v>CAN SELL</v>
      </c>
      <c r="F244" s="11" t="str">
        <f>IF($A244="","",_xlfn.LET(_xlpm.t,MATCH($B244,'[1]Territory Definitions'!$B$5:$B$14,0),IF(ISNA(_xlpm.t),"NO TERRITORY",IF(INDEX('[1]Territory Definitions'!$D$5:$M$14,_xlpm.t,MATCH(F$4,'[1]Territory Definitions'!$D$4:$M$4,0))&lt;&gt;1,"NOT IN TERRITORY",IF(COUNTIFS('[1]Blackout Brand Fam Areas (Enc)'!$B$6:$B$998,$A244,'[1]Blackout Brand Fam Areas (Enc)'!$C$6:$C$998,F$4,'[1]Blackout Brand Fam Areas (Enc)'!$D$6:$D$998,"Inactive")&gt;0,"BLOCKED","CAN SELL")))))</f>
        <v>NOT IN TERRITORY</v>
      </c>
      <c r="G244" s="11" t="str">
        <f>IF($A244="","",_xlfn.LET(_xlpm.t,MATCH($B244,'[1]Territory Definitions'!$B$5:$B$14,0),IF(ISNA(_xlpm.t),"NO TERRITORY",IF(INDEX('[1]Territory Definitions'!$D$5:$M$14,_xlpm.t,MATCH(G$4,'[1]Territory Definitions'!$D$4:$M$4,0))&lt;&gt;1,"NOT IN TERRITORY",IF(COUNTIFS('[1]Blackout Brand Fam Areas (Enc)'!$B$6:$B$998,$A244,'[1]Blackout Brand Fam Areas (Enc)'!$C$6:$C$998,G$4,'[1]Blackout Brand Fam Areas (Enc)'!$D$6:$D$998,"Inactive")&gt;0,"BLOCKED","CAN SELL")))))</f>
        <v>NOT IN TERRITORY</v>
      </c>
      <c r="H244" s="11" t="str">
        <f>IF($A244="","",_xlfn.LET(_xlpm.t,MATCH($B244,'[1]Territory Definitions'!$B$5:$B$14,0),IF(ISNA(_xlpm.t),"NO TERRITORY",IF(INDEX('[1]Territory Definitions'!$D$5:$M$14,_xlpm.t,MATCH(H$4,'[1]Territory Definitions'!$D$4:$M$4,0))&lt;&gt;1,"NOT IN TERRITORY",IF(COUNTIFS('[1]Blackout Brand Fam Areas (Enc)'!$B$6:$B$998,$A244,'[1]Blackout Brand Fam Areas (Enc)'!$C$6:$C$998,H$4,'[1]Blackout Brand Fam Areas (Enc)'!$D$6:$D$998,"Inactive")&gt;0,"BLOCKED","CAN SELL")))))</f>
        <v>NOT IN TERRITORY</v>
      </c>
      <c r="I244" s="11" t="str">
        <f>IF($A244="","",_xlfn.LET(_xlpm.t,MATCH($B244,'[1]Territory Definitions'!$B$5:$B$14,0),IF(ISNA(_xlpm.t),"NO TERRITORY",IF(INDEX('[1]Territory Definitions'!$D$5:$M$14,_xlpm.t,MATCH(I$4,'[1]Territory Definitions'!$D$4:$M$4,0))&lt;&gt;1,"NOT IN TERRITORY",IF(COUNTIFS('[1]Blackout Brand Fam Areas (Enc)'!$B$6:$B$998,$A244,'[1]Blackout Brand Fam Areas (Enc)'!$C$6:$C$998,I$4,'[1]Blackout Brand Fam Areas (Enc)'!$D$6:$D$998,"Inactive")&gt;0,"BLOCKED","CAN SELL")))))</f>
        <v>CAN SELL</v>
      </c>
      <c r="J244" s="11" t="str">
        <f>IF($A244="","",_xlfn.LET(_xlpm.t,MATCH($B244,'[1]Territory Definitions'!$B$5:$B$14,0),IF(ISNA(_xlpm.t),"NO TERRITORY",IF(INDEX('[1]Territory Definitions'!$D$5:$M$14,_xlpm.t,MATCH(J$4,'[1]Territory Definitions'!$D$4:$M$4,0))&lt;&gt;1,"NOT IN TERRITORY",IF(COUNTIFS('[1]Blackout Brand Fam Areas (Enc)'!$B$6:$B$998,$A244,'[1]Blackout Brand Fam Areas (Enc)'!$C$6:$C$998,J$4,'[1]Blackout Brand Fam Areas (Enc)'!$D$6:$D$998,"Inactive")&gt;0,"BLOCKED","CAN SELL")))))</f>
        <v>CAN SELL</v>
      </c>
      <c r="K244" s="11" t="str">
        <f>IF($A244="","",_xlfn.LET(_xlpm.t,MATCH($B244,'[1]Territory Definitions'!$B$5:$B$14,0),IF(ISNA(_xlpm.t),"NO TERRITORY",IF(INDEX('[1]Territory Definitions'!$D$5:$M$14,_xlpm.t,MATCH(K$4,'[1]Territory Definitions'!$D$4:$M$4,0))&lt;&gt;1,"NOT IN TERRITORY",IF(COUNTIFS('[1]Blackout Brand Fam Areas (Enc)'!$B$6:$B$998,$A244,'[1]Blackout Brand Fam Areas (Enc)'!$C$6:$C$998,K$4,'[1]Blackout Brand Fam Areas (Enc)'!$D$6:$D$998,"Inactive")&gt;0,"BLOCKED","CAN SELL")))))</f>
        <v>NOT IN TERRITORY</v>
      </c>
      <c r="L244" s="11" t="str">
        <f>IF($A244="","",_xlfn.LET(_xlpm.t,MATCH($B244,'[1]Territory Definitions'!$B$5:$B$14,0),IF(ISNA(_xlpm.t),"NO TERRITORY",IF(INDEX('[1]Territory Definitions'!$D$5:$M$14,_xlpm.t,MATCH(L$4,'[1]Territory Definitions'!$D$4:$M$4,0))&lt;&gt;1,"NOT IN TERRITORY",IF(COUNTIFS('[1]Blackout Brand Fam Areas (Enc)'!$B$6:$B$998,$A244,'[1]Blackout Brand Fam Areas (Enc)'!$C$6:$C$998,L$4,'[1]Blackout Brand Fam Areas (Enc)'!$D$6:$D$998,"Inactive")&gt;0,"BLOCKED","CAN SELL")))))</f>
        <v>CAN SELL</v>
      </c>
      <c r="M244" s="12">
        <f>IF($A244="","",COUNTIF($C244:$L244,"CAN SELL"))</f>
        <v>6</v>
      </c>
      <c r="N244" s="13" cm="1">
        <f t="array" ref="N244">IF($A244="","",SUMPRODUCT(($C244:$L244="CAN SELL")*$C$3:$L$3))</f>
        <v>1596</v>
      </c>
      <c r="O244" s="14" t="str">
        <f>IF($A244="","",IF(COUNTIF($A$5:$A$299,$A244)&gt;1,"DUPLICATE - two different territories assigned",IF($B244="** NO TERRITORY SET **","No territory on Brand Family Territory (Enc)","")))</f>
        <v/>
      </c>
      <c r="P244" s="18" t="str">
        <f>IF($A244="","",IFERROR(INDEX([1]Products!$H$4:$H$4801,MATCH($A244,[1]Products!$G$4:$G$4801,0)),"(no products)"))</f>
        <v>Boston Beer Company</v>
      </c>
      <c r="Q244" s="19">
        <f>IF($A244="","",COUNTIFS([1]Products!$G$4:$G$4801,$A244,[1]Products!$L$4:$L$4801,"Yes"))</f>
        <v>4</v>
      </c>
      <c r="R244" s="19">
        <f>IF($A244="","",COUNTIFS([1]Products!$G$4:$G$4801,$A244,[1]Products!$L$4:$L$4801,"Yes",[1]Products!$K$4:$K$4801,"Draft"))</f>
        <v>0</v>
      </c>
      <c r="S244" s="19">
        <f>IF($A244="","",COUNTIFS([1]Products!$G$4:$G$4801,$A244,[1]Products!$L$4:$L$4801,"Yes",[1]Products!$K$4:$K$4801,"Package"))</f>
        <v>0</v>
      </c>
      <c r="T244" s="20" t="str" cm="1">
        <f t="array" ref="T244">IF($A244="","",_xlfn.IFS($Q244=0,"NO ACTIVE SKUs",AND($R244&gt;0,$S244&gt;0),"Draft &amp; Package",$R244&gt;0,"Draft only",TRUE,"Package only"))</f>
        <v>Package only</v>
      </c>
    </row>
    <row r="245" spans="1:20" x14ac:dyDescent="0.2">
      <c r="A245" s="9" t="str">
        <v>Sixpoint</v>
      </c>
      <c r="B245" s="10" t="str">
        <f>IF($A245="","",_xlfn.XLOOKUP($A245,'[1]Brand Family Territory (Enc)'!$A:$A,'[1]Brand Family Territory (Enc)'!$B:$B,"** NO TERRITORY SET **"))</f>
        <v>Bergen/Passaic/Hudson/Essex</v>
      </c>
      <c r="C245" s="11" t="str">
        <f>IF($A245="","",_xlfn.LET(_xlpm.t,MATCH($B245,'[1]Territory Definitions'!$B$5:$B$14,0),IF(ISNA(_xlpm.t),"NO TERRITORY",IF(INDEX('[1]Territory Definitions'!$D$5:$M$14,_xlpm.t,MATCH(C$4,'[1]Territory Definitions'!$D$4:$M$4,0))&lt;&gt;1,"NOT IN TERRITORY",IF(COUNTIFS('[1]Blackout Brand Fam Areas (Enc)'!$B$6:$B$998,$A245,'[1]Blackout Brand Fam Areas (Enc)'!$C$6:$C$998,C$4,'[1]Blackout Brand Fam Areas (Enc)'!$D$6:$D$998,"Inactive")&gt;0,"BLOCKED","CAN SELL")))))</f>
        <v>CAN SELL</v>
      </c>
      <c r="D245" s="11" t="str">
        <f>IF($A245="","",_xlfn.LET(_xlpm.t,MATCH($B245,'[1]Territory Definitions'!$B$5:$B$14,0),IF(ISNA(_xlpm.t),"NO TERRITORY",IF(INDEX('[1]Territory Definitions'!$D$5:$M$14,_xlpm.t,MATCH(D$4,'[1]Territory Definitions'!$D$4:$M$4,0))&lt;&gt;1,"NOT IN TERRITORY",IF(COUNTIFS('[1]Blackout Brand Fam Areas (Enc)'!$B$6:$B$998,$A245,'[1]Blackout Brand Fam Areas (Enc)'!$C$6:$C$998,D$4,'[1]Blackout Brand Fam Areas (Enc)'!$D$6:$D$998,"Inactive")&gt;0,"BLOCKED","CAN SELL")))))</f>
        <v>CAN SELL</v>
      </c>
      <c r="E245" s="11" t="str">
        <f>IF($A245="","",_xlfn.LET(_xlpm.t,MATCH($B245,'[1]Territory Definitions'!$B$5:$B$14,0),IF(ISNA(_xlpm.t),"NO TERRITORY",IF(INDEX('[1]Territory Definitions'!$D$5:$M$14,_xlpm.t,MATCH(E$4,'[1]Territory Definitions'!$D$4:$M$4,0))&lt;&gt;1,"NOT IN TERRITORY",IF(COUNTIFS('[1]Blackout Brand Fam Areas (Enc)'!$B$6:$B$998,$A245,'[1]Blackout Brand Fam Areas (Enc)'!$C$6:$C$998,E$4,'[1]Blackout Brand Fam Areas (Enc)'!$D$6:$D$998,"Inactive")&gt;0,"BLOCKED","CAN SELL")))))</f>
        <v>CAN SELL</v>
      </c>
      <c r="F245" s="11" t="str">
        <f>IF($A245="","",_xlfn.LET(_xlpm.t,MATCH($B245,'[1]Territory Definitions'!$B$5:$B$14,0),IF(ISNA(_xlpm.t),"NO TERRITORY",IF(INDEX('[1]Territory Definitions'!$D$5:$M$14,_xlpm.t,MATCH(F$4,'[1]Territory Definitions'!$D$4:$M$4,0))&lt;&gt;1,"NOT IN TERRITORY",IF(COUNTIFS('[1]Blackout Brand Fam Areas (Enc)'!$B$6:$B$998,$A245,'[1]Blackout Brand Fam Areas (Enc)'!$C$6:$C$998,F$4,'[1]Blackout Brand Fam Areas (Enc)'!$D$6:$D$998,"Inactive")&gt;0,"BLOCKED","CAN SELL")))))</f>
        <v>CAN SELL</v>
      </c>
      <c r="G245" s="11" t="str">
        <f>IF($A245="","",_xlfn.LET(_xlpm.t,MATCH($B245,'[1]Territory Definitions'!$B$5:$B$14,0),IF(ISNA(_xlpm.t),"NO TERRITORY",IF(INDEX('[1]Territory Definitions'!$D$5:$M$14,_xlpm.t,MATCH(G$4,'[1]Territory Definitions'!$D$4:$M$4,0))&lt;&gt;1,"NOT IN TERRITORY",IF(COUNTIFS('[1]Blackout Brand Fam Areas (Enc)'!$B$6:$B$998,$A245,'[1]Blackout Brand Fam Areas (Enc)'!$C$6:$C$998,G$4,'[1]Blackout Brand Fam Areas (Enc)'!$D$6:$D$998,"Inactive")&gt;0,"BLOCKED","CAN SELL")))))</f>
        <v>CAN SELL</v>
      </c>
      <c r="H245" s="11" t="str">
        <f>IF($A245="","",_xlfn.LET(_xlpm.t,MATCH($B245,'[1]Territory Definitions'!$B$5:$B$14,0),IF(ISNA(_xlpm.t),"NO TERRITORY",IF(INDEX('[1]Territory Definitions'!$D$5:$M$14,_xlpm.t,MATCH(H$4,'[1]Territory Definitions'!$D$4:$M$4,0))&lt;&gt;1,"NOT IN TERRITORY",IF(COUNTIFS('[1]Blackout Brand Fam Areas (Enc)'!$B$6:$B$998,$A245,'[1]Blackout Brand Fam Areas (Enc)'!$C$6:$C$998,H$4,'[1]Blackout Brand Fam Areas (Enc)'!$D$6:$D$998,"Inactive")&gt;0,"BLOCKED","CAN SELL")))))</f>
        <v>NOT IN TERRITORY</v>
      </c>
      <c r="I245" s="11" t="str">
        <f>IF($A245="","",_xlfn.LET(_xlpm.t,MATCH($B245,'[1]Territory Definitions'!$B$5:$B$14,0),IF(ISNA(_xlpm.t),"NO TERRITORY",IF(INDEX('[1]Territory Definitions'!$D$5:$M$14,_xlpm.t,MATCH(I$4,'[1]Territory Definitions'!$D$4:$M$4,0))&lt;&gt;1,"NOT IN TERRITORY",IF(COUNTIFS('[1]Blackout Brand Fam Areas (Enc)'!$B$6:$B$998,$A245,'[1]Blackout Brand Fam Areas (Enc)'!$C$6:$C$998,I$4,'[1]Blackout Brand Fam Areas (Enc)'!$D$6:$D$998,"Inactive")&gt;0,"BLOCKED","CAN SELL")))))</f>
        <v>NOT IN TERRITORY</v>
      </c>
      <c r="J245" s="11" t="str">
        <f>IF($A245="","",_xlfn.LET(_xlpm.t,MATCH($B245,'[1]Territory Definitions'!$B$5:$B$14,0),IF(ISNA(_xlpm.t),"NO TERRITORY",IF(INDEX('[1]Territory Definitions'!$D$5:$M$14,_xlpm.t,MATCH(J$4,'[1]Territory Definitions'!$D$4:$M$4,0))&lt;&gt;1,"NOT IN TERRITORY",IF(COUNTIFS('[1]Blackout Brand Fam Areas (Enc)'!$B$6:$B$998,$A245,'[1]Blackout Brand Fam Areas (Enc)'!$C$6:$C$998,J$4,'[1]Blackout Brand Fam Areas (Enc)'!$D$6:$D$998,"Inactive")&gt;0,"BLOCKED","CAN SELL")))))</f>
        <v>NOT IN TERRITORY</v>
      </c>
      <c r="K245" s="11" t="str">
        <f>IF($A245="","",_xlfn.LET(_xlpm.t,MATCH($B245,'[1]Territory Definitions'!$B$5:$B$14,0),IF(ISNA(_xlpm.t),"NO TERRITORY",IF(INDEX('[1]Territory Definitions'!$D$5:$M$14,_xlpm.t,MATCH(K$4,'[1]Territory Definitions'!$D$4:$M$4,0))&lt;&gt;1,"NOT IN TERRITORY",IF(COUNTIFS('[1]Blackout Brand Fam Areas (Enc)'!$B$6:$B$998,$A245,'[1]Blackout Brand Fam Areas (Enc)'!$C$6:$C$998,K$4,'[1]Blackout Brand Fam Areas (Enc)'!$D$6:$D$998,"Inactive")&gt;0,"BLOCKED","CAN SELL")))))</f>
        <v>NOT IN TERRITORY</v>
      </c>
      <c r="L245" s="11" t="str">
        <f>IF($A245="","",_xlfn.LET(_xlpm.t,MATCH($B245,'[1]Territory Definitions'!$B$5:$B$14,0),IF(ISNA(_xlpm.t),"NO TERRITORY",IF(INDEX('[1]Territory Definitions'!$D$5:$M$14,_xlpm.t,MATCH(L$4,'[1]Territory Definitions'!$D$4:$M$4,0))&lt;&gt;1,"NOT IN TERRITORY",IF(COUNTIFS('[1]Blackout Brand Fam Areas (Enc)'!$B$6:$B$998,$A245,'[1]Blackout Brand Fam Areas (Enc)'!$C$6:$C$998,L$4,'[1]Blackout Brand Fam Areas (Enc)'!$D$6:$D$998,"Inactive")&gt;0,"BLOCKED","CAN SELL")))))</f>
        <v>NOT IN TERRITORY</v>
      </c>
      <c r="M245" s="12">
        <f>IF($A245="","",COUNTIF($C245:$L245,"CAN SELL"))</f>
        <v>5</v>
      </c>
      <c r="N245" s="13" cm="1">
        <f t="array" ref="N245">IF($A245="","",SUMPRODUCT(($C245:$L245="CAN SELL")*$C$3:$L$3))</f>
        <v>1859</v>
      </c>
      <c r="O245" s="14" t="str">
        <f>IF($A245="","",IF(COUNTIF($A$5:$A$299,$A245)&gt;1,"DUPLICATE - two different territories assigned",IF($B245="** NO TERRITORY SET **","No territory on Brand Family Territory (Enc)","")))</f>
        <v/>
      </c>
      <c r="P245" s="18" t="str">
        <f>IF($A245="","",IFERROR(INDEX([1]Products!$H$4:$H$4801,MATCH($A245,[1]Products!$G$4:$G$4801,0)),"(no products)"))</f>
        <v>Sixpoint Brewing</v>
      </c>
      <c r="Q245" s="19">
        <f>IF($A245="","",COUNTIFS([1]Products!$G$4:$G$4801,$A245,[1]Products!$L$4:$L$4801,"Yes"))</f>
        <v>35</v>
      </c>
      <c r="R245" s="19">
        <f>IF($A245="","",COUNTIFS([1]Products!$G$4:$G$4801,$A245,[1]Products!$L$4:$L$4801,"Yes",[1]Products!$K$4:$K$4801,"Draft"))</f>
        <v>20</v>
      </c>
      <c r="S245" s="19">
        <f>IF($A245="","",COUNTIFS([1]Products!$G$4:$G$4801,$A245,[1]Products!$L$4:$L$4801,"Yes",[1]Products!$K$4:$K$4801,"Package"))</f>
        <v>15</v>
      </c>
      <c r="T245" s="20" t="str" cm="1">
        <f t="array" ref="T245">IF($A245="","",_xlfn.IFS($Q245=0,"NO ACTIVE SKUs",AND($R245&gt;0,$S245&gt;0),"Draft &amp; Package",$R245&gt;0,"Draft only",TRUE,"Package only"))</f>
        <v>Draft &amp; Package</v>
      </c>
    </row>
    <row r="246" spans="1:20" x14ac:dyDescent="0.2">
      <c r="A246" s="9" t="str">
        <v>Sixpoint Summer Sesh</v>
      </c>
      <c r="B246" s="10" t="str">
        <f>IF($A246="","",_xlfn.XLOOKUP($A246,'[1]Brand Family Territory (Enc)'!$A:$A,'[1]Brand Family Territory (Enc)'!$B:$B,"** NO TERRITORY SET **"))</f>
        <v>Bergen/Passaic/Hudson/Essex</v>
      </c>
      <c r="C246" s="11" t="str">
        <f>IF($A246="","",_xlfn.LET(_xlpm.t,MATCH($B246,'[1]Territory Definitions'!$B$5:$B$14,0),IF(ISNA(_xlpm.t),"NO TERRITORY",IF(INDEX('[1]Territory Definitions'!$D$5:$M$14,_xlpm.t,MATCH(C$4,'[1]Territory Definitions'!$D$4:$M$4,0))&lt;&gt;1,"NOT IN TERRITORY",IF(COUNTIFS('[1]Blackout Brand Fam Areas (Enc)'!$B$6:$B$998,$A246,'[1]Blackout Brand Fam Areas (Enc)'!$C$6:$C$998,C$4,'[1]Blackout Brand Fam Areas (Enc)'!$D$6:$D$998,"Inactive")&gt;0,"BLOCKED","CAN SELL")))))</f>
        <v>CAN SELL</v>
      </c>
      <c r="D246" s="11" t="str">
        <f>IF($A246="","",_xlfn.LET(_xlpm.t,MATCH($B246,'[1]Territory Definitions'!$B$5:$B$14,0),IF(ISNA(_xlpm.t),"NO TERRITORY",IF(INDEX('[1]Territory Definitions'!$D$5:$M$14,_xlpm.t,MATCH(D$4,'[1]Territory Definitions'!$D$4:$M$4,0))&lt;&gt;1,"NOT IN TERRITORY",IF(COUNTIFS('[1]Blackout Brand Fam Areas (Enc)'!$B$6:$B$998,$A246,'[1]Blackout Brand Fam Areas (Enc)'!$C$6:$C$998,D$4,'[1]Blackout Brand Fam Areas (Enc)'!$D$6:$D$998,"Inactive")&gt;0,"BLOCKED","CAN SELL")))))</f>
        <v>CAN SELL</v>
      </c>
      <c r="E246" s="11" t="str">
        <f>IF($A246="","",_xlfn.LET(_xlpm.t,MATCH($B246,'[1]Territory Definitions'!$B$5:$B$14,0),IF(ISNA(_xlpm.t),"NO TERRITORY",IF(INDEX('[1]Territory Definitions'!$D$5:$M$14,_xlpm.t,MATCH(E$4,'[1]Territory Definitions'!$D$4:$M$4,0))&lt;&gt;1,"NOT IN TERRITORY",IF(COUNTIFS('[1]Blackout Brand Fam Areas (Enc)'!$B$6:$B$998,$A246,'[1]Blackout Brand Fam Areas (Enc)'!$C$6:$C$998,E$4,'[1]Blackout Brand Fam Areas (Enc)'!$D$6:$D$998,"Inactive")&gt;0,"BLOCKED","CAN SELL")))))</f>
        <v>CAN SELL</v>
      </c>
      <c r="F246" s="11" t="str">
        <f>IF($A246="","",_xlfn.LET(_xlpm.t,MATCH($B246,'[1]Territory Definitions'!$B$5:$B$14,0),IF(ISNA(_xlpm.t),"NO TERRITORY",IF(INDEX('[1]Territory Definitions'!$D$5:$M$14,_xlpm.t,MATCH(F$4,'[1]Territory Definitions'!$D$4:$M$4,0))&lt;&gt;1,"NOT IN TERRITORY",IF(COUNTIFS('[1]Blackout Brand Fam Areas (Enc)'!$B$6:$B$998,$A246,'[1]Blackout Brand Fam Areas (Enc)'!$C$6:$C$998,F$4,'[1]Blackout Brand Fam Areas (Enc)'!$D$6:$D$998,"Inactive")&gt;0,"BLOCKED","CAN SELL")))))</f>
        <v>CAN SELL</v>
      </c>
      <c r="G246" s="11" t="str">
        <f>IF($A246="","",_xlfn.LET(_xlpm.t,MATCH($B246,'[1]Territory Definitions'!$B$5:$B$14,0),IF(ISNA(_xlpm.t),"NO TERRITORY",IF(INDEX('[1]Territory Definitions'!$D$5:$M$14,_xlpm.t,MATCH(G$4,'[1]Territory Definitions'!$D$4:$M$4,0))&lt;&gt;1,"NOT IN TERRITORY",IF(COUNTIFS('[1]Blackout Brand Fam Areas (Enc)'!$B$6:$B$998,$A246,'[1]Blackout Brand Fam Areas (Enc)'!$C$6:$C$998,G$4,'[1]Blackout Brand Fam Areas (Enc)'!$D$6:$D$998,"Inactive")&gt;0,"BLOCKED","CAN SELL")))))</f>
        <v>CAN SELL</v>
      </c>
      <c r="H246" s="11" t="str">
        <f>IF($A246="","",_xlfn.LET(_xlpm.t,MATCH($B246,'[1]Territory Definitions'!$B$5:$B$14,0),IF(ISNA(_xlpm.t),"NO TERRITORY",IF(INDEX('[1]Territory Definitions'!$D$5:$M$14,_xlpm.t,MATCH(H$4,'[1]Territory Definitions'!$D$4:$M$4,0))&lt;&gt;1,"NOT IN TERRITORY",IF(COUNTIFS('[1]Blackout Brand Fam Areas (Enc)'!$B$6:$B$998,$A246,'[1]Blackout Brand Fam Areas (Enc)'!$C$6:$C$998,H$4,'[1]Blackout Brand Fam Areas (Enc)'!$D$6:$D$998,"Inactive")&gt;0,"BLOCKED","CAN SELL")))))</f>
        <v>NOT IN TERRITORY</v>
      </c>
      <c r="I246" s="11" t="str">
        <f>IF($A246="","",_xlfn.LET(_xlpm.t,MATCH($B246,'[1]Territory Definitions'!$B$5:$B$14,0),IF(ISNA(_xlpm.t),"NO TERRITORY",IF(INDEX('[1]Territory Definitions'!$D$5:$M$14,_xlpm.t,MATCH(I$4,'[1]Territory Definitions'!$D$4:$M$4,0))&lt;&gt;1,"NOT IN TERRITORY",IF(COUNTIFS('[1]Blackout Brand Fam Areas (Enc)'!$B$6:$B$998,$A246,'[1]Blackout Brand Fam Areas (Enc)'!$C$6:$C$998,I$4,'[1]Blackout Brand Fam Areas (Enc)'!$D$6:$D$998,"Inactive")&gt;0,"BLOCKED","CAN SELL")))))</f>
        <v>NOT IN TERRITORY</v>
      </c>
      <c r="J246" s="11" t="str">
        <f>IF($A246="","",_xlfn.LET(_xlpm.t,MATCH($B246,'[1]Territory Definitions'!$B$5:$B$14,0),IF(ISNA(_xlpm.t),"NO TERRITORY",IF(INDEX('[1]Territory Definitions'!$D$5:$M$14,_xlpm.t,MATCH(J$4,'[1]Territory Definitions'!$D$4:$M$4,0))&lt;&gt;1,"NOT IN TERRITORY",IF(COUNTIFS('[1]Blackout Brand Fam Areas (Enc)'!$B$6:$B$998,$A246,'[1]Blackout Brand Fam Areas (Enc)'!$C$6:$C$998,J$4,'[1]Blackout Brand Fam Areas (Enc)'!$D$6:$D$998,"Inactive")&gt;0,"BLOCKED","CAN SELL")))))</f>
        <v>NOT IN TERRITORY</v>
      </c>
      <c r="K246" s="11" t="str">
        <f>IF($A246="","",_xlfn.LET(_xlpm.t,MATCH($B246,'[1]Territory Definitions'!$B$5:$B$14,0),IF(ISNA(_xlpm.t),"NO TERRITORY",IF(INDEX('[1]Territory Definitions'!$D$5:$M$14,_xlpm.t,MATCH(K$4,'[1]Territory Definitions'!$D$4:$M$4,0))&lt;&gt;1,"NOT IN TERRITORY",IF(COUNTIFS('[1]Blackout Brand Fam Areas (Enc)'!$B$6:$B$998,$A246,'[1]Blackout Brand Fam Areas (Enc)'!$C$6:$C$998,K$4,'[1]Blackout Brand Fam Areas (Enc)'!$D$6:$D$998,"Inactive")&gt;0,"BLOCKED","CAN SELL")))))</f>
        <v>NOT IN TERRITORY</v>
      </c>
      <c r="L246" s="11" t="str">
        <f>IF($A246="","",_xlfn.LET(_xlpm.t,MATCH($B246,'[1]Territory Definitions'!$B$5:$B$14,0),IF(ISNA(_xlpm.t),"NO TERRITORY",IF(INDEX('[1]Territory Definitions'!$D$5:$M$14,_xlpm.t,MATCH(L$4,'[1]Territory Definitions'!$D$4:$M$4,0))&lt;&gt;1,"NOT IN TERRITORY",IF(COUNTIFS('[1]Blackout Brand Fam Areas (Enc)'!$B$6:$B$998,$A246,'[1]Blackout Brand Fam Areas (Enc)'!$C$6:$C$998,L$4,'[1]Blackout Brand Fam Areas (Enc)'!$D$6:$D$998,"Inactive")&gt;0,"BLOCKED","CAN SELL")))))</f>
        <v>NOT IN TERRITORY</v>
      </c>
      <c r="M246" s="12">
        <f>IF($A246="","",COUNTIF($C246:$L246,"CAN SELL"))</f>
        <v>5</v>
      </c>
      <c r="N246" s="13" cm="1">
        <f t="array" ref="N246">IF($A246="","",SUMPRODUCT(($C246:$L246="CAN SELL")*$C$3:$L$3))</f>
        <v>1859</v>
      </c>
      <c r="O246" s="14" t="str">
        <f>IF($A246="","",IF(COUNTIF($A$5:$A$299,$A246)&gt;1,"DUPLICATE - two different territories assigned",IF($B246="** NO TERRITORY SET **","No territory on Brand Family Territory (Enc)","")))</f>
        <v/>
      </c>
      <c r="P246" s="18" t="str">
        <f>IF($A246="","",IFERROR(INDEX([1]Products!$H$4:$H$4801,MATCH($A246,[1]Products!$G$4:$G$4801,0)),"(no products)"))</f>
        <v>(no products)</v>
      </c>
      <c r="Q246" s="19">
        <f>IF($A246="","",COUNTIFS([1]Products!$G$4:$G$4801,$A246,[1]Products!$L$4:$L$4801,"Yes"))</f>
        <v>0</v>
      </c>
      <c r="R246" s="19">
        <f>IF($A246="","",COUNTIFS([1]Products!$G$4:$G$4801,$A246,[1]Products!$L$4:$L$4801,"Yes",[1]Products!$K$4:$K$4801,"Draft"))</f>
        <v>0</v>
      </c>
      <c r="S246" s="19">
        <f>IF($A246="","",COUNTIFS([1]Products!$G$4:$G$4801,$A246,[1]Products!$L$4:$L$4801,"Yes",[1]Products!$K$4:$K$4801,"Package"))</f>
        <v>0</v>
      </c>
      <c r="T246" s="20" t="str" cm="1">
        <f t="array" ref="T246">IF($A246="","",_xlfn.IFS($Q246=0,"NO ACTIVE SKUs",AND($R246&gt;0,$S246&gt;0),"Draft &amp; Package",$R246&gt;0,"Draft only",TRUE,"Package only"))</f>
        <v>NO ACTIVE SKUs</v>
      </c>
    </row>
    <row r="247" spans="1:20" x14ac:dyDescent="0.2">
      <c r="A247" s="9" t="str">
        <v>Slow &amp; Low</v>
      </c>
      <c r="B247" s="10" t="str">
        <f>IF($A247="","",_xlfn.XLOOKUP($A247,'[1]Brand Family Territory (Enc)'!$A:$A,'[1]Brand Family Territory (Enc)'!$B:$B,"** NO TERRITORY SET **"))</f>
        <v>Core Market</v>
      </c>
      <c r="C247" s="11" t="str">
        <f>IF($A247="","",_xlfn.LET(_xlpm.t,MATCH($B247,'[1]Territory Definitions'!$B$5:$B$14,0),IF(ISNA(_xlpm.t),"NO TERRITORY",IF(INDEX('[1]Territory Definitions'!$D$5:$M$14,_xlpm.t,MATCH(C$4,'[1]Territory Definitions'!$D$4:$M$4,0))&lt;&gt;1,"NOT IN TERRITORY",IF(COUNTIFS('[1]Blackout Brand Fam Areas (Enc)'!$B$6:$B$998,$A247,'[1]Blackout Brand Fam Areas (Enc)'!$C$6:$C$998,C$4,'[1]Blackout Brand Fam Areas (Enc)'!$D$6:$D$998,"Inactive")&gt;0,"BLOCKED","CAN SELL")))))</f>
        <v>CAN SELL</v>
      </c>
      <c r="D247" s="11" t="str">
        <f>IF($A247="","",_xlfn.LET(_xlpm.t,MATCH($B247,'[1]Territory Definitions'!$B$5:$B$14,0),IF(ISNA(_xlpm.t),"NO TERRITORY",IF(INDEX('[1]Territory Definitions'!$D$5:$M$14,_xlpm.t,MATCH(D$4,'[1]Territory Definitions'!$D$4:$M$4,0))&lt;&gt;1,"NOT IN TERRITORY",IF(COUNTIFS('[1]Blackout Brand Fam Areas (Enc)'!$B$6:$B$998,$A247,'[1]Blackout Brand Fam Areas (Enc)'!$C$6:$C$998,D$4,'[1]Blackout Brand Fam Areas (Enc)'!$D$6:$D$998,"Inactive")&gt;0,"BLOCKED","CAN SELL")))))</f>
        <v>CAN SELL</v>
      </c>
      <c r="E247" s="11" t="str">
        <f>IF($A247="","",_xlfn.LET(_xlpm.t,MATCH($B247,'[1]Territory Definitions'!$B$5:$B$14,0),IF(ISNA(_xlpm.t),"NO TERRITORY",IF(INDEX('[1]Territory Definitions'!$D$5:$M$14,_xlpm.t,MATCH(E$4,'[1]Territory Definitions'!$D$4:$M$4,0))&lt;&gt;1,"NOT IN TERRITORY",IF(COUNTIFS('[1]Blackout Brand Fam Areas (Enc)'!$B$6:$B$998,$A247,'[1]Blackout Brand Fam Areas (Enc)'!$C$6:$C$998,E$4,'[1]Blackout Brand Fam Areas (Enc)'!$D$6:$D$998,"Inactive")&gt;0,"BLOCKED","CAN SELL")))))</f>
        <v>CAN SELL</v>
      </c>
      <c r="F247" s="11" t="str">
        <f>IF($A247="","",_xlfn.LET(_xlpm.t,MATCH($B247,'[1]Territory Definitions'!$B$5:$B$14,0),IF(ISNA(_xlpm.t),"NO TERRITORY",IF(INDEX('[1]Territory Definitions'!$D$5:$M$14,_xlpm.t,MATCH(F$4,'[1]Territory Definitions'!$D$4:$M$4,0))&lt;&gt;1,"NOT IN TERRITORY",IF(COUNTIFS('[1]Blackout Brand Fam Areas (Enc)'!$B$6:$B$998,$A247,'[1]Blackout Brand Fam Areas (Enc)'!$C$6:$C$998,F$4,'[1]Blackout Brand Fam Areas (Enc)'!$D$6:$D$998,"Inactive")&gt;0,"BLOCKED","CAN SELL")))))</f>
        <v>NOT IN TERRITORY</v>
      </c>
      <c r="G247" s="11" t="str">
        <f>IF($A247="","",_xlfn.LET(_xlpm.t,MATCH($B247,'[1]Territory Definitions'!$B$5:$B$14,0),IF(ISNA(_xlpm.t),"NO TERRITORY",IF(INDEX('[1]Territory Definitions'!$D$5:$M$14,_xlpm.t,MATCH(G$4,'[1]Territory Definitions'!$D$4:$M$4,0))&lt;&gt;1,"NOT IN TERRITORY",IF(COUNTIFS('[1]Blackout Brand Fam Areas (Enc)'!$B$6:$B$998,$A247,'[1]Blackout Brand Fam Areas (Enc)'!$C$6:$C$998,G$4,'[1]Blackout Brand Fam Areas (Enc)'!$D$6:$D$998,"Inactive")&gt;0,"BLOCKED","CAN SELL")))))</f>
        <v>NOT IN TERRITORY</v>
      </c>
      <c r="H247" s="11" t="str">
        <f>IF($A247="","",_xlfn.LET(_xlpm.t,MATCH($B247,'[1]Territory Definitions'!$B$5:$B$14,0),IF(ISNA(_xlpm.t),"NO TERRITORY",IF(INDEX('[1]Territory Definitions'!$D$5:$M$14,_xlpm.t,MATCH(H$4,'[1]Territory Definitions'!$D$4:$M$4,0))&lt;&gt;1,"NOT IN TERRITORY",IF(COUNTIFS('[1]Blackout Brand Fam Areas (Enc)'!$B$6:$B$998,$A247,'[1]Blackout Brand Fam Areas (Enc)'!$C$6:$C$998,H$4,'[1]Blackout Brand Fam Areas (Enc)'!$D$6:$D$998,"Inactive")&gt;0,"BLOCKED","CAN SELL")))))</f>
        <v>NOT IN TERRITORY</v>
      </c>
      <c r="I247" s="11" t="str">
        <f>IF($A247="","",_xlfn.LET(_xlpm.t,MATCH($B247,'[1]Territory Definitions'!$B$5:$B$14,0),IF(ISNA(_xlpm.t),"NO TERRITORY",IF(INDEX('[1]Territory Definitions'!$D$5:$M$14,_xlpm.t,MATCH(I$4,'[1]Territory Definitions'!$D$4:$M$4,0))&lt;&gt;1,"NOT IN TERRITORY",IF(COUNTIFS('[1]Blackout Brand Fam Areas (Enc)'!$B$6:$B$998,$A247,'[1]Blackout Brand Fam Areas (Enc)'!$C$6:$C$998,I$4,'[1]Blackout Brand Fam Areas (Enc)'!$D$6:$D$998,"Inactive")&gt;0,"BLOCKED","CAN SELL")))))</f>
        <v>CAN SELL</v>
      </c>
      <c r="J247" s="11" t="str">
        <f>IF($A247="","",_xlfn.LET(_xlpm.t,MATCH($B247,'[1]Territory Definitions'!$B$5:$B$14,0),IF(ISNA(_xlpm.t),"NO TERRITORY",IF(INDEX('[1]Territory Definitions'!$D$5:$M$14,_xlpm.t,MATCH(J$4,'[1]Territory Definitions'!$D$4:$M$4,0))&lt;&gt;1,"NOT IN TERRITORY",IF(COUNTIFS('[1]Blackout Brand Fam Areas (Enc)'!$B$6:$B$998,$A247,'[1]Blackout Brand Fam Areas (Enc)'!$C$6:$C$998,J$4,'[1]Blackout Brand Fam Areas (Enc)'!$D$6:$D$998,"Inactive")&gt;0,"BLOCKED","CAN SELL")))))</f>
        <v>CAN SELL</v>
      </c>
      <c r="K247" s="11" t="str">
        <f>IF($A247="","",_xlfn.LET(_xlpm.t,MATCH($B247,'[1]Territory Definitions'!$B$5:$B$14,0),IF(ISNA(_xlpm.t),"NO TERRITORY",IF(INDEX('[1]Territory Definitions'!$D$5:$M$14,_xlpm.t,MATCH(K$4,'[1]Territory Definitions'!$D$4:$M$4,0))&lt;&gt;1,"NOT IN TERRITORY",IF(COUNTIFS('[1]Blackout Brand Fam Areas (Enc)'!$B$6:$B$998,$A247,'[1]Blackout Brand Fam Areas (Enc)'!$C$6:$C$998,K$4,'[1]Blackout Brand Fam Areas (Enc)'!$D$6:$D$998,"Inactive")&gt;0,"BLOCKED","CAN SELL")))))</f>
        <v>NOT IN TERRITORY</v>
      </c>
      <c r="L247" s="11" t="str">
        <f>IF($A247="","",_xlfn.LET(_xlpm.t,MATCH($B247,'[1]Territory Definitions'!$B$5:$B$14,0),IF(ISNA(_xlpm.t),"NO TERRITORY",IF(INDEX('[1]Territory Definitions'!$D$5:$M$14,_xlpm.t,MATCH(L$4,'[1]Territory Definitions'!$D$4:$M$4,0))&lt;&gt;1,"NOT IN TERRITORY",IF(COUNTIFS('[1]Blackout Brand Fam Areas (Enc)'!$B$6:$B$998,$A247,'[1]Blackout Brand Fam Areas (Enc)'!$C$6:$C$998,L$4,'[1]Blackout Brand Fam Areas (Enc)'!$D$6:$D$998,"Inactive")&gt;0,"BLOCKED","CAN SELL")))))</f>
        <v>CAN SELL</v>
      </c>
      <c r="M247" s="12">
        <f>IF($A247="","",COUNTIF($C247:$L247,"CAN SELL"))</f>
        <v>6</v>
      </c>
      <c r="N247" s="13" cm="1">
        <f t="array" ref="N247">IF($A247="","",SUMPRODUCT(($C247:$L247="CAN SELL")*$C$3:$L$3))</f>
        <v>1596</v>
      </c>
      <c r="O247" s="14" t="str">
        <f>IF($A247="","",IF(COUNTIF($A$5:$A$299,$A247)&gt;1,"DUPLICATE - two different territories assigned",IF($B247="** NO TERRITORY SET **","No territory on Brand Family Territory (Enc)","")))</f>
        <v/>
      </c>
      <c r="P247" s="18" t="str">
        <f>IF($A247="","",IFERROR(INDEX([1]Products!$H$4:$H$4801,MATCH($A247,[1]Products!$G$4:$G$4801,0)),"(no products)"))</f>
        <v>Cooper Spirits</v>
      </c>
      <c r="Q247" s="19">
        <f>IF($A247="","",COUNTIFS([1]Products!$G$4:$G$4801,$A247,[1]Products!$L$4:$L$4801,"Yes"))</f>
        <v>13</v>
      </c>
      <c r="R247" s="19">
        <f>IF($A247="","",COUNTIFS([1]Products!$G$4:$G$4801,$A247,[1]Products!$L$4:$L$4801,"Yes",[1]Products!$K$4:$K$4801,"Draft"))</f>
        <v>0</v>
      </c>
      <c r="S247" s="19">
        <f>IF($A247="","",COUNTIFS([1]Products!$G$4:$G$4801,$A247,[1]Products!$L$4:$L$4801,"Yes",[1]Products!$K$4:$K$4801,"Package"))</f>
        <v>0</v>
      </c>
      <c r="T247" s="20" t="str" cm="1">
        <f t="array" ref="T247">IF($A247="","",_xlfn.IFS($Q247=0,"NO ACTIVE SKUs",AND($R247&gt;0,$S247&gt;0),"Draft &amp; Package",$R247&gt;0,"Draft only",TRUE,"Package only"))</f>
        <v>Package only</v>
      </c>
    </row>
    <row r="248" spans="1:20" x14ac:dyDescent="0.2">
      <c r="A248" s="9" t="str">
        <v>Small Town</v>
      </c>
      <c r="B248" s="10" t="str">
        <f>IF($A248="","",_xlfn.XLOOKUP($A248,'[1]Brand Family Territory (Enc)'!$A:$A,'[1]Brand Family Territory (Enc)'!$B:$B,"** NO TERRITORY SET **"))</f>
        <v>All Counties</v>
      </c>
      <c r="C248" s="11" t="str">
        <f>IF($A248="","",_xlfn.LET(_xlpm.t,MATCH($B248,'[1]Territory Definitions'!$B$5:$B$14,0),IF(ISNA(_xlpm.t),"NO TERRITORY",IF(INDEX('[1]Territory Definitions'!$D$5:$M$14,_xlpm.t,MATCH(C$4,'[1]Territory Definitions'!$D$4:$M$4,0))&lt;&gt;1,"NOT IN TERRITORY",IF(COUNTIFS('[1]Blackout Brand Fam Areas (Enc)'!$B$6:$B$998,$A248,'[1]Blackout Brand Fam Areas (Enc)'!$C$6:$C$998,C$4,'[1]Blackout Brand Fam Areas (Enc)'!$D$6:$D$998,"Inactive")&gt;0,"BLOCKED","CAN SELL")))))</f>
        <v>CAN SELL</v>
      </c>
      <c r="D248" s="11" t="str">
        <f>IF($A248="","",_xlfn.LET(_xlpm.t,MATCH($B248,'[1]Territory Definitions'!$B$5:$B$14,0),IF(ISNA(_xlpm.t),"NO TERRITORY",IF(INDEX('[1]Territory Definitions'!$D$5:$M$14,_xlpm.t,MATCH(D$4,'[1]Territory Definitions'!$D$4:$M$4,0))&lt;&gt;1,"NOT IN TERRITORY",IF(COUNTIFS('[1]Blackout Brand Fam Areas (Enc)'!$B$6:$B$998,$A248,'[1]Blackout Brand Fam Areas (Enc)'!$C$6:$C$998,D$4,'[1]Blackout Brand Fam Areas (Enc)'!$D$6:$D$998,"Inactive")&gt;0,"BLOCKED","CAN SELL")))))</f>
        <v>CAN SELL</v>
      </c>
      <c r="E248" s="11" t="str">
        <f>IF($A248="","",_xlfn.LET(_xlpm.t,MATCH($B248,'[1]Territory Definitions'!$B$5:$B$14,0),IF(ISNA(_xlpm.t),"NO TERRITORY",IF(INDEX('[1]Territory Definitions'!$D$5:$M$14,_xlpm.t,MATCH(E$4,'[1]Territory Definitions'!$D$4:$M$4,0))&lt;&gt;1,"NOT IN TERRITORY",IF(COUNTIFS('[1]Blackout Brand Fam Areas (Enc)'!$B$6:$B$998,$A248,'[1]Blackout Brand Fam Areas (Enc)'!$C$6:$C$998,E$4,'[1]Blackout Brand Fam Areas (Enc)'!$D$6:$D$998,"Inactive")&gt;0,"BLOCKED","CAN SELL")))))</f>
        <v>CAN SELL</v>
      </c>
      <c r="F248" s="11" t="str">
        <f>IF($A248="","",_xlfn.LET(_xlpm.t,MATCH($B248,'[1]Territory Definitions'!$B$5:$B$14,0),IF(ISNA(_xlpm.t),"NO TERRITORY",IF(INDEX('[1]Territory Definitions'!$D$5:$M$14,_xlpm.t,MATCH(F$4,'[1]Territory Definitions'!$D$4:$M$4,0))&lt;&gt;1,"NOT IN TERRITORY",IF(COUNTIFS('[1]Blackout Brand Fam Areas (Enc)'!$B$6:$B$998,$A248,'[1]Blackout Brand Fam Areas (Enc)'!$C$6:$C$998,F$4,'[1]Blackout Brand Fam Areas (Enc)'!$D$6:$D$998,"Inactive")&gt;0,"BLOCKED","CAN SELL")))))</f>
        <v>CAN SELL</v>
      </c>
      <c r="G248" s="11" t="str">
        <f>IF($A248="","",_xlfn.LET(_xlpm.t,MATCH($B248,'[1]Territory Definitions'!$B$5:$B$14,0),IF(ISNA(_xlpm.t),"NO TERRITORY",IF(INDEX('[1]Territory Definitions'!$D$5:$M$14,_xlpm.t,MATCH(G$4,'[1]Territory Definitions'!$D$4:$M$4,0))&lt;&gt;1,"NOT IN TERRITORY",IF(COUNTIFS('[1]Blackout Brand Fam Areas (Enc)'!$B$6:$B$998,$A248,'[1]Blackout Brand Fam Areas (Enc)'!$C$6:$C$998,G$4,'[1]Blackout Brand Fam Areas (Enc)'!$D$6:$D$998,"Inactive")&gt;0,"BLOCKED","CAN SELL")))))</f>
        <v>CAN SELL</v>
      </c>
      <c r="H248" s="11" t="str">
        <f>IF($A248="","",_xlfn.LET(_xlpm.t,MATCH($B248,'[1]Territory Definitions'!$B$5:$B$14,0),IF(ISNA(_xlpm.t),"NO TERRITORY",IF(INDEX('[1]Territory Definitions'!$D$5:$M$14,_xlpm.t,MATCH(H$4,'[1]Territory Definitions'!$D$4:$M$4,0))&lt;&gt;1,"NOT IN TERRITORY",IF(COUNTIFS('[1]Blackout Brand Fam Areas (Enc)'!$B$6:$B$998,$A248,'[1]Blackout Brand Fam Areas (Enc)'!$C$6:$C$998,H$4,'[1]Blackout Brand Fam Areas (Enc)'!$D$6:$D$998,"Inactive")&gt;0,"BLOCKED","CAN SELL")))))</f>
        <v>CAN SELL</v>
      </c>
      <c r="I248" s="11" t="str">
        <f>IF($A248="","",_xlfn.LET(_xlpm.t,MATCH($B248,'[1]Territory Definitions'!$B$5:$B$14,0),IF(ISNA(_xlpm.t),"NO TERRITORY",IF(INDEX('[1]Territory Definitions'!$D$5:$M$14,_xlpm.t,MATCH(I$4,'[1]Territory Definitions'!$D$4:$M$4,0))&lt;&gt;1,"NOT IN TERRITORY",IF(COUNTIFS('[1]Blackout Brand Fam Areas (Enc)'!$B$6:$B$998,$A248,'[1]Blackout Brand Fam Areas (Enc)'!$C$6:$C$998,I$4,'[1]Blackout Brand Fam Areas (Enc)'!$D$6:$D$998,"Inactive")&gt;0,"BLOCKED","CAN SELL")))))</f>
        <v>CAN SELL</v>
      </c>
      <c r="J248" s="11" t="str">
        <f>IF($A248="","",_xlfn.LET(_xlpm.t,MATCH($B248,'[1]Territory Definitions'!$B$5:$B$14,0),IF(ISNA(_xlpm.t),"NO TERRITORY",IF(INDEX('[1]Territory Definitions'!$D$5:$M$14,_xlpm.t,MATCH(J$4,'[1]Territory Definitions'!$D$4:$M$4,0))&lt;&gt;1,"NOT IN TERRITORY",IF(COUNTIFS('[1]Blackout Brand Fam Areas (Enc)'!$B$6:$B$998,$A248,'[1]Blackout Brand Fam Areas (Enc)'!$C$6:$C$998,J$4,'[1]Blackout Brand Fam Areas (Enc)'!$D$6:$D$998,"Inactive")&gt;0,"BLOCKED","CAN SELL")))))</f>
        <v>CAN SELL</v>
      </c>
      <c r="K248" s="11" t="str">
        <f>IF($A248="","",_xlfn.LET(_xlpm.t,MATCH($B248,'[1]Territory Definitions'!$B$5:$B$14,0),IF(ISNA(_xlpm.t),"NO TERRITORY",IF(INDEX('[1]Territory Definitions'!$D$5:$M$14,_xlpm.t,MATCH(K$4,'[1]Territory Definitions'!$D$4:$M$4,0))&lt;&gt;1,"NOT IN TERRITORY",IF(COUNTIFS('[1]Blackout Brand Fam Areas (Enc)'!$B$6:$B$998,$A248,'[1]Blackout Brand Fam Areas (Enc)'!$C$6:$C$998,K$4,'[1]Blackout Brand Fam Areas (Enc)'!$D$6:$D$998,"Inactive")&gt;0,"BLOCKED","CAN SELL")))))</f>
        <v>CAN SELL</v>
      </c>
      <c r="L248" s="11" t="str">
        <f>IF($A248="","",_xlfn.LET(_xlpm.t,MATCH($B248,'[1]Territory Definitions'!$B$5:$B$14,0),IF(ISNA(_xlpm.t),"NO TERRITORY",IF(INDEX('[1]Territory Definitions'!$D$5:$M$14,_xlpm.t,MATCH(L$4,'[1]Territory Definitions'!$D$4:$M$4,0))&lt;&gt;1,"NOT IN TERRITORY",IF(COUNTIFS('[1]Blackout Brand Fam Areas (Enc)'!$B$6:$B$998,$A248,'[1]Blackout Brand Fam Areas (Enc)'!$C$6:$C$998,L$4,'[1]Blackout Brand Fam Areas (Enc)'!$D$6:$D$998,"Inactive")&gt;0,"BLOCKED","CAN SELL")))))</f>
        <v>CAN SELL</v>
      </c>
      <c r="M248" s="12">
        <f>IF($A248="","",COUNTIF($C248:$L248,"CAN SELL"))</f>
        <v>10</v>
      </c>
      <c r="N248" s="13" cm="1">
        <f t="array" ref="N248">IF($A248="","",SUMPRODUCT(($C248:$L248="CAN SELL")*$C$3:$L$3))</f>
        <v>2306</v>
      </c>
      <c r="O248" s="14" t="str">
        <f>IF($A248="","",IF(COUNTIF($A$5:$A$299,$A248)&gt;1,"DUPLICATE - two different territories assigned",IF($B248="** NO TERRITORY SET **","No territory on Brand Family Territory (Enc)","")))</f>
        <v/>
      </c>
      <c r="P248" s="18" t="str">
        <f>IF($A248="","",IFERROR(INDEX([1]Products!$H$4:$H$4801,MATCH($A248,[1]Products!$G$4:$G$4801,0)),"(no products)"))</f>
        <v>Pabst Brewing Company</v>
      </c>
      <c r="Q248" s="19">
        <f>IF($A248="","",COUNTIFS([1]Products!$G$4:$G$4801,$A248,[1]Products!$L$4:$L$4801,"Yes"))</f>
        <v>1</v>
      </c>
      <c r="R248" s="19">
        <f>IF($A248="","",COUNTIFS([1]Products!$G$4:$G$4801,$A248,[1]Products!$L$4:$L$4801,"Yes",[1]Products!$K$4:$K$4801,"Draft"))</f>
        <v>0</v>
      </c>
      <c r="S248" s="19">
        <f>IF($A248="","",COUNTIFS([1]Products!$G$4:$G$4801,$A248,[1]Products!$L$4:$L$4801,"Yes",[1]Products!$K$4:$K$4801,"Package"))</f>
        <v>1</v>
      </c>
      <c r="T248" s="20" t="str" cm="1">
        <f t="array" ref="T248">IF($A248="","",_xlfn.IFS($Q248=0,"NO ACTIVE SKUs",AND($R248&gt;0,$S248&gt;0),"Draft &amp; Package",$R248&gt;0,"Draft only",TRUE,"Package only"))</f>
        <v>Package only</v>
      </c>
    </row>
    <row r="249" spans="1:20" x14ac:dyDescent="0.2">
      <c r="A249" s="9" t="str">
        <v>Snow Beer</v>
      </c>
      <c r="B249" s="10" t="str">
        <f>IF($A249="","",_xlfn.XLOOKUP($A249,'[1]Brand Family Territory (Enc)'!$A:$A,'[1]Brand Family Territory (Enc)'!$B:$B,"** NO TERRITORY SET **"))</f>
        <v>Core Market</v>
      </c>
      <c r="C249" s="11" t="str">
        <f>IF($A249="","",_xlfn.LET(_xlpm.t,MATCH($B249,'[1]Territory Definitions'!$B$5:$B$14,0),IF(ISNA(_xlpm.t),"NO TERRITORY",IF(INDEX('[1]Territory Definitions'!$D$5:$M$14,_xlpm.t,MATCH(C$4,'[1]Territory Definitions'!$D$4:$M$4,0))&lt;&gt;1,"NOT IN TERRITORY",IF(COUNTIFS('[1]Blackout Brand Fam Areas (Enc)'!$B$6:$B$998,$A249,'[1]Blackout Brand Fam Areas (Enc)'!$C$6:$C$998,C$4,'[1]Blackout Brand Fam Areas (Enc)'!$D$6:$D$998,"Inactive")&gt;0,"BLOCKED","CAN SELL")))))</f>
        <v>CAN SELL</v>
      </c>
      <c r="D249" s="11" t="str">
        <f>IF($A249="","",_xlfn.LET(_xlpm.t,MATCH($B249,'[1]Territory Definitions'!$B$5:$B$14,0),IF(ISNA(_xlpm.t),"NO TERRITORY",IF(INDEX('[1]Territory Definitions'!$D$5:$M$14,_xlpm.t,MATCH(D$4,'[1]Territory Definitions'!$D$4:$M$4,0))&lt;&gt;1,"NOT IN TERRITORY",IF(COUNTIFS('[1]Blackout Brand Fam Areas (Enc)'!$B$6:$B$998,$A249,'[1]Blackout Brand Fam Areas (Enc)'!$C$6:$C$998,D$4,'[1]Blackout Brand Fam Areas (Enc)'!$D$6:$D$998,"Inactive")&gt;0,"BLOCKED","CAN SELL")))))</f>
        <v>CAN SELL</v>
      </c>
      <c r="E249" s="11" t="str">
        <f>IF($A249="","",_xlfn.LET(_xlpm.t,MATCH($B249,'[1]Territory Definitions'!$B$5:$B$14,0),IF(ISNA(_xlpm.t),"NO TERRITORY",IF(INDEX('[1]Territory Definitions'!$D$5:$M$14,_xlpm.t,MATCH(E$4,'[1]Territory Definitions'!$D$4:$M$4,0))&lt;&gt;1,"NOT IN TERRITORY",IF(COUNTIFS('[1]Blackout Brand Fam Areas (Enc)'!$B$6:$B$998,$A249,'[1]Blackout Brand Fam Areas (Enc)'!$C$6:$C$998,E$4,'[1]Blackout Brand Fam Areas (Enc)'!$D$6:$D$998,"Inactive")&gt;0,"BLOCKED","CAN SELL")))))</f>
        <v>CAN SELL</v>
      </c>
      <c r="F249" s="11" t="str">
        <f>IF($A249="","",_xlfn.LET(_xlpm.t,MATCH($B249,'[1]Territory Definitions'!$B$5:$B$14,0),IF(ISNA(_xlpm.t),"NO TERRITORY",IF(INDEX('[1]Territory Definitions'!$D$5:$M$14,_xlpm.t,MATCH(F$4,'[1]Territory Definitions'!$D$4:$M$4,0))&lt;&gt;1,"NOT IN TERRITORY",IF(COUNTIFS('[1]Blackout Brand Fam Areas (Enc)'!$B$6:$B$998,$A249,'[1]Blackout Brand Fam Areas (Enc)'!$C$6:$C$998,F$4,'[1]Blackout Brand Fam Areas (Enc)'!$D$6:$D$998,"Inactive")&gt;0,"BLOCKED","CAN SELL")))))</f>
        <v>NOT IN TERRITORY</v>
      </c>
      <c r="G249" s="11" t="str">
        <f>IF($A249="","",_xlfn.LET(_xlpm.t,MATCH($B249,'[1]Territory Definitions'!$B$5:$B$14,0),IF(ISNA(_xlpm.t),"NO TERRITORY",IF(INDEX('[1]Territory Definitions'!$D$5:$M$14,_xlpm.t,MATCH(G$4,'[1]Territory Definitions'!$D$4:$M$4,0))&lt;&gt;1,"NOT IN TERRITORY",IF(COUNTIFS('[1]Blackout Brand Fam Areas (Enc)'!$B$6:$B$998,$A249,'[1]Blackout Brand Fam Areas (Enc)'!$C$6:$C$998,G$4,'[1]Blackout Brand Fam Areas (Enc)'!$D$6:$D$998,"Inactive")&gt;0,"BLOCKED","CAN SELL")))))</f>
        <v>NOT IN TERRITORY</v>
      </c>
      <c r="H249" s="11" t="str">
        <f>IF($A249="","",_xlfn.LET(_xlpm.t,MATCH($B249,'[1]Territory Definitions'!$B$5:$B$14,0),IF(ISNA(_xlpm.t),"NO TERRITORY",IF(INDEX('[1]Territory Definitions'!$D$5:$M$14,_xlpm.t,MATCH(H$4,'[1]Territory Definitions'!$D$4:$M$4,0))&lt;&gt;1,"NOT IN TERRITORY",IF(COUNTIFS('[1]Blackout Brand Fam Areas (Enc)'!$B$6:$B$998,$A249,'[1]Blackout Brand Fam Areas (Enc)'!$C$6:$C$998,H$4,'[1]Blackout Brand Fam Areas (Enc)'!$D$6:$D$998,"Inactive")&gt;0,"BLOCKED","CAN SELL")))))</f>
        <v>NOT IN TERRITORY</v>
      </c>
      <c r="I249" s="11" t="str">
        <f>IF($A249="","",_xlfn.LET(_xlpm.t,MATCH($B249,'[1]Territory Definitions'!$B$5:$B$14,0),IF(ISNA(_xlpm.t),"NO TERRITORY",IF(INDEX('[1]Territory Definitions'!$D$5:$M$14,_xlpm.t,MATCH(I$4,'[1]Territory Definitions'!$D$4:$M$4,0))&lt;&gt;1,"NOT IN TERRITORY",IF(COUNTIFS('[1]Blackout Brand Fam Areas (Enc)'!$B$6:$B$998,$A249,'[1]Blackout Brand Fam Areas (Enc)'!$C$6:$C$998,I$4,'[1]Blackout Brand Fam Areas (Enc)'!$D$6:$D$998,"Inactive")&gt;0,"BLOCKED","CAN SELL")))))</f>
        <v>CAN SELL</v>
      </c>
      <c r="J249" s="11" t="str">
        <f>IF($A249="","",_xlfn.LET(_xlpm.t,MATCH($B249,'[1]Territory Definitions'!$B$5:$B$14,0),IF(ISNA(_xlpm.t),"NO TERRITORY",IF(INDEX('[1]Territory Definitions'!$D$5:$M$14,_xlpm.t,MATCH(J$4,'[1]Territory Definitions'!$D$4:$M$4,0))&lt;&gt;1,"NOT IN TERRITORY",IF(COUNTIFS('[1]Blackout Brand Fam Areas (Enc)'!$B$6:$B$998,$A249,'[1]Blackout Brand Fam Areas (Enc)'!$C$6:$C$998,J$4,'[1]Blackout Brand Fam Areas (Enc)'!$D$6:$D$998,"Inactive")&gt;0,"BLOCKED","CAN SELL")))))</f>
        <v>CAN SELL</v>
      </c>
      <c r="K249" s="11" t="str">
        <f>IF($A249="","",_xlfn.LET(_xlpm.t,MATCH($B249,'[1]Territory Definitions'!$B$5:$B$14,0),IF(ISNA(_xlpm.t),"NO TERRITORY",IF(INDEX('[1]Territory Definitions'!$D$5:$M$14,_xlpm.t,MATCH(K$4,'[1]Territory Definitions'!$D$4:$M$4,0))&lt;&gt;1,"NOT IN TERRITORY",IF(COUNTIFS('[1]Blackout Brand Fam Areas (Enc)'!$B$6:$B$998,$A249,'[1]Blackout Brand Fam Areas (Enc)'!$C$6:$C$998,K$4,'[1]Blackout Brand Fam Areas (Enc)'!$D$6:$D$998,"Inactive")&gt;0,"BLOCKED","CAN SELL")))))</f>
        <v>NOT IN TERRITORY</v>
      </c>
      <c r="L249" s="11" t="str">
        <f>IF($A249="","",_xlfn.LET(_xlpm.t,MATCH($B249,'[1]Territory Definitions'!$B$5:$B$14,0),IF(ISNA(_xlpm.t),"NO TERRITORY",IF(INDEX('[1]Territory Definitions'!$D$5:$M$14,_xlpm.t,MATCH(L$4,'[1]Territory Definitions'!$D$4:$M$4,0))&lt;&gt;1,"NOT IN TERRITORY",IF(COUNTIFS('[1]Blackout Brand Fam Areas (Enc)'!$B$6:$B$998,$A249,'[1]Blackout Brand Fam Areas (Enc)'!$C$6:$C$998,L$4,'[1]Blackout Brand Fam Areas (Enc)'!$D$6:$D$998,"Inactive")&gt;0,"BLOCKED","CAN SELL")))))</f>
        <v>CAN SELL</v>
      </c>
      <c r="M249" s="12">
        <f>IF($A249="","",COUNTIF($C249:$L249,"CAN SELL"))</f>
        <v>6</v>
      </c>
      <c r="N249" s="13" cm="1">
        <f t="array" ref="N249">IF($A249="","",SUMPRODUCT(($C249:$L249="CAN SELL")*$C$3:$L$3))</f>
        <v>1596</v>
      </c>
      <c r="O249" s="14" t="str">
        <f>IF($A249="","",IF(COUNTIF($A$5:$A$299,$A249)&gt;1,"DUPLICATE - two different territories assigned",IF($B249="** NO TERRITORY SET **","No territory on Brand Family Territory (Enc)","")))</f>
        <v/>
      </c>
      <c r="P249" s="18" t="str">
        <f>IF($A249="","",IFERROR(INDEX([1]Products!$H$4:$H$4801,MATCH($A249,[1]Products!$G$4:$G$4801,0)),"(no products)"))</f>
        <v>Ever Grand Group LLC</v>
      </c>
      <c r="Q249" s="19">
        <f>IF($A249="","",COUNTIFS([1]Products!$G$4:$G$4801,$A249,[1]Products!$L$4:$L$4801,"Yes"))</f>
        <v>2</v>
      </c>
      <c r="R249" s="19">
        <f>IF($A249="","",COUNTIFS([1]Products!$G$4:$G$4801,$A249,[1]Products!$L$4:$L$4801,"Yes",[1]Products!$K$4:$K$4801,"Draft"))</f>
        <v>0</v>
      </c>
      <c r="S249" s="19">
        <f>IF($A249="","",COUNTIFS([1]Products!$G$4:$G$4801,$A249,[1]Products!$L$4:$L$4801,"Yes",[1]Products!$K$4:$K$4801,"Package"))</f>
        <v>2</v>
      </c>
      <c r="T249" s="20" t="str" cm="1">
        <f t="array" ref="T249">IF($A249="","",_xlfn.IFS($Q249=0,"NO ACTIVE SKUs",AND($R249&gt;0,$S249&gt;0),"Draft &amp; Package",$R249&gt;0,"Draft only",TRUE,"Package only"))</f>
        <v>Package only</v>
      </c>
    </row>
    <row r="250" spans="1:20" x14ac:dyDescent="0.2">
      <c r="A250" s="9" t="str">
        <v>Sol</v>
      </c>
      <c r="B250" s="10" t="str">
        <f>IF($A250="","",_xlfn.XLOOKUP($A250,'[1]Brand Family Territory (Enc)'!$A:$A,'[1]Brand Family Territory (Enc)'!$B:$B,"** NO TERRITORY SET **"))</f>
        <v>Core Market</v>
      </c>
      <c r="C250" s="11" t="str">
        <f>IF($A250="","",_xlfn.LET(_xlpm.t,MATCH($B250,'[1]Territory Definitions'!$B$5:$B$14,0),IF(ISNA(_xlpm.t),"NO TERRITORY",IF(INDEX('[1]Territory Definitions'!$D$5:$M$14,_xlpm.t,MATCH(C$4,'[1]Territory Definitions'!$D$4:$M$4,0))&lt;&gt;1,"NOT IN TERRITORY",IF(COUNTIFS('[1]Blackout Brand Fam Areas (Enc)'!$B$6:$B$998,$A250,'[1]Blackout Brand Fam Areas (Enc)'!$C$6:$C$998,C$4,'[1]Blackout Brand Fam Areas (Enc)'!$D$6:$D$998,"Inactive")&gt;0,"BLOCKED","CAN SELL")))))</f>
        <v>CAN SELL</v>
      </c>
      <c r="D250" s="11" t="str">
        <f>IF($A250="","",_xlfn.LET(_xlpm.t,MATCH($B250,'[1]Territory Definitions'!$B$5:$B$14,0),IF(ISNA(_xlpm.t),"NO TERRITORY",IF(INDEX('[1]Territory Definitions'!$D$5:$M$14,_xlpm.t,MATCH(D$4,'[1]Territory Definitions'!$D$4:$M$4,0))&lt;&gt;1,"NOT IN TERRITORY",IF(COUNTIFS('[1]Blackout Brand Fam Areas (Enc)'!$B$6:$B$998,$A250,'[1]Blackout Brand Fam Areas (Enc)'!$C$6:$C$998,D$4,'[1]Blackout Brand Fam Areas (Enc)'!$D$6:$D$998,"Inactive")&gt;0,"BLOCKED","CAN SELL")))))</f>
        <v>CAN SELL</v>
      </c>
      <c r="E250" s="11" t="str">
        <f>IF($A250="","",_xlfn.LET(_xlpm.t,MATCH($B250,'[1]Territory Definitions'!$B$5:$B$14,0),IF(ISNA(_xlpm.t),"NO TERRITORY",IF(INDEX('[1]Territory Definitions'!$D$5:$M$14,_xlpm.t,MATCH(E$4,'[1]Territory Definitions'!$D$4:$M$4,0))&lt;&gt;1,"NOT IN TERRITORY",IF(COUNTIFS('[1]Blackout Brand Fam Areas (Enc)'!$B$6:$B$998,$A250,'[1]Blackout Brand Fam Areas (Enc)'!$C$6:$C$998,E$4,'[1]Blackout Brand Fam Areas (Enc)'!$D$6:$D$998,"Inactive")&gt;0,"BLOCKED","CAN SELL")))))</f>
        <v>CAN SELL</v>
      </c>
      <c r="F250" s="11" t="str">
        <f>IF($A250="","",_xlfn.LET(_xlpm.t,MATCH($B250,'[1]Territory Definitions'!$B$5:$B$14,0),IF(ISNA(_xlpm.t),"NO TERRITORY",IF(INDEX('[1]Territory Definitions'!$D$5:$M$14,_xlpm.t,MATCH(F$4,'[1]Territory Definitions'!$D$4:$M$4,0))&lt;&gt;1,"NOT IN TERRITORY",IF(COUNTIFS('[1]Blackout Brand Fam Areas (Enc)'!$B$6:$B$998,$A250,'[1]Blackout Brand Fam Areas (Enc)'!$C$6:$C$998,F$4,'[1]Blackout Brand Fam Areas (Enc)'!$D$6:$D$998,"Inactive")&gt;0,"BLOCKED","CAN SELL")))))</f>
        <v>NOT IN TERRITORY</v>
      </c>
      <c r="G250" s="11" t="str">
        <f>IF($A250="","",_xlfn.LET(_xlpm.t,MATCH($B250,'[1]Territory Definitions'!$B$5:$B$14,0),IF(ISNA(_xlpm.t),"NO TERRITORY",IF(INDEX('[1]Territory Definitions'!$D$5:$M$14,_xlpm.t,MATCH(G$4,'[1]Territory Definitions'!$D$4:$M$4,0))&lt;&gt;1,"NOT IN TERRITORY",IF(COUNTIFS('[1]Blackout Brand Fam Areas (Enc)'!$B$6:$B$998,$A250,'[1]Blackout Brand Fam Areas (Enc)'!$C$6:$C$998,G$4,'[1]Blackout Brand Fam Areas (Enc)'!$D$6:$D$998,"Inactive")&gt;0,"BLOCKED","CAN SELL")))))</f>
        <v>NOT IN TERRITORY</v>
      </c>
      <c r="H250" s="11" t="str">
        <f>IF($A250="","",_xlfn.LET(_xlpm.t,MATCH($B250,'[1]Territory Definitions'!$B$5:$B$14,0),IF(ISNA(_xlpm.t),"NO TERRITORY",IF(INDEX('[1]Territory Definitions'!$D$5:$M$14,_xlpm.t,MATCH(H$4,'[1]Territory Definitions'!$D$4:$M$4,0))&lt;&gt;1,"NOT IN TERRITORY",IF(COUNTIFS('[1]Blackout Brand Fam Areas (Enc)'!$B$6:$B$998,$A250,'[1]Blackout Brand Fam Areas (Enc)'!$C$6:$C$998,H$4,'[1]Blackout Brand Fam Areas (Enc)'!$D$6:$D$998,"Inactive")&gt;0,"BLOCKED","CAN SELL")))))</f>
        <v>NOT IN TERRITORY</v>
      </c>
      <c r="I250" s="11" t="str">
        <f>IF($A250="","",_xlfn.LET(_xlpm.t,MATCH($B250,'[1]Territory Definitions'!$B$5:$B$14,0),IF(ISNA(_xlpm.t),"NO TERRITORY",IF(INDEX('[1]Territory Definitions'!$D$5:$M$14,_xlpm.t,MATCH(I$4,'[1]Territory Definitions'!$D$4:$M$4,0))&lt;&gt;1,"NOT IN TERRITORY",IF(COUNTIFS('[1]Blackout Brand Fam Areas (Enc)'!$B$6:$B$998,$A250,'[1]Blackout Brand Fam Areas (Enc)'!$C$6:$C$998,I$4,'[1]Blackout Brand Fam Areas (Enc)'!$D$6:$D$998,"Inactive")&gt;0,"BLOCKED","CAN SELL")))))</f>
        <v>CAN SELL</v>
      </c>
      <c r="J250" s="11" t="str">
        <f>IF($A250="","",_xlfn.LET(_xlpm.t,MATCH($B250,'[1]Territory Definitions'!$B$5:$B$14,0),IF(ISNA(_xlpm.t),"NO TERRITORY",IF(INDEX('[1]Territory Definitions'!$D$5:$M$14,_xlpm.t,MATCH(J$4,'[1]Territory Definitions'!$D$4:$M$4,0))&lt;&gt;1,"NOT IN TERRITORY",IF(COUNTIFS('[1]Blackout Brand Fam Areas (Enc)'!$B$6:$B$998,$A250,'[1]Blackout Brand Fam Areas (Enc)'!$C$6:$C$998,J$4,'[1]Blackout Brand Fam Areas (Enc)'!$D$6:$D$998,"Inactive")&gt;0,"BLOCKED","CAN SELL")))))</f>
        <v>CAN SELL</v>
      </c>
      <c r="K250" s="11" t="str">
        <f>IF($A250="","",_xlfn.LET(_xlpm.t,MATCH($B250,'[1]Territory Definitions'!$B$5:$B$14,0),IF(ISNA(_xlpm.t),"NO TERRITORY",IF(INDEX('[1]Territory Definitions'!$D$5:$M$14,_xlpm.t,MATCH(K$4,'[1]Territory Definitions'!$D$4:$M$4,0))&lt;&gt;1,"NOT IN TERRITORY",IF(COUNTIFS('[1]Blackout Brand Fam Areas (Enc)'!$B$6:$B$998,$A250,'[1]Blackout Brand Fam Areas (Enc)'!$C$6:$C$998,K$4,'[1]Blackout Brand Fam Areas (Enc)'!$D$6:$D$998,"Inactive")&gt;0,"BLOCKED","CAN SELL")))))</f>
        <v>NOT IN TERRITORY</v>
      </c>
      <c r="L250" s="11" t="str">
        <f>IF($A250="","",_xlfn.LET(_xlpm.t,MATCH($B250,'[1]Territory Definitions'!$B$5:$B$14,0),IF(ISNA(_xlpm.t),"NO TERRITORY",IF(INDEX('[1]Territory Definitions'!$D$5:$M$14,_xlpm.t,MATCH(L$4,'[1]Territory Definitions'!$D$4:$M$4,0))&lt;&gt;1,"NOT IN TERRITORY",IF(COUNTIFS('[1]Blackout Brand Fam Areas (Enc)'!$B$6:$B$998,$A250,'[1]Blackout Brand Fam Areas (Enc)'!$C$6:$C$998,L$4,'[1]Blackout Brand Fam Areas (Enc)'!$D$6:$D$998,"Inactive")&gt;0,"BLOCKED","CAN SELL")))))</f>
        <v>CAN SELL</v>
      </c>
      <c r="M250" s="12">
        <f>IF($A250="","",COUNTIF($C250:$L250,"CAN SELL"))</f>
        <v>6</v>
      </c>
      <c r="N250" s="13" cm="1">
        <f t="array" ref="N250">IF($A250="","",SUMPRODUCT(($C250:$L250="CAN SELL")*$C$3:$L$3))</f>
        <v>1596</v>
      </c>
      <c r="O250" s="14" t="str">
        <f>IF($A250="","",IF(COUNTIF($A$5:$A$299,$A250)&gt;1,"DUPLICATE - two different territories assigned",IF($B250="** NO TERRITORY SET **","No territory on Brand Family Territory (Enc)","")))</f>
        <v/>
      </c>
      <c r="P250" s="18" t="str">
        <f>IF($A250="","",IFERROR(INDEX([1]Products!$H$4:$H$4801,MATCH($A250,[1]Products!$G$4:$G$4801,0)),"(no products)"))</f>
        <v>MolsonCoors Beverage Company</v>
      </c>
      <c r="Q250" s="19">
        <f>IF($A250="","",COUNTIFS([1]Products!$G$4:$G$4801,$A250,[1]Products!$L$4:$L$4801,"Yes"))</f>
        <v>2</v>
      </c>
      <c r="R250" s="19">
        <f>IF($A250="","",COUNTIFS([1]Products!$G$4:$G$4801,$A250,[1]Products!$L$4:$L$4801,"Yes",[1]Products!$K$4:$K$4801,"Draft"))</f>
        <v>0</v>
      </c>
      <c r="S250" s="19">
        <f>IF($A250="","",COUNTIFS([1]Products!$G$4:$G$4801,$A250,[1]Products!$L$4:$L$4801,"Yes",[1]Products!$K$4:$K$4801,"Package"))</f>
        <v>2</v>
      </c>
      <c r="T250" s="20" t="str" cm="1">
        <f t="array" ref="T250">IF($A250="","",_xlfn.IFS($Q250=0,"NO ACTIVE SKUs",AND($R250&gt;0,$S250&gt;0),"Draft &amp; Package",$R250&gt;0,"Draft only",TRUE,"Package only"))</f>
        <v>Package only</v>
      </c>
    </row>
    <row r="251" spans="1:20" x14ac:dyDescent="0.2">
      <c r="A251" s="9" t="str">
        <v>Source Brewing</v>
      </c>
      <c r="B251" s="10" t="str">
        <f>IF($A251="","",_xlfn.XLOOKUP($A251,'[1]Brand Family Territory (Enc)'!$A:$A,'[1]Brand Family Territory (Enc)'!$B:$B,"** NO TERRITORY SET **"))</f>
        <v>All Counties</v>
      </c>
      <c r="C251" s="11" t="str">
        <f>IF($A251="","",_xlfn.LET(_xlpm.t,MATCH($B251,'[1]Territory Definitions'!$B$5:$B$14,0),IF(ISNA(_xlpm.t),"NO TERRITORY",IF(INDEX('[1]Territory Definitions'!$D$5:$M$14,_xlpm.t,MATCH(C$4,'[1]Territory Definitions'!$D$4:$M$4,0))&lt;&gt;1,"NOT IN TERRITORY",IF(COUNTIFS('[1]Blackout Brand Fam Areas (Enc)'!$B$6:$B$998,$A251,'[1]Blackout Brand Fam Areas (Enc)'!$C$6:$C$998,C$4,'[1]Blackout Brand Fam Areas (Enc)'!$D$6:$D$998,"Inactive")&gt;0,"BLOCKED","CAN SELL")))))</f>
        <v>CAN SELL</v>
      </c>
      <c r="D251" s="11" t="str">
        <f>IF($A251="","",_xlfn.LET(_xlpm.t,MATCH($B251,'[1]Territory Definitions'!$B$5:$B$14,0),IF(ISNA(_xlpm.t),"NO TERRITORY",IF(INDEX('[1]Territory Definitions'!$D$5:$M$14,_xlpm.t,MATCH(D$4,'[1]Territory Definitions'!$D$4:$M$4,0))&lt;&gt;1,"NOT IN TERRITORY",IF(COUNTIFS('[1]Blackout Brand Fam Areas (Enc)'!$B$6:$B$998,$A251,'[1]Blackout Brand Fam Areas (Enc)'!$C$6:$C$998,D$4,'[1]Blackout Brand Fam Areas (Enc)'!$D$6:$D$998,"Inactive")&gt;0,"BLOCKED","CAN SELL")))))</f>
        <v>CAN SELL</v>
      </c>
      <c r="E251" s="11" t="str">
        <f>IF($A251="","",_xlfn.LET(_xlpm.t,MATCH($B251,'[1]Territory Definitions'!$B$5:$B$14,0),IF(ISNA(_xlpm.t),"NO TERRITORY",IF(INDEX('[1]Territory Definitions'!$D$5:$M$14,_xlpm.t,MATCH(E$4,'[1]Territory Definitions'!$D$4:$M$4,0))&lt;&gt;1,"NOT IN TERRITORY",IF(COUNTIFS('[1]Blackout Brand Fam Areas (Enc)'!$B$6:$B$998,$A251,'[1]Blackout Brand Fam Areas (Enc)'!$C$6:$C$998,E$4,'[1]Blackout Brand Fam Areas (Enc)'!$D$6:$D$998,"Inactive")&gt;0,"BLOCKED","CAN SELL")))))</f>
        <v>CAN SELL</v>
      </c>
      <c r="F251" s="11" t="str">
        <f>IF($A251="","",_xlfn.LET(_xlpm.t,MATCH($B251,'[1]Territory Definitions'!$B$5:$B$14,0),IF(ISNA(_xlpm.t),"NO TERRITORY",IF(INDEX('[1]Territory Definitions'!$D$5:$M$14,_xlpm.t,MATCH(F$4,'[1]Territory Definitions'!$D$4:$M$4,0))&lt;&gt;1,"NOT IN TERRITORY",IF(COUNTIFS('[1]Blackout Brand Fam Areas (Enc)'!$B$6:$B$998,$A251,'[1]Blackout Brand Fam Areas (Enc)'!$C$6:$C$998,F$4,'[1]Blackout Brand Fam Areas (Enc)'!$D$6:$D$998,"Inactive")&gt;0,"BLOCKED","CAN SELL")))))</f>
        <v>CAN SELL</v>
      </c>
      <c r="G251" s="11" t="str">
        <f>IF($A251="","",_xlfn.LET(_xlpm.t,MATCH($B251,'[1]Territory Definitions'!$B$5:$B$14,0),IF(ISNA(_xlpm.t),"NO TERRITORY",IF(INDEX('[1]Territory Definitions'!$D$5:$M$14,_xlpm.t,MATCH(G$4,'[1]Territory Definitions'!$D$4:$M$4,0))&lt;&gt;1,"NOT IN TERRITORY",IF(COUNTIFS('[1]Blackout Brand Fam Areas (Enc)'!$B$6:$B$998,$A251,'[1]Blackout Brand Fam Areas (Enc)'!$C$6:$C$998,G$4,'[1]Blackout Brand Fam Areas (Enc)'!$D$6:$D$998,"Inactive")&gt;0,"BLOCKED","CAN SELL")))))</f>
        <v>CAN SELL</v>
      </c>
      <c r="H251" s="11" t="str">
        <f>IF($A251="","",_xlfn.LET(_xlpm.t,MATCH($B251,'[1]Territory Definitions'!$B$5:$B$14,0),IF(ISNA(_xlpm.t),"NO TERRITORY",IF(INDEX('[1]Territory Definitions'!$D$5:$M$14,_xlpm.t,MATCH(H$4,'[1]Territory Definitions'!$D$4:$M$4,0))&lt;&gt;1,"NOT IN TERRITORY",IF(COUNTIFS('[1]Blackout Brand Fam Areas (Enc)'!$B$6:$B$998,$A251,'[1]Blackout Brand Fam Areas (Enc)'!$C$6:$C$998,H$4,'[1]Blackout Brand Fam Areas (Enc)'!$D$6:$D$998,"Inactive")&gt;0,"BLOCKED","CAN SELL")))))</f>
        <v>CAN SELL</v>
      </c>
      <c r="I251" s="11" t="str">
        <f>IF($A251="","",_xlfn.LET(_xlpm.t,MATCH($B251,'[1]Territory Definitions'!$B$5:$B$14,0),IF(ISNA(_xlpm.t),"NO TERRITORY",IF(INDEX('[1]Territory Definitions'!$D$5:$M$14,_xlpm.t,MATCH(I$4,'[1]Territory Definitions'!$D$4:$M$4,0))&lt;&gt;1,"NOT IN TERRITORY",IF(COUNTIFS('[1]Blackout Brand Fam Areas (Enc)'!$B$6:$B$998,$A251,'[1]Blackout Brand Fam Areas (Enc)'!$C$6:$C$998,I$4,'[1]Blackout Brand Fam Areas (Enc)'!$D$6:$D$998,"Inactive")&gt;0,"BLOCKED","CAN SELL")))))</f>
        <v>CAN SELL</v>
      </c>
      <c r="J251" s="11" t="str">
        <f>IF($A251="","",_xlfn.LET(_xlpm.t,MATCH($B251,'[1]Territory Definitions'!$B$5:$B$14,0),IF(ISNA(_xlpm.t),"NO TERRITORY",IF(INDEX('[1]Territory Definitions'!$D$5:$M$14,_xlpm.t,MATCH(J$4,'[1]Territory Definitions'!$D$4:$M$4,0))&lt;&gt;1,"NOT IN TERRITORY",IF(COUNTIFS('[1]Blackout Brand Fam Areas (Enc)'!$B$6:$B$998,$A251,'[1]Blackout Brand Fam Areas (Enc)'!$C$6:$C$998,J$4,'[1]Blackout Brand Fam Areas (Enc)'!$D$6:$D$998,"Inactive")&gt;0,"BLOCKED","CAN SELL")))))</f>
        <v>CAN SELL</v>
      </c>
      <c r="K251" s="11" t="str">
        <f>IF($A251="","",_xlfn.LET(_xlpm.t,MATCH($B251,'[1]Territory Definitions'!$B$5:$B$14,0),IF(ISNA(_xlpm.t),"NO TERRITORY",IF(INDEX('[1]Territory Definitions'!$D$5:$M$14,_xlpm.t,MATCH(K$4,'[1]Territory Definitions'!$D$4:$M$4,0))&lt;&gt;1,"NOT IN TERRITORY",IF(COUNTIFS('[1]Blackout Brand Fam Areas (Enc)'!$B$6:$B$998,$A251,'[1]Blackout Brand Fam Areas (Enc)'!$C$6:$C$998,K$4,'[1]Blackout Brand Fam Areas (Enc)'!$D$6:$D$998,"Inactive")&gt;0,"BLOCKED","CAN SELL")))))</f>
        <v>CAN SELL</v>
      </c>
      <c r="L251" s="11" t="str">
        <f>IF($A251="","",_xlfn.LET(_xlpm.t,MATCH($B251,'[1]Territory Definitions'!$B$5:$B$14,0),IF(ISNA(_xlpm.t),"NO TERRITORY",IF(INDEX('[1]Territory Definitions'!$D$5:$M$14,_xlpm.t,MATCH(L$4,'[1]Territory Definitions'!$D$4:$M$4,0))&lt;&gt;1,"NOT IN TERRITORY",IF(COUNTIFS('[1]Blackout Brand Fam Areas (Enc)'!$B$6:$B$998,$A251,'[1]Blackout Brand Fam Areas (Enc)'!$C$6:$C$998,L$4,'[1]Blackout Brand Fam Areas (Enc)'!$D$6:$D$998,"Inactive")&gt;0,"BLOCKED","CAN SELL")))))</f>
        <v>CAN SELL</v>
      </c>
      <c r="M251" s="12">
        <f>IF($A251="","",COUNTIF($C251:$L251,"CAN SELL"))</f>
        <v>10</v>
      </c>
      <c r="N251" s="13" cm="1">
        <f t="array" ref="N251">IF($A251="","",SUMPRODUCT(($C251:$L251="CAN SELL")*$C$3:$L$3))</f>
        <v>2306</v>
      </c>
      <c r="O251" s="14" t="str">
        <f>IF($A251="","",IF(COUNTIF($A$5:$A$299,$A251)&gt;1,"DUPLICATE - two different territories assigned",IF($B251="** NO TERRITORY SET **","No territory on Brand Family Territory (Enc)","")))</f>
        <v/>
      </c>
      <c r="P251" s="18" t="str">
        <f>IF($A251="","",IFERROR(INDEX([1]Products!$H$4:$H$4801,MATCH($A251,[1]Products!$G$4:$G$4801,0)),"(no products)"))</f>
        <v>Source Brewing</v>
      </c>
      <c r="Q251" s="19">
        <f>IF($A251="","",COUNTIFS([1]Products!$G$4:$G$4801,$A251,[1]Products!$L$4:$L$4801,"Yes"))</f>
        <v>17</v>
      </c>
      <c r="R251" s="19">
        <f>IF($A251="","",COUNTIFS([1]Products!$G$4:$G$4801,$A251,[1]Products!$L$4:$L$4801,"Yes",[1]Products!$K$4:$K$4801,"Draft"))</f>
        <v>9</v>
      </c>
      <c r="S251" s="19">
        <f>IF($A251="","",COUNTIFS([1]Products!$G$4:$G$4801,$A251,[1]Products!$L$4:$L$4801,"Yes",[1]Products!$K$4:$K$4801,"Package"))</f>
        <v>8</v>
      </c>
      <c r="T251" s="20" t="str" cm="1">
        <f t="array" ref="T251">IF($A251="","",_xlfn.IFS($Q251=0,"NO ACTIVE SKUs",AND($R251&gt;0,$S251&gt;0),"Draft &amp; Package",$R251&gt;0,"Draft only",TRUE,"Package only"))</f>
        <v>Draft &amp; Package</v>
      </c>
    </row>
    <row r="252" spans="1:20" x14ac:dyDescent="0.2">
      <c r="A252" s="9" t="str">
        <v>Source It's A Me</v>
      </c>
      <c r="B252" s="10" t="str">
        <f>IF($A252="","",_xlfn.XLOOKUP($A252,'[1]Brand Family Territory (Enc)'!$A:$A,'[1]Brand Family Territory (Enc)'!$B:$B,"** NO TERRITORY SET **"))</f>
        <v>All Counties</v>
      </c>
      <c r="C252" s="11" t="str">
        <f>IF($A252="","",_xlfn.LET(_xlpm.t,MATCH($B252,'[1]Territory Definitions'!$B$5:$B$14,0),IF(ISNA(_xlpm.t),"NO TERRITORY",IF(INDEX('[1]Territory Definitions'!$D$5:$M$14,_xlpm.t,MATCH(C$4,'[1]Territory Definitions'!$D$4:$M$4,0))&lt;&gt;1,"NOT IN TERRITORY",IF(COUNTIFS('[1]Blackout Brand Fam Areas (Enc)'!$B$6:$B$998,$A252,'[1]Blackout Brand Fam Areas (Enc)'!$C$6:$C$998,C$4,'[1]Blackout Brand Fam Areas (Enc)'!$D$6:$D$998,"Inactive")&gt;0,"BLOCKED","CAN SELL")))))</f>
        <v>CAN SELL</v>
      </c>
      <c r="D252" s="11" t="str">
        <f>IF($A252="","",_xlfn.LET(_xlpm.t,MATCH($B252,'[1]Territory Definitions'!$B$5:$B$14,0),IF(ISNA(_xlpm.t),"NO TERRITORY",IF(INDEX('[1]Territory Definitions'!$D$5:$M$14,_xlpm.t,MATCH(D$4,'[1]Territory Definitions'!$D$4:$M$4,0))&lt;&gt;1,"NOT IN TERRITORY",IF(COUNTIFS('[1]Blackout Brand Fam Areas (Enc)'!$B$6:$B$998,$A252,'[1]Blackout Brand Fam Areas (Enc)'!$C$6:$C$998,D$4,'[1]Blackout Brand Fam Areas (Enc)'!$D$6:$D$998,"Inactive")&gt;0,"BLOCKED","CAN SELL")))))</f>
        <v>CAN SELL</v>
      </c>
      <c r="E252" s="11" t="str">
        <f>IF($A252="","",_xlfn.LET(_xlpm.t,MATCH($B252,'[1]Territory Definitions'!$B$5:$B$14,0),IF(ISNA(_xlpm.t),"NO TERRITORY",IF(INDEX('[1]Territory Definitions'!$D$5:$M$14,_xlpm.t,MATCH(E$4,'[1]Territory Definitions'!$D$4:$M$4,0))&lt;&gt;1,"NOT IN TERRITORY",IF(COUNTIFS('[1]Blackout Brand Fam Areas (Enc)'!$B$6:$B$998,$A252,'[1]Blackout Brand Fam Areas (Enc)'!$C$6:$C$998,E$4,'[1]Blackout Brand Fam Areas (Enc)'!$D$6:$D$998,"Inactive")&gt;0,"BLOCKED","CAN SELL")))))</f>
        <v>CAN SELL</v>
      </c>
      <c r="F252" s="11" t="str">
        <f>IF($A252="","",_xlfn.LET(_xlpm.t,MATCH($B252,'[1]Territory Definitions'!$B$5:$B$14,0),IF(ISNA(_xlpm.t),"NO TERRITORY",IF(INDEX('[1]Territory Definitions'!$D$5:$M$14,_xlpm.t,MATCH(F$4,'[1]Territory Definitions'!$D$4:$M$4,0))&lt;&gt;1,"NOT IN TERRITORY",IF(COUNTIFS('[1]Blackout Brand Fam Areas (Enc)'!$B$6:$B$998,$A252,'[1]Blackout Brand Fam Areas (Enc)'!$C$6:$C$998,F$4,'[1]Blackout Brand Fam Areas (Enc)'!$D$6:$D$998,"Inactive")&gt;0,"BLOCKED","CAN SELL")))))</f>
        <v>CAN SELL</v>
      </c>
      <c r="G252" s="11" t="str">
        <f>IF($A252="","",_xlfn.LET(_xlpm.t,MATCH($B252,'[1]Territory Definitions'!$B$5:$B$14,0),IF(ISNA(_xlpm.t),"NO TERRITORY",IF(INDEX('[1]Territory Definitions'!$D$5:$M$14,_xlpm.t,MATCH(G$4,'[1]Territory Definitions'!$D$4:$M$4,0))&lt;&gt;1,"NOT IN TERRITORY",IF(COUNTIFS('[1]Blackout Brand Fam Areas (Enc)'!$B$6:$B$998,$A252,'[1]Blackout Brand Fam Areas (Enc)'!$C$6:$C$998,G$4,'[1]Blackout Brand Fam Areas (Enc)'!$D$6:$D$998,"Inactive")&gt;0,"BLOCKED","CAN SELL")))))</f>
        <v>CAN SELL</v>
      </c>
      <c r="H252" s="11" t="str">
        <f>IF($A252="","",_xlfn.LET(_xlpm.t,MATCH($B252,'[1]Territory Definitions'!$B$5:$B$14,0),IF(ISNA(_xlpm.t),"NO TERRITORY",IF(INDEX('[1]Territory Definitions'!$D$5:$M$14,_xlpm.t,MATCH(H$4,'[1]Territory Definitions'!$D$4:$M$4,0))&lt;&gt;1,"NOT IN TERRITORY",IF(COUNTIFS('[1]Blackout Brand Fam Areas (Enc)'!$B$6:$B$998,$A252,'[1]Blackout Brand Fam Areas (Enc)'!$C$6:$C$998,H$4,'[1]Blackout Brand Fam Areas (Enc)'!$D$6:$D$998,"Inactive")&gt;0,"BLOCKED","CAN SELL")))))</f>
        <v>CAN SELL</v>
      </c>
      <c r="I252" s="11" t="str">
        <f>IF($A252="","",_xlfn.LET(_xlpm.t,MATCH($B252,'[1]Territory Definitions'!$B$5:$B$14,0),IF(ISNA(_xlpm.t),"NO TERRITORY",IF(INDEX('[1]Territory Definitions'!$D$5:$M$14,_xlpm.t,MATCH(I$4,'[1]Territory Definitions'!$D$4:$M$4,0))&lt;&gt;1,"NOT IN TERRITORY",IF(COUNTIFS('[1]Blackout Brand Fam Areas (Enc)'!$B$6:$B$998,$A252,'[1]Blackout Brand Fam Areas (Enc)'!$C$6:$C$998,I$4,'[1]Blackout Brand Fam Areas (Enc)'!$D$6:$D$998,"Inactive")&gt;0,"BLOCKED","CAN SELL")))))</f>
        <v>CAN SELL</v>
      </c>
      <c r="J252" s="11" t="str">
        <f>IF($A252="","",_xlfn.LET(_xlpm.t,MATCH($B252,'[1]Territory Definitions'!$B$5:$B$14,0),IF(ISNA(_xlpm.t),"NO TERRITORY",IF(INDEX('[1]Territory Definitions'!$D$5:$M$14,_xlpm.t,MATCH(J$4,'[1]Territory Definitions'!$D$4:$M$4,0))&lt;&gt;1,"NOT IN TERRITORY",IF(COUNTIFS('[1]Blackout Brand Fam Areas (Enc)'!$B$6:$B$998,$A252,'[1]Blackout Brand Fam Areas (Enc)'!$C$6:$C$998,J$4,'[1]Blackout Brand Fam Areas (Enc)'!$D$6:$D$998,"Inactive")&gt;0,"BLOCKED","CAN SELL")))))</f>
        <v>CAN SELL</v>
      </c>
      <c r="K252" s="11" t="str">
        <f>IF($A252="","",_xlfn.LET(_xlpm.t,MATCH($B252,'[1]Territory Definitions'!$B$5:$B$14,0),IF(ISNA(_xlpm.t),"NO TERRITORY",IF(INDEX('[1]Territory Definitions'!$D$5:$M$14,_xlpm.t,MATCH(K$4,'[1]Territory Definitions'!$D$4:$M$4,0))&lt;&gt;1,"NOT IN TERRITORY",IF(COUNTIFS('[1]Blackout Brand Fam Areas (Enc)'!$B$6:$B$998,$A252,'[1]Blackout Brand Fam Areas (Enc)'!$C$6:$C$998,K$4,'[1]Blackout Brand Fam Areas (Enc)'!$D$6:$D$998,"Inactive")&gt;0,"BLOCKED","CAN SELL")))))</f>
        <v>CAN SELL</v>
      </c>
      <c r="L252" s="11" t="str">
        <f>IF($A252="","",_xlfn.LET(_xlpm.t,MATCH($B252,'[1]Territory Definitions'!$B$5:$B$14,0),IF(ISNA(_xlpm.t),"NO TERRITORY",IF(INDEX('[1]Territory Definitions'!$D$5:$M$14,_xlpm.t,MATCH(L$4,'[1]Territory Definitions'!$D$4:$M$4,0))&lt;&gt;1,"NOT IN TERRITORY",IF(COUNTIFS('[1]Blackout Brand Fam Areas (Enc)'!$B$6:$B$998,$A252,'[1]Blackout Brand Fam Areas (Enc)'!$C$6:$C$998,L$4,'[1]Blackout Brand Fam Areas (Enc)'!$D$6:$D$998,"Inactive")&gt;0,"BLOCKED","CAN SELL")))))</f>
        <v>CAN SELL</v>
      </c>
      <c r="M252" s="12">
        <f>IF($A252="","",COUNTIF($C252:$L252,"CAN SELL"))</f>
        <v>10</v>
      </c>
      <c r="N252" s="13" cm="1">
        <f t="array" ref="N252">IF($A252="","",SUMPRODUCT(($C252:$L252="CAN SELL")*$C$3:$L$3))</f>
        <v>2306</v>
      </c>
      <c r="O252" s="14" t="str">
        <f>IF($A252="","",IF(COUNTIF($A$5:$A$299,$A252)&gt;1,"DUPLICATE - two different territories assigned",IF($B252="** NO TERRITORY SET **","No territory on Brand Family Territory (Enc)","")))</f>
        <v/>
      </c>
      <c r="P252" s="18" t="str">
        <f>IF($A252="","",IFERROR(INDEX([1]Products!$H$4:$H$4801,MATCH($A252,[1]Products!$G$4:$G$4801,0)),"(no products)"))</f>
        <v>(no products)</v>
      </c>
      <c r="Q252" s="19">
        <f>IF($A252="","",COUNTIFS([1]Products!$G$4:$G$4801,$A252,[1]Products!$L$4:$L$4801,"Yes"))</f>
        <v>0</v>
      </c>
      <c r="R252" s="19">
        <f>IF($A252="","",COUNTIFS([1]Products!$G$4:$G$4801,$A252,[1]Products!$L$4:$L$4801,"Yes",[1]Products!$K$4:$K$4801,"Draft"))</f>
        <v>0</v>
      </c>
      <c r="S252" s="19">
        <f>IF($A252="","",COUNTIFS([1]Products!$G$4:$G$4801,$A252,[1]Products!$L$4:$L$4801,"Yes",[1]Products!$K$4:$K$4801,"Package"))</f>
        <v>0</v>
      </c>
      <c r="T252" s="20" t="str" cm="1">
        <f t="array" ref="T252">IF($A252="","",_xlfn.IFS($Q252=0,"NO ACTIVE SKUs",AND($R252&gt;0,$S252&gt;0),"Draft &amp; Package",$R252&gt;0,"Draft only",TRUE,"Package only"))</f>
        <v>NO ACTIVE SKUs</v>
      </c>
    </row>
    <row r="253" spans="1:20" x14ac:dyDescent="0.2">
      <c r="A253" s="9" t="str">
        <v>Source Jersey Lager</v>
      </c>
      <c r="B253" s="10" t="str">
        <f>IF($A253="","",_xlfn.XLOOKUP($A253,'[1]Brand Family Territory (Enc)'!$A:$A,'[1]Brand Family Territory (Enc)'!$B:$B,"** NO TERRITORY SET **"))</f>
        <v>All Counties</v>
      </c>
      <c r="C253" s="11" t="str">
        <f>IF($A253="","",_xlfn.LET(_xlpm.t,MATCH($B253,'[1]Territory Definitions'!$B$5:$B$14,0),IF(ISNA(_xlpm.t),"NO TERRITORY",IF(INDEX('[1]Territory Definitions'!$D$5:$M$14,_xlpm.t,MATCH(C$4,'[1]Territory Definitions'!$D$4:$M$4,0))&lt;&gt;1,"NOT IN TERRITORY",IF(COUNTIFS('[1]Blackout Brand Fam Areas (Enc)'!$B$6:$B$998,$A253,'[1]Blackout Brand Fam Areas (Enc)'!$C$6:$C$998,C$4,'[1]Blackout Brand Fam Areas (Enc)'!$D$6:$D$998,"Inactive")&gt;0,"BLOCKED","CAN SELL")))))</f>
        <v>CAN SELL</v>
      </c>
      <c r="D253" s="11" t="str">
        <f>IF($A253="","",_xlfn.LET(_xlpm.t,MATCH($B253,'[1]Territory Definitions'!$B$5:$B$14,0),IF(ISNA(_xlpm.t),"NO TERRITORY",IF(INDEX('[1]Territory Definitions'!$D$5:$M$14,_xlpm.t,MATCH(D$4,'[1]Territory Definitions'!$D$4:$M$4,0))&lt;&gt;1,"NOT IN TERRITORY",IF(COUNTIFS('[1]Blackout Brand Fam Areas (Enc)'!$B$6:$B$998,$A253,'[1]Blackout Brand Fam Areas (Enc)'!$C$6:$C$998,D$4,'[1]Blackout Brand Fam Areas (Enc)'!$D$6:$D$998,"Inactive")&gt;0,"BLOCKED","CAN SELL")))))</f>
        <v>CAN SELL</v>
      </c>
      <c r="E253" s="11" t="str">
        <f>IF($A253="","",_xlfn.LET(_xlpm.t,MATCH($B253,'[1]Territory Definitions'!$B$5:$B$14,0),IF(ISNA(_xlpm.t),"NO TERRITORY",IF(INDEX('[1]Territory Definitions'!$D$5:$M$14,_xlpm.t,MATCH(E$4,'[1]Territory Definitions'!$D$4:$M$4,0))&lt;&gt;1,"NOT IN TERRITORY",IF(COUNTIFS('[1]Blackout Brand Fam Areas (Enc)'!$B$6:$B$998,$A253,'[1]Blackout Brand Fam Areas (Enc)'!$C$6:$C$998,E$4,'[1]Blackout Brand Fam Areas (Enc)'!$D$6:$D$998,"Inactive")&gt;0,"BLOCKED","CAN SELL")))))</f>
        <v>CAN SELL</v>
      </c>
      <c r="F253" s="11" t="str">
        <f>IF($A253="","",_xlfn.LET(_xlpm.t,MATCH($B253,'[1]Territory Definitions'!$B$5:$B$14,0),IF(ISNA(_xlpm.t),"NO TERRITORY",IF(INDEX('[1]Territory Definitions'!$D$5:$M$14,_xlpm.t,MATCH(F$4,'[1]Territory Definitions'!$D$4:$M$4,0))&lt;&gt;1,"NOT IN TERRITORY",IF(COUNTIFS('[1]Blackout Brand Fam Areas (Enc)'!$B$6:$B$998,$A253,'[1]Blackout Brand Fam Areas (Enc)'!$C$6:$C$998,F$4,'[1]Blackout Brand Fam Areas (Enc)'!$D$6:$D$998,"Inactive")&gt;0,"BLOCKED","CAN SELL")))))</f>
        <v>CAN SELL</v>
      </c>
      <c r="G253" s="11" t="str">
        <f>IF($A253="","",_xlfn.LET(_xlpm.t,MATCH($B253,'[1]Territory Definitions'!$B$5:$B$14,0),IF(ISNA(_xlpm.t),"NO TERRITORY",IF(INDEX('[1]Territory Definitions'!$D$5:$M$14,_xlpm.t,MATCH(G$4,'[1]Territory Definitions'!$D$4:$M$4,0))&lt;&gt;1,"NOT IN TERRITORY",IF(COUNTIFS('[1]Blackout Brand Fam Areas (Enc)'!$B$6:$B$998,$A253,'[1]Blackout Brand Fam Areas (Enc)'!$C$6:$C$998,G$4,'[1]Blackout Brand Fam Areas (Enc)'!$D$6:$D$998,"Inactive")&gt;0,"BLOCKED","CAN SELL")))))</f>
        <v>CAN SELL</v>
      </c>
      <c r="H253" s="11" t="str">
        <f>IF($A253="","",_xlfn.LET(_xlpm.t,MATCH($B253,'[1]Territory Definitions'!$B$5:$B$14,0),IF(ISNA(_xlpm.t),"NO TERRITORY",IF(INDEX('[1]Territory Definitions'!$D$5:$M$14,_xlpm.t,MATCH(H$4,'[1]Territory Definitions'!$D$4:$M$4,0))&lt;&gt;1,"NOT IN TERRITORY",IF(COUNTIFS('[1]Blackout Brand Fam Areas (Enc)'!$B$6:$B$998,$A253,'[1]Blackout Brand Fam Areas (Enc)'!$C$6:$C$998,H$4,'[1]Blackout Brand Fam Areas (Enc)'!$D$6:$D$998,"Inactive")&gt;0,"BLOCKED","CAN SELL")))))</f>
        <v>CAN SELL</v>
      </c>
      <c r="I253" s="11" t="str">
        <f>IF($A253="","",_xlfn.LET(_xlpm.t,MATCH($B253,'[1]Territory Definitions'!$B$5:$B$14,0),IF(ISNA(_xlpm.t),"NO TERRITORY",IF(INDEX('[1]Territory Definitions'!$D$5:$M$14,_xlpm.t,MATCH(I$4,'[1]Territory Definitions'!$D$4:$M$4,0))&lt;&gt;1,"NOT IN TERRITORY",IF(COUNTIFS('[1]Blackout Brand Fam Areas (Enc)'!$B$6:$B$998,$A253,'[1]Blackout Brand Fam Areas (Enc)'!$C$6:$C$998,I$4,'[1]Blackout Brand Fam Areas (Enc)'!$D$6:$D$998,"Inactive")&gt;0,"BLOCKED","CAN SELL")))))</f>
        <v>CAN SELL</v>
      </c>
      <c r="J253" s="11" t="str">
        <f>IF($A253="","",_xlfn.LET(_xlpm.t,MATCH($B253,'[1]Territory Definitions'!$B$5:$B$14,0),IF(ISNA(_xlpm.t),"NO TERRITORY",IF(INDEX('[1]Territory Definitions'!$D$5:$M$14,_xlpm.t,MATCH(J$4,'[1]Territory Definitions'!$D$4:$M$4,0))&lt;&gt;1,"NOT IN TERRITORY",IF(COUNTIFS('[1]Blackout Brand Fam Areas (Enc)'!$B$6:$B$998,$A253,'[1]Blackout Brand Fam Areas (Enc)'!$C$6:$C$998,J$4,'[1]Blackout Brand Fam Areas (Enc)'!$D$6:$D$998,"Inactive")&gt;0,"BLOCKED","CAN SELL")))))</f>
        <v>CAN SELL</v>
      </c>
      <c r="K253" s="11" t="str">
        <f>IF($A253="","",_xlfn.LET(_xlpm.t,MATCH($B253,'[1]Territory Definitions'!$B$5:$B$14,0),IF(ISNA(_xlpm.t),"NO TERRITORY",IF(INDEX('[1]Territory Definitions'!$D$5:$M$14,_xlpm.t,MATCH(K$4,'[1]Territory Definitions'!$D$4:$M$4,0))&lt;&gt;1,"NOT IN TERRITORY",IF(COUNTIFS('[1]Blackout Brand Fam Areas (Enc)'!$B$6:$B$998,$A253,'[1]Blackout Brand Fam Areas (Enc)'!$C$6:$C$998,K$4,'[1]Blackout Brand Fam Areas (Enc)'!$D$6:$D$998,"Inactive")&gt;0,"BLOCKED","CAN SELL")))))</f>
        <v>CAN SELL</v>
      </c>
      <c r="L253" s="11" t="str">
        <f>IF($A253="","",_xlfn.LET(_xlpm.t,MATCH($B253,'[1]Territory Definitions'!$B$5:$B$14,0),IF(ISNA(_xlpm.t),"NO TERRITORY",IF(INDEX('[1]Territory Definitions'!$D$5:$M$14,_xlpm.t,MATCH(L$4,'[1]Territory Definitions'!$D$4:$M$4,0))&lt;&gt;1,"NOT IN TERRITORY",IF(COUNTIFS('[1]Blackout Brand Fam Areas (Enc)'!$B$6:$B$998,$A253,'[1]Blackout Brand Fam Areas (Enc)'!$C$6:$C$998,L$4,'[1]Blackout Brand Fam Areas (Enc)'!$D$6:$D$998,"Inactive")&gt;0,"BLOCKED","CAN SELL")))))</f>
        <v>CAN SELL</v>
      </c>
      <c r="M253" s="12">
        <f>IF($A253="","",COUNTIF($C253:$L253,"CAN SELL"))</f>
        <v>10</v>
      </c>
      <c r="N253" s="13" cm="1">
        <f t="array" ref="N253">IF($A253="","",SUMPRODUCT(($C253:$L253="CAN SELL")*$C$3:$L$3))</f>
        <v>2306</v>
      </c>
      <c r="O253" s="14" t="str">
        <f>IF($A253="","",IF(COUNTIF($A$5:$A$299,$A253)&gt;1,"DUPLICATE - two different territories assigned",IF($B253="** NO TERRITORY SET **","No territory on Brand Family Territory (Enc)","")))</f>
        <v/>
      </c>
      <c r="P253" s="18" t="str">
        <f>IF($A253="","",IFERROR(INDEX([1]Products!$H$4:$H$4801,MATCH($A253,[1]Products!$G$4:$G$4801,0)),"(no products)"))</f>
        <v>(no products)</v>
      </c>
      <c r="Q253" s="19">
        <f>IF($A253="","",COUNTIFS([1]Products!$G$4:$G$4801,$A253,[1]Products!$L$4:$L$4801,"Yes"))</f>
        <v>0</v>
      </c>
      <c r="R253" s="19">
        <f>IF($A253="","",COUNTIFS([1]Products!$G$4:$G$4801,$A253,[1]Products!$L$4:$L$4801,"Yes",[1]Products!$K$4:$K$4801,"Draft"))</f>
        <v>0</v>
      </c>
      <c r="S253" s="19">
        <f>IF($A253="","",COUNTIFS([1]Products!$G$4:$G$4801,$A253,[1]Products!$L$4:$L$4801,"Yes",[1]Products!$K$4:$K$4801,"Package"))</f>
        <v>0</v>
      </c>
      <c r="T253" s="20" t="str" cm="1">
        <f t="array" ref="T253">IF($A253="","",_xlfn.IFS($Q253=0,"NO ACTIVE SKUs",AND($R253&gt;0,$S253&gt;0),"Draft &amp; Package",$R253&gt;0,"Draft only",TRUE,"Package only"))</f>
        <v>NO ACTIVE SKUs</v>
      </c>
    </row>
    <row r="254" spans="1:20" x14ac:dyDescent="0.2">
      <c r="A254" s="9" t="str">
        <v>Source Ultra Citra</v>
      </c>
      <c r="B254" s="10" t="str">
        <f>IF($A254="","",_xlfn.XLOOKUP($A254,'[1]Brand Family Territory (Enc)'!$A:$A,'[1]Brand Family Territory (Enc)'!$B:$B,"** NO TERRITORY SET **"))</f>
        <v>All Counties</v>
      </c>
      <c r="C254" s="11" t="str">
        <f>IF($A254="","",_xlfn.LET(_xlpm.t,MATCH($B254,'[1]Territory Definitions'!$B$5:$B$14,0),IF(ISNA(_xlpm.t),"NO TERRITORY",IF(INDEX('[1]Territory Definitions'!$D$5:$M$14,_xlpm.t,MATCH(C$4,'[1]Territory Definitions'!$D$4:$M$4,0))&lt;&gt;1,"NOT IN TERRITORY",IF(COUNTIFS('[1]Blackout Brand Fam Areas (Enc)'!$B$6:$B$998,$A254,'[1]Blackout Brand Fam Areas (Enc)'!$C$6:$C$998,C$4,'[1]Blackout Brand Fam Areas (Enc)'!$D$6:$D$998,"Inactive")&gt;0,"BLOCKED","CAN SELL")))))</f>
        <v>CAN SELL</v>
      </c>
      <c r="D254" s="11" t="str">
        <f>IF($A254="","",_xlfn.LET(_xlpm.t,MATCH($B254,'[1]Territory Definitions'!$B$5:$B$14,0),IF(ISNA(_xlpm.t),"NO TERRITORY",IF(INDEX('[1]Territory Definitions'!$D$5:$M$14,_xlpm.t,MATCH(D$4,'[1]Territory Definitions'!$D$4:$M$4,0))&lt;&gt;1,"NOT IN TERRITORY",IF(COUNTIFS('[1]Blackout Brand Fam Areas (Enc)'!$B$6:$B$998,$A254,'[1]Blackout Brand Fam Areas (Enc)'!$C$6:$C$998,D$4,'[1]Blackout Brand Fam Areas (Enc)'!$D$6:$D$998,"Inactive")&gt;0,"BLOCKED","CAN SELL")))))</f>
        <v>CAN SELL</v>
      </c>
      <c r="E254" s="11" t="str">
        <f>IF($A254="","",_xlfn.LET(_xlpm.t,MATCH($B254,'[1]Territory Definitions'!$B$5:$B$14,0),IF(ISNA(_xlpm.t),"NO TERRITORY",IF(INDEX('[1]Territory Definitions'!$D$5:$M$14,_xlpm.t,MATCH(E$4,'[1]Territory Definitions'!$D$4:$M$4,0))&lt;&gt;1,"NOT IN TERRITORY",IF(COUNTIFS('[1]Blackout Brand Fam Areas (Enc)'!$B$6:$B$998,$A254,'[1]Blackout Brand Fam Areas (Enc)'!$C$6:$C$998,E$4,'[1]Blackout Brand Fam Areas (Enc)'!$D$6:$D$998,"Inactive")&gt;0,"BLOCKED","CAN SELL")))))</f>
        <v>CAN SELL</v>
      </c>
      <c r="F254" s="11" t="str">
        <f>IF($A254="","",_xlfn.LET(_xlpm.t,MATCH($B254,'[1]Territory Definitions'!$B$5:$B$14,0),IF(ISNA(_xlpm.t),"NO TERRITORY",IF(INDEX('[1]Territory Definitions'!$D$5:$M$14,_xlpm.t,MATCH(F$4,'[1]Territory Definitions'!$D$4:$M$4,0))&lt;&gt;1,"NOT IN TERRITORY",IF(COUNTIFS('[1]Blackout Brand Fam Areas (Enc)'!$B$6:$B$998,$A254,'[1]Blackout Brand Fam Areas (Enc)'!$C$6:$C$998,F$4,'[1]Blackout Brand Fam Areas (Enc)'!$D$6:$D$998,"Inactive")&gt;0,"BLOCKED","CAN SELL")))))</f>
        <v>CAN SELL</v>
      </c>
      <c r="G254" s="11" t="str">
        <f>IF($A254="","",_xlfn.LET(_xlpm.t,MATCH($B254,'[1]Territory Definitions'!$B$5:$B$14,0),IF(ISNA(_xlpm.t),"NO TERRITORY",IF(INDEX('[1]Territory Definitions'!$D$5:$M$14,_xlpm.t,MATCH(G$4,'[1]Territory Definitions'!$D$4:$M$4,0))&lt;&gt;1,"NOT IN TERRITORY",IF(COUNTIFS('[1]Blackout Brand Fam Areas (Enc)'!$B$6:$B$998,$A254,'[1]Blackout Brand Fam Areas (Enc)'!$C$6:$C$998,G$4,'[1]Blackout Brand Fam Areas (Enc)'!$D$6:$D$998,"Inactive")&gt;0,"BLOCKED","CAN SELL")))))</f>
        <v>CAN SELL</v>
      </c>
      <c r="H254" s="11" t="str">
        <f>IF($A254="","",_xlfn.LET(_xlpm.t,MATCH($B254,'[1]Territory Definitions'!$B$5:$B$14,0),IF(ISNA(_xlpm.t),"NO TERRITORY",IF(INDEX('[1]Territory Definitions'!$D$5:$M$14,_xlpm.t,MATCH(H$4,'[1]Territory Definitions'!$D$4:$M$4,0))&lt;&gt;1,"NOT IN TERRITORY",IF(COUNTIFS('[1]Blackout Brand Fam Areas (Enc)'!$B$6:$B$998,$A254,'[1]Blackout Brand Fam Areas (Enc)'!$C$6:$C$998,H$4,'[1]Blackout Brand Fam Areas (Enc)'!$D$6:$D$998,"Inactive")&gt;0,"BLOCKED","CAN SELL")))))</f>
        <v>CAN SELL</v>
      </c>
      <c r="I254" s="11" t="str">
        <f>IF($A254="","",_xlfn.LET(_xlpm.t,MATCH($B254,'[1]Territory Definitions'!$B$5:$B$14,0),IF(ISNA(_xlpm.t),"NO TERRITORY",IF(INDEX('[1]Territory Definitions'!$D$5:$M$14,_xlpm.t,MATCH(I$4,'[1]Territory Definitions'!$D$4:$M$4,0))&lt;&gt;1,"NOT IN TERRITORY",IF(COUNTIFS('[1]Blackout Brand Fam Areas (Enc)'!$B$6:$B$998,$A254,'[1]Blackout Brand Fam Areas (Enc)'!$C$6:$C$998,I$4,'[1]Blackout Brand Fam Areas (Enc)'!$D$6:$D$998,"Inactive")&gt;0,"BLOCKED","CAN SELL")))))</f>
        <v>CAN SELL</v>
      </c>
      <c r="J254" s="11" t="str">
        <f>IF($A254="","",_xlfn.LET(_xlpm.t,MATCH($B254,'[1]Territory Definitions'!$B$5:$B$14,0),IF(ISNA(_xlpm.t),"NO TERRITORY",IF(INDEX('[1]Territory Definitions'!$D$5:$M$14,_xlpm.t,MATCH(J$4,'[1]Territory Definitions'!$D$4:$M$4,0))&lt;&gt;1,"NOT IN TERRITORY",IF(COUNTIFS('[1]Blackout Brand Fam Areas (Enc)'!$B$6:$B$998,$A254,'[1]Blackout Brand Fam Areas (Enc)'!$C$6:$C$998,J$4,'[1]Blackout Brand Fam Areas (Enc)'!$D$6:$D$998,"Inactive")&gt;0,"BLOCKED","CAN SELL")))))</f>
        <v>CAN SELL</v>
      </c>
      <c r="K254" s="11" t="str">
        <f>IF($A254="","",_xlfn.LET(_xlpm.t,MATCH($B254,'[1]Territory Definitions'!$B$5:$B$14,0),IF(ISNA(_xlpm.t),"NO TERRITORY",IF(INDEX('[1]Territory Definitions'!$D$5:$M$14,_xlpm.t,MATCH(K$4,'[1]Territory Definitions'!$D$4:$M$4,0))&lt;&gt;1,"NOT IN TERRITORY",IF(COUNTIFS('[1]Blackout Brand Fam Areas (Enc)'!$B$6:$B$998,$A254,'[1]Blackout Brand Fam Areas (Enc)'!$C$6:$C$998,K$4,'[1]Blackout Brand Fam Areas (Enc)'!$D$6:$D$998,"Inactive")&gt;0,"BLOCKED","CAN SELL")))))</f>
        <v>CAN SELL</v>
      </c>
      <c r="L254" s="11" t="str">
        <f>IF($A254="","",_xlfn.LET(_xlpm.t,MATCH($B254,'[1]Territory Definitions'!$B$5:$B$14,0),IF(ISNA(_xlpm.t),"NO TERRITORY",IF(INDEX('[1]Territory Definitions'!$D$5:$M$14,_xlpm.t,MATCH(L$4,'[1]Territory Definitions'!$D$4:$M$4,0))&lt;&gt;1,"NOT IN TERRITORY",IF(COUNTIFS('[1]Blackout Brand Fam Areas (Enc)'!$B$6:$B$998,$A254,'[1]Blackout Brand Fam Areas (Enc)'!$C$6:$C$998,L$4,'[1]Blackout Brand Fam Areas (Enc)'!$D$6:$D$998,"Inactive")&gt;0,"BLOCKED","CAN SELL")))))</f>
        <v>CAN SELL</v>
      </c>
      <c r="M254" s="12">
        <f>IF($A254="","",COUNTIF($C254:$L254,"CAN SELL"))</f>
        <v>10</v>
      </c>
      <c r="N254" s="13" cm="1">
        <f t="array" ref="N254">IF($A254="","",SUMPRODUCT(($C254:$L254="CAN SELL")*$C$3:$L$3))</f>
        <v>2306</v>
      </c>
      <c r="O254" s="14" t="str">
        <f>IF($A254="","",IF(COUNTIF($A$5:$A$299,$A254)&gt;1,"DUPLICATE - two different territories assigned",IF($B254="** NO TERRITORY SET **","No territory on Brand Family Territory (Enc)","")))</f>
        <v/>
      </c>
      <c r="P254" s="18" t="str">
        <f>IF($A254="","",IFERROR(INDEX([1]Products!$H$4:$H$4801,MATCH($A254,[1]Products!$G$4:$G$4801,0)),"(no products)"))</f>
        <v>(no products)</v>
      </c>
      <c r="Q254" s="19">
        <f>IF($A254="","",COUNTIFS([1]Products!$G$4:$G$4801,$A254,[1]Products!$L$4:$L$4801,"Yes"))</f>
        <v>0</v>
      </c>
      <c r="R254" s="19">
        <f>IF($A254="","",COUNTIFS([1]Products!$G$4:$G$4801,$A254,[1]Products!$L$4:$L$4801,"Yes",[1]Products!$K$4:$K$4801,"Draft"))</f>
        <v>0</v>
      </c>
      <c r="S254" s="19">
        <f>IF($A254="","",COUNTIFS([1]Products!$G$4:$G$4801,$A254,[1]Products!$L$4:$L$4801,"Yes",[1]Products!$K$4:$K$4801,"Package"))</f>
        <v>0</v>
      </c>
      <c r="T254" s="20" t="str" cm="1">
        <f t="array" ref="T254">IF($A254="","",_xlfn.IFS($Q254=0,"NO ACTIVE SKUs",AND($R254&gt;0,$S254&gt;0),"Draft &amp; Package",$R254&gt;0,"Draft only",TRUE,"Package only"))</f>
        <v>NO ACTIVE SKUs</v>
      </c>
    </row>
    <row r="255" spans="1:20" x14ac:dyDescent="0.2">
      <c r="A255" s="9" t="str">
        <v>Southern Tier</v>
      </c>
      <c r="B255" s="10" t="str">
        <f>IF($A255="","",_xlfn.XLOOKUP($A255,'[1]Brand Family Territory (Enc)'!$A:$A,'[1]Brand Family Territory (Enc)'!$B:$B,"** NO TERRITORY SET **"))</f>
        <v>Bergen/Passaic/Hudson/Essex</v>
      </c>
      <c r="C255" s="11" t="str">
        <f>IF($A255="","",_xlfn.LET(_xlpm.t,MATCH($B255,'[1]Territory Definitions'!$B$5:$B$14,0),IF(ISNA(_xlpm.t),"NO TERRITORY",IF(INDEX('[1]Territory Definitions'!$D$5:$M$14,_xlpm.t,MATCH(C$4,'[1]Territory Definitions'!$D$4:$M$4,0))&lt;&gt;1,"NOT IN TERRITORY",IF(COUNTIFS('[1]Blackout Brand Fam Areas (Enc)'!$B$6:$B$998,$A255,'[1]Blackout Brand Fam Areas (Enc)'!$C$6:$C$998,C$4,'[1]Blackout Brand Fam Areas (Enc)'!$D$6:$D$998,"Inactive")&gt;0,"BLOCKED","CAN SELL")))))</f>
        <v>CAN SELL</v>
      </c>
      <c r="D255" s="11" t="str">
        <f>IF($A255="","",_xlfn.LET(_xlpm.t,MATCH($B255,'[1]Territory Definitions'!$B$5:$B$14,0),IF(ISNA(_xlpm.t),"NO TERRITORY",IF(INDEX('[1]Territory Definitions'!$D$5:$M$14,_xlpm.t,MATCH(D$4,'[1]Territory Definitions'!$D$4:$M$4,0))&lt;&gt;1,"NOT IN TERRITORY",IF(COUNTIFS('[1]Blackout Brand Fam Areas (Enc)'!$B$6:$B$998,$A255,'[1]Blackout Brand Fam Areas (Enc)'!$C$6:$C$998,D$4,'[1]Blackout Brand Fam Areas (Enc)'!$D$6:$D$998,"Inactive")&gt;0,"BLOCKED","CAN SELL")))))</f>
        <v>CAN SELL</v>
      </c>
      <c r="E255" s="11" t="str">
        <f>IF($A255="","",_xlfn.LET(_xlpm.t,MATCH($B255,'[1]Territory Definitions'!$B$5:$B$14,0),IF(ISNA(_xlpm.t),"NO TERRITORY",IF(INDEX('[1]Territory Definitions'!$D$5:$M$14,_xlpm.t,MATCH(E$4,'[1]Territory Definitions'!$D$4:$M$4,0))&lt;&gt;1,"NOT IN TERRITORY",IF(COUNTIFS('[1]Blackout Brand Fam Areas (Enc)'!$B$6:$B$998,$A255,'[1]Blackout Brand Fam Areas (Enc)'!$C$6:$C$998,E$4,'[1]Blackout Brand Fam Areas (Enc)'!$D$6:$D$998,"Inactive")&gt;0,"BLOCKED","CAN SELL")))))</f>
        <v>CAN SELL</v>
      </c>
      <c r="F255" s="11" t="str">
        <f>IF($A255="","",_xlfn.LET(_xlpm.t,MATCH($B255,'[1]Territory Definitions'!$B$5:$B$14,0),IF(ISNA(_xlpm.t),"NO TERRITORY",IF(INDEX('[1]Territory Definitions'!$D$5:$M$14,_xlpm.t,MATCH(F$4,'[1]Territory Definitions'!$D$4:$M$4,0))&lt;&gt;1,"NOT IN TERRITORY",IF(COUNTIFS('[1]Blackout Brand Fam Areas (Enc)'!$B$6:$B$998,$A255,'[1]Blackout Brand Fam Areas (Enc)'!$C$6:$C$998,F$4,'[1]Blackout Brand Fam Areas (Enc)'!$D$6:$D$998,"Inactive")&gt;0,"BLOCKED","CAN SELL")))))</f>
        <v>CAN SELL</v>
      </c>
      <c r="G255" s="11" t="str">
        <f>IF($A255="","",_xlfn.LET(_xlpm.t,MATCH($B255,'[1]Territory Definitions'!$B$5:$B$14,0),IF(ISNA(_xlpm.t),"NO TERRITORY",IF(INDEX('[1]Territory Definitions'!$D$5:$M$14,_xlpm.t,MATCH(G$4,'[1]Territory Definitions'!$D$4:$M$4,0))&lt;&gt;1,"NOT IN TERRITORY",IF(COUNTIFS('[1]Blackout Brand Fam Areas (Enc)'!$B$6:$B$998,$A255,'[1]Blackout Brand Fam Areas (Enc)'!$C$6:$C$998,G$4,'[1]Blackout Brand Fam Areas (Enc)'!$D$6:$D$998,"Inactive")&gt;0,"BLOCKED","CAN SELL")))))</f>
        <v>CAN SELL</v>
      </c>
      <c r="H255" s="11" t="str">
        <f>IF($A255="","",_xlfn.LET(_xlpm.t,MATCH($B255,'[1]Territory Definitions'!$B$5:$B$14,0),IF(ISNA(_xlpm.t),"NO TERRITORY",IF(INDEX('[1]Territory Definitions'!$D$5:$M$14,_xlpm.t,MATCH(H$4,'[1]Territory Definitions'!$D$4:$M$4,0))&lt;&gt;1,"NOT IN TERRITORY",IF(COUNTIFS('[1]Blackout Brand Fam Areas (Enc)'!$B$6:$B$998,$A255,'[1]Blackout Brand Fam Areas (Enc)'!$C$6:$C$998,H$4,'[1]Blackout Brand Fam Areas (Enc)'!$D$6:$D$998,"Inactive")&gt;0,"BLOCKED","CAN SELL")))))</f>
        <v>NOT IN TERRITORY</v>
      </c>
      <c r="I255" s="11" t="str">
        <f>IF($A255="","",_xlfn.LET(_xlpm.t,MATCH($B255,'[1]Territory Definitions'!$B$5:$B$14,0),IF(ISNA(_xlpm.t),"NO TERRITORY",IF(INDEX('[1]Territory Definitions'!$D$5:$M$14,_xlpm.t,MATCH(I$4,'[1]Territory Definitions'!$D$4:$M$4,0))&lt;&gt;1,"NOT IN TERRITORY",IF(COUNTIFS('[1]Blackout Brand Fam Areas (Enc)'!$B$6:$B$998,$A255,'[1]Blackout Brand Fam Areas (Enc)'!$C$6:$C$998,I$4,'[1]Blackout Brand Fam Areas (Enc)'!$D$6:$D$998,"Inactive")&gt;0,"BLOCKED","CAN SELL")))))</f>
        <v>NOT IN TERRITORY</v>
      </c>
      <c r="J255" s="11" t="str">
        <f>IF($A255="","",_xlfn.LET(_xlpm.t,MATCH($B255,'[1]Territory Definitions'!$B$5:$B$14,0),IF(ISNA(_xlpm.t),"NO TERRITORY",IF(INDEX('[1]Territory Definitions'!$D$5:$M$14,_xlpm.t,MATCH(J$4,'[1]Territory Definitions'!$D$4:$M$4,0))&lt;&gt;1,"NOT IN TERRITORY",IF(COUNTIFS('[1]Blackout Brand Fam Areas (Enc)'!$B$6:$B$998,$A255,'[1]Blackout Brand Fam Areas (Enc)'!$C$6:$C$998,J$4,'[1]Blackout Brand Fam Areas (Enc)'!$D$6:$D$998,"Inactive")&gt;0,"BLOCKED","CAN SELL")))))</f>
        <v>NOT IN TERRITORY</v>
      </c>
      <c r="K255" s="11" t="str">
        <f>IF($A255="","",_xlfn.LET(_xlpm.t,MATCH($B255,'[1]Territory Definitions'!$B$5:$B$14,0),IF(ISNA(_xlpm.t),"NO TERRITORY",IF(INDEX('[1]Territory Definitions'!$D$5:$M$14,_xlpm.t,MATCH(K$4,'[1]Territory Definitions'!$D$4:$M$4,0))&lt;&gt;1,"NOT IN TERRITORY",IF(COUNTIFS('[1]Blackout Brand Fam Areas (Enc)'!$B$6:$B$998,$A255,'[1]Blackout Brand Fam Areas (Enc)'!$C$6:$C$998,K$4,'[1]Blackout Brand Fam Areas (Enc)'!$D$6:$D$998,"Inactive")&gt;0,"BLOCKED","CAN SELL")))))</f>
        <v>NOT IN TERRITORY</v>
      </c>
      <c r="L255" s="11" t="str">
        <f>IF($A255="","",_xlfn.LET(_xlpm.t,MATCH($B255,'[1]Territory Definitions'!$B$5:$B$14,0),IF(ISNA(_xlpm.t),"NO TERRITORY",IF(INDEX('[1]Territory Definitions'!$D$5:$M$14,_xlpm.t,MATCH(L$4,'[1]Territory Definitions'!$D$4:$M$4,0))&lt;&gt;1,"NOT IN TERRITORY",IF(COUNTIFS('[1]Blackout Brand Fam Areas (Enc)'!$B$6:$B$998,$A255,'[1]Blackout Brand Fam Areas (Enc)'!$C$6:$C$998,L$4,'[1]Blackout Brand Fam Areas (Enc)'!$D$6:$D$998,"Inactive")&gt;0,"BLOCKED","CAN SELL")))))</f>
        <v>NOT IN TERRITORY</v>
      </c>
      <c r="M255" s="12">
        <f>IF($A255="","",COUNTIF($C255:$L255,"CAN SELL"))</f>
        <v>5</v>
      </c>
      <c r="N255" s="13" cm="1">
        <f t="array" ref="N255">IF($A255="","",SUMPRODUCT(($C255:$L255="CAN SELL")*$C$3:$L$3))</f>
        <v>1859</v>
      </c>
      <c r="O255" s="14" t="str">
        <f>IF($A255="","",IF(COUNTIF($A$5:$A$299,$A255)&gt;1,"DUPLICATE - two different territories assigned",IF($B255="** NO TERRITORY SET **","No territory on Brand Family Territory (Enc)","")))</f>
        <v/>
      </c>
      <c r="P255" s="18" t="str">
        <f>IF($A255="","",IFERROR(INDEX([1]Products!$H$4:$H$4801,MATCH($A255,[1]Products!$G$4:$G$4801,0)),"(no products)"))</f>
        <v>Southern Tier Brewing Company</v>
      </c>
      <c r="Q255" s="19">
        <f>IF($A255="","",COUNTIFS([1]Products!$G$4:$G$4801,$A255,[1]Products!$L$4:$L$4801,"Yes"))</f>
        <v>46</v>
      </c>
      <c r="R255" s="19">
        <f>IF($A255="","",COUNTIFS([1]Products!$G$4:$G$4801,$A255,[1]Products!$L$4:$L$4801,"Yes",[1]Products!$K$4:$K$4801,"Draft"))</f>
        <v>18</v>
      </c>
      <c r="S255" s="19">
        <f>IF($A255="","",COUNTIFS([1]Products!$G$4:$G$4801,$A255,[1]Products!$L$4:$L$4801,"Yes",[1]Products!$K$4:$K$4801,"Package"))</f>
        <v>28</v>
      </c>
      <c r="T255" s="20" t="str" cm="1">
        <f t="array" ref="T255">IF($A255="","",_xlfn.IFS($Q255=0,"NO ACTIVE SKUs",AND($R255&gt;0,$S255&gt;0),"Draft &amp; Package",$R255&gt;0,"Draft only",TRUE,"Package only"))</f>
        <v>Draft &amp; Package</v>
      </c>
    </row>
    <row r="256" spans="1:20" x14ac:dyDescent="0.2">
      <c r="A256" s="9" t="str">
        <v>Southern Tier Distilling</v>
      </c>
      <c r="B256" s="10" t="str">
        <f>IF($A256="","",_xlfn.XLOOKUP($A256,'[1]Brand Family Territory (Enc)'!$A:$A,'[1]Brand Family Territory (Enc)'!$B:$B,"** NO TERRITORY SET **"))</f>
        <v>Bergen/Passaic/Hudson/Essex</v>
      </c>
      <c r="C256" s="11" t="str">
        <f>IF($A256="","",_xlfn.LET(_xlpm.t,MATCH($B256,'[1]Territory Definitions'!$B$5:$B$14,0),IF(ISNA(_xlpm.t),"NO TERRITORY",IF(INDEX('[1]Territory Definitions'!$D$5:$M$14,_xlpm.t,MATCH(C$4,'[1]Territory Definitions'!$D$4:$M$4,0))&lt;&gt;1,"NOT IN TERRITORY",IF(COUNTIFS('[1]Blackout Brand Fam Areas (Enc)'!$B$6:$B$998,$A256,'[1]Blackout Brand Fam Areas (Enc)'!$C$6:$C$998,C$4,'[1]Blackout Brand Fam Areas (Enc)'!$D$6:$D$998,"Inactive")&gt;0,"BLOCKED","CAN SELL")))))</f>
        <v>CAN SELL</v>
      </c>
      <c r="D256" s="11" t="str">
        <f>IF($A256="","",_xlfn.LET(_xlpm.t,MATCH($B256,'[1]Territory Definitions'!$B$5:$B$14,0),IF(ISNA(_xlpm.t),"NO TERRITORY",IF(INDEX('[1]Territory Definitions'!$D$5:$M$14,_xlpm.t,MATCH(D$4,'[1]Territory Definitions'!$D$4:$M$4,0))&lt;&gt;1,"NOT IN TERRITORY",IF(COUNTIFS('[1]Blackout Brand Fam Areas (Enc)'!$B$6:$B$998,$A256,'[1]Blackout Brand Fam Areas (Enc)'!$C$6:$C$998,D$4,'[1]Blackout Brand Fam Areas (Enc)'!$D$6:$D$998,"Inactive")&gt;0,"BLOCKED","CAN SELL")))))</f>
        <v>CAN SELL</v>
      </c>
      <c r="E256" s="11" t="str">
        <f>IF($A256="","",_xlfn.LET(_xlpm.t,MATCH($B256,'[1]Territory Definitions'!$B$5:$B$14,0),IF(ISNA(_xlpm.t),"NO TERRITORY",IF(INDEX('[1]Territory Definitions'!$D$5:$M$14,_xlpm.t,MATCH(E$4,'[1]Territory Definitions'!$D$4:$M$4,0))&lt;&gt;1,"NOT IN TERRITORY",IF(COUNTIFS('[1]Blackout Brand Fam Areas (Enc)'!$B$6:$B$998,$A256,'[1]Blackout Brand Fam Areas (Enc)'!$C$6:$C$998,E$4,'[1]Blackout Brand Fam Areas (Enc)'!$D$6:$D$998,"Inactive")&gt;0,"BLOCKED","CAN SELL")))))</f>
        <v>CAN SELL</v>
      </c>
      <c r="F256" s="11" t="str">
        <f>IF($A256="","",_xlfn.LET(_xlpm.t,MATCH($B256,'[1]Territory Definitions'!$B$5:$B$14,0),IF(ISNA(_xlpm.t),"NO TERRITORY",IF(INDEX('[1]Territory Definitions'!$D$5:$M$14,_xlpm.t,MATCH(F$4,'[1]Territory Definitions'!$D$4:$M$4,0))&lt;&gt;1,"NOT IN TERRITORY",IF(COUNTIFS('[1]Blackout Brand Fam Areas (Enc)'!$B$6:$B$998,$A256,'[1]Blackout Brand Fam Areas (Enc)'!$C$6:$C$998,F$4,'[1]Blackout Brand Fam Areas (Enc)'!$D$6:$D$998,"Inactive")&gt;0,"BLOCKED","CAN SELL")))))</f>
        <v>CAN SELL</v>
      </c>
      <c r="G256" s="11" t="str">
        <f>IF($A256="","",_xlfn.LET(_xlpm.t,MATCH($B256,'[1]Territory Definitions'!$B$5:$B$14,0),IF(ISNA(_xlpm.t),"NO TERRITORY",IF(INDEX('[1]Territory Definitions'!$D$5:$M$14,_xlpm.t,MATCH(G$4,'[1]Territory Definitions'!$D$4:$M$4,0))&lt;&gt;1,"NOT IN TERRITORY",IF(COUNTIFS('[1]Blackout Brand Fam Areas (Enc)'!$B$6:$B$998,$A256,'[1]Blackout Brand Fam Areas (Enc)'!$C$6:$C$998,G$4,'[1]Blackout Brand Fam Areas (Enc)'!$D$6:$D$998,"Inactive")&gt;0,"BLOCKED","CAN SELL")))))</f>
        <v>CAN SELL</v>
      </c>
      <c r="H256" s="11" t="str">
        <f>IF($A256="","",_xlfn.LET(_xlpm.t,MATCH($B256,'[1]Territory Definitions'!$B$5:$B$14,0),IF(ISNA(_xlpm.t),"NO TERRITORY",IF(INDEX('[1]Territory Definitions'!$D$5:$M$14,_xlpm.t,MATCH(H$4,'[1]Territory Definitions'!$D$4:$M$4,0))&lt;&gt;1,"NOT IN TERRITORY",IF(COUNTIFS('[1]Blackout Brand Fam Areas (Enc)'!$B$6:$B$998,$A256,'[1]Blackout Brand Fam Areas (Enc)'!$C$6:$C$998,H$4,'[1]Blackout Brand Fam Areas (Enc)'!$D$6:$D$998,"Inactive")&gt;0,"BLOCKED","CAN SELL")))))</f>
        <v>NOT IN TERRITORY</v>
      </c>
      <c r="I256" s="11" t="str">
        <f>IF($A256="","",_xlfn.LET(_xlpm.t,MATCH($B256,'[1]Territory Definitions'!$B$5:$B$14,0),IF(ISNA(_xlpm.t),"NO TERRITORY",IF(INDEX('[1]Territory Definitions'!$D$5:$M$14,_xlpm.t,MATCH(I$4,'[1]Territory Definitions'!$D$4:$M$4,0))&lt;&gt;1,"NOT IN TERRITORY",IF(COUNTIFS('[1]Blackout Brand Fam Areas (Enc)'!$B$6:$B$998,$A256,'[1]Blackout Brand Fam Areas (Enc)'!$C$6:$C$998,I$4,'[1]Blackout Brand Fam Areas (Enc)'!$D$6:$D$998,"Inactive")&gt;0,"BLOCKED","CAN SELL")))))</f>
        <v>NOT IN TERRITORY</v>
      </c>
      <c r="J256" s="11" t="str">
        <f>IF($A256="","",_xlfn.LET(_xlpm.t,MATCH($B256,'[1]Territory Definitions'!$B$5:$B$14,0),IF(ISNA(_xlpm.t),"NO TERRITORY",IF(INDEX('[1]Territory Definitions'!$D$5:$M$14,_xlpm.t,MATCH(J$4,'[1]Territory Definitions'!$D$4:$M$4,0))&lt;&gt;1,"NOT IN TERRITORY",IF(COUNTIFS('[1]Blackout Brand Fam Areas (Enc)'!$B$6:$B$998,$A256,'[1]Blackout Brand Fam Areas (Enc)'!$C$6:$C$998,J$4,'[1]Blackout Brand Fam Areas (Enc)'!$D$6:$D$998,"Inactive")&gt;0,"BLOCKED","CAN SELL")))))</f>
        <v>NOT IN TERRITORY</v>
      </c>
      <c r="K256" s="11" t="str">
        <f>IF($A256="","",_xlfn.LET(_xlpm.t,MATCH($B256,'[1]Territory Definitions'!$B$5:$B$14,0),IF(ISNA(_xlpm.t),"NO TERRITORY",IF(INDEX('[1]Territory Definitions'!$D$5:$M$14,_xlpm.t,MATCH(K$4,'[1]Territory Definitions'!$D$4:$M$4,0))&lt;&gt;1,"NOT IN TERRITORY",IF(COUNTIFS('[1]Blackout Brand Fam Areas (Enc)'!$B$6:$B$998,$A256,'[1]Blackout Brand Fam Areas (Enc)'!$C$6:$C$998,K$4,'[1]Blackout Brand Fam Areas (Enc)'!$D$6:$D$998,"Inactive")&gt;0,"BLOCKED","CAN SELL")))))</f>
        <v>NOT IN TERRITORY</v>
      </c>
      <c r="L256" s="11" t="str">
        <f>IF($A256="","",_xlfn.LET(_xlpm.t,MATCH($B256,'[1]Territory Definitions'!$B$5:$B$14,0),IF(ISNA(_xlpm.t),"NO TERRITORY",IF(INDEX('[1]Territory Definitions'!$D$5:$M$14,_xlpm.t,MATCH(L$4,'[1]Territory Definitions'!$D$4:$M$4,0))&lt;&gt;1,"NOT IN TERRITORY",IF(COUNTIFS('[1]Blackout Brand Fam Areas (Enc)'!$B$6:$B$998,$A256,'[1]Blackout Brand Fam Areas (Enc)'!$C$6:$C$998,L$4,'[1]Blackout Brand Fam Areas (Enc)'!$D$6:$D$998,"Inactive")&gt;0,"BLOCKED","CAN SELL")))))</f>
        <v>NOT IN TERRITORY</v>
      </c>
      <c r="M256" s="12">
        <f>IF($A256="","",COUNTIF($C256:$L256,"CAN SELL"))</f>
        <v>5</v>
      </c>
      <c r="N256" s="13" cm="1">
        <f t="array" ref="N256">IF($A256="","",SUMPRODUCT(($C256:$L256="CAN SELL")*$C$3:$L$3))</f>
        <v>1859</v>
      </c>
      <c r="O256" s="14" t="str">
        <f>IF($A256="","",IF(COUNTIF($A$5:$A$299,$A256)&gt;1,"DUPLICATE - two different territories assigned",IF($B256="** NO TERRITORY SET **","No territory on Brand Family Territory (Enc)","")))</f>
        <v/>
      </c>
      <c r="P256" s="18" t="str">
        <f>IF($A256="","",IFERROR(INDEX([1]Products!$H$4:$H$4801,MATCH($A256,[1]Products!$G$4:$G$4801,0)),"(no products)"))</f>
        <v>Southern Tier Distilling Company</v>
      </c>
      <c r="Q256" s="19">
        <f>IF($A256="","",COUNTIFS([1]Products!$G$4:$G$4801,$A256,[1]Products!$L$4:$L$4801,"Yes"))</f>
        <v>12</v>
      </c>
      <c r="R256" s="19">
        <f>IF($A256="","",COUNTIFS([1]Products!$G$4:$G$4801,$A256,[1]Products!$L$4:$L$4801,"Yes",[1]Products!$K$4:$K$4801,"Draft"))</f>
        <v>0</v>
      </c>
      <c r="S256" s="19">
        <f>IF($A256="","",COUNTIFS([1]Products!$G$4:$G$4801,$A256,[1]Products!$L$4:$L$4801,"Yes",[1]Products!$K$4:$K$4801,"Package"))</f>
        <v>1</v>
      </c>
      <c r="T256" s="20" t="str" cm="1">
        <f t="array" ref="T256">IF($A256="","",_xlfn.IFS($Q256=0,"NO ACTIVE SKUs",AND($R256&gt;0,$S256&gt;0),"Draft &amp; Package",$R256&gt;0,"Draft only",TRUE,"Package only"))</f>
        <v>Package only</v>
      </c>
    </row>
    <row r="257" spans="1:20" x14ac:dyDescent="0.2">
      <c r="A257" s="9" t="str">
        <v>St Ides</v>
      </c>
      <c r="B257" s="10" t="str">
        <f>IF($A257="","",_xlfn.XLOOKUP($A257,'[1]Brand Family Territory (Enc)'!$A:$A,'[1]Brand Family Territory (Enc)'!$B:$B,"** NO TERRITORY SET **"))</f>
        <v>All Counties</v>
      </c>
      <c r="C257" s="11" t="str">
        <f>IF($A257="","",_xlfn.LET(_xlpm.t,MATCH($B257,'[1]Territory Definitions'!$B$5:$B$14,0),IF(ISNA(_xlpm.t),"NO TERRITORY",IF(INDEX('[1]Territory Definitions'!$D$5:$M$14,_xlpm.t,MATCH(C$4,'[1]Territory Definitions'!$D$4:$M$4,0))&lt;&gt;1,"NOT IN TERRITORY",IF(COUNTIFS('[1]Blackout Brand Fam Areas (Enc)'!$B$6:$B$998,$A257,'[1]Blackout Brand Fam Areas (Enc)'!$C$6:$C$998,C$4,'[1]Blackout Brand Fam Areas (Enc)'!$D$6:$D$998,"Inactive")&gt;0,"BLOCKED","CAN SELL")))))</f>
        <v>CAN SELL</v>
      </c>
      <c r="D257" s="11" t="str">
        <f>IF($A257="","",_xlfn.LET(_xlpm.t,MATCH($B257,'[1]Territory Definitions'!$B$5:$B$14,0),IF(ISNA(_xlpm.t),"NO TERRITORY",IF(INDEX('[1]Territory Definitions'!$D$5:$M$14,_xlpm.t,MATCH(D$4,'[1]Territory Definitions'!$D$4:$M$4,0))&lt;&gt;1,"NOT IN TERRITORY",IF(COUNTIFS('[1]Blackout Brand Fam Areas (Enc)'!$B$6:$B$998,$A257,'[1]Blackout Brand Fam Areas (Enc)'!$C$6:$C$998,D$4,'[1]Blackout Brand Fam Areas (Enc)'!$D$6:$D$998,"Inactive")&gt;0,"BLOCKED","CAN SELL")))))</f>
        <v>CAN SELL</v>
      </c>
      <c r="E257" s="11" t="str">
        <f>IF($A257="","",_xlfn.LET(_xlpm.t,MATCH($B257,'[1]Territory Definitions'!$B$5:$B$14,0),IF(ISNA(_xlpm.t),"NO TERRITORY",IF(INDEX('[1]Territory Definitions'!$D$5:$M$14,_xlpm.t,MATCH(E$4,'[1]Territory Definitions'!$D$4:$M$4,0))&lt;&gt;1,"NOT IN TERRITORY",IF(COUNTIFS('[1]Blackout Brand Fam Areas (Enc)'!$B$6:$B$998,$A257,'[1]Blackout Brand Fam Areas (Enc)'!$C$6:$C$998,E$4,'[1]Blackout Brand Fam Areas (Enc)'!$D$6:$D$998,"Inactive")&gt;0,"BLOCKED","CAN SELL")))))</f>
        <v>CAN SELL</v>
      </c>
      <c r="F257" s="11" t="str">
        <f>IF($A257="","",_xlfn.LET(_xlpm.t,MATCH($B257,'[1]Territory Definitions'!$B$5:$B$14,0),IF(ISNA(_xlpm.t),"NO TERRITORY",IF(INDEX('[1]Territory Definitions'!$D$5:$M$14,_xlpm.t,MATCH(F$4,'[1]Territory Definitions'!$D$4:$M$4,0))&lt;&gt;1,"NOT IN TERRITORY",IF(COUNTIFS('[1]Blackout Brand Fam Areas (Enc)'!$B$6:$B$998,$A257,'[1]Blackout Brand Fam Areas (Enc)'!$C$6:$C$998,F$4,'[1]Blackout Brand Fam Areas (Enc)'!$D$6:$D$998,"Inactive")&gt;0,"BLOCKED","CAN SELL")))))</f>
        <v>CAN SELL</v>
      </c>
      <c r="G257" s="11" t="str">
        <f>IF($A257="","",_xlfn.LET(_xlpm.t,MATCH($B257,'[1]Territory Definitions'!$B$5:$B$14,0),IF(ISNA(_xlpm.t),"NO TERRITORY",IF(INDEX('[1]Territory Definitions'!$D$5:$M$14,_xlpm.t,MATCH(G$4,'[1]Territory Definitions'!$D$4:$M$4,0))&lt;&gt;1,"NOT IN TERRITORY",IF(COUNTIFS('[1]Blackout Brand Fam Areas (Enc)'!$B$6:$B$998,$A257,'[1]Blackout Brand Fam Areas (Enc)'!$C$6:$C$998,G$4,'[1]Blackout Brand Fam Areas (Enc)'!$D$6:$D$998,"Inactive")&gt;0,"BLOCKED","CAN SELL")))))</f>
        <v>CAN SELL</v>
      </c>
      <c r="H257" s="11" t="str">
        <f>IF($A257="","",_xlfn.LET(_xlpm.t,MATCH($B257,'[1]Territory Definitions'!$B$5:$B$14,0),IF(ISNA(_xlpm.t),"NO TERRITORY",IF(INDEX('[1]Territory Definitions'!$D$5:$M$14,_xlpm.t,MATCH(H$4,'[1]Territory Definitions'!$D$4:$M$4,0))&lt;&gt;1,"NOT IN TERRITORY",IF(COUNTIFS('[1]Blackout Brand Fam Areas (Enc)'!$B$6:$B$998,$A257,'[1]Blackout Brand Fam Areas (Enc)'!$C$6:$C$998,H$4,'[1]Blackout Brand Fam Areas (Enc)'!$D$6:$D$998,"Inactive")&gt;0,"BLOCKED","CAN SELL")))))</f>
        <v>CAN SELL</v>
      </c>
      <c r="I257" s="11" t="str">
        <f>IF($A257="","",_xlfn.LET(_xlpm.t,MATCH($B257,'[1]Territory Definitions'!$B$5:$B$14,0),IF(ISNA(_xlpm.t),"NO TERRITORY",IF(INDEX('[1]Territory Definitions'!$D$5:$M$14,_xlpm.t,MATCH(I$4,'[1]Territory Definitions'!$D$4:$M$4,0))&lt;&gt;1,"NOT IN TERRITORY",IF(COUNTIFS('[1]Blackout Brand Fam Areas (Enc)'!$B$6:$B$998,$A257,'[1]Blackout Brand Fam Areas (Enc)'!$C$6:$C$998,I$4,'[1]Blackout Brand Fam Areas (Enc)'!$D$6:$D$998,"Inactive")&gt;0,"BLOCKED","CAN SELL")))))</f>
        <v>CAN SELL</v>
      </c>
      <c r="J257" s="11" t="str">
        <f>IF($A257="","",_xlfn.LET(_xlpm.t,MATCH($B257,'[1]Territory Definitions'!$B$5:$B$14,0),IF(ISNA(_xlpm.t),"NO TERRITORY",IF(INDEX('[1]Territory Definitions'!$D$5:$M$14,_xlpm.t,MATCH(J$4,'[1]Territory Definitions'!$D$4:$M$4,0))&lt;&gt;1,"NOT IN TERRITORY",IF(COUNTIFS('[1]Blackout Brand Fam Areas (Enc)'!$B$6:$B$998,$A257,'[1]Blackout Brand Fam Areas (Enc)'!$C$6:$C$998,J$4,'[1]Blackout Brand Fam Areas (Enc)'!$D$6:$D$998,"Inactive")&gt;0,"BLOCKED","CAN SELL")))))</f>
        <v>CAN SELL</v>
      </c>
      <c r="K257" s="11" t="str">
        <f>IF($A257="","",_xlfn.LET(_xlpm.t,MATCH($B257,'[1]Territory Definitions'!$B$5:$B$14,0),IF(ISNA(_xlpm.t),"NO TERRITORY",IF(INDEX('[1]Territory Definitions'!$D$5:$M$14,_xlpm.t,MATCH(K$4,'[1]Territory Definitions'!$D$4:$M$4,0))&lt;&gt;1,"NOT IN TERRITORY",IF(COUNTIFS('[1]Blackout Brand Fam Areas (Enc)'!$B$6:$B$998,$A257,'[1]Blackout Brand Fam Areas (Enc)'!$C$6:$C$998,K$4,'[1]Blackout Brand Fam Areas (Enc)'!$D$6:$D$998,"Inactive")&gt;0,"BLOCKED","CAN SELL")))))</f>
        <v>CAN SELL</v>
      </c>
      <c r="L257" s="11" t="str">
        <f>IF($A257="","",_xlfn.LET(_xlpm.t,MATCH($B257,'[1]Territory Definitions'!$B$5:$B$14,0),IF(ISNA(_xlpm.t),"NO TERRITORY",IF(INDEX('[1]Territory Definitions'!$D$5:$M$14,_xlpm.t,MATCH(L$4,'[1]Territory Definitions'!$D$4:$M$4,0))&lt;&gt;1,"NOT IN TERRITORY",IF(COUNTIFS('[1]Blackout Brand Fam Areas (Enc)'!$B$6:$B$998,$A257,'[1]Blackout Brand Fam Areas (Enc)'!$C$6:$C$998,L$4,'[1]Blackout Brand Fam Areas (Enc)'!$D$6:$D$998,"Inactive")&gt;0,"BLOCKED","CAN SELL")))))</f>
        <v>CAN SELL</v>
      </c>
      <c r="M257" s="12">
        <f>IF($A257="","",COUNTIF($C257:$L257,"CAN SELL"))</f>
        <v>10</v>
      </c>
      <c r="N257" s="13" cm="1">
        <f t="array" ref="N257">IF($A257="","",SUMPRODUCT(($C257:$L257="CAN SELL")*$C$3:$L$3))</f>
        <v>2306</v>
      </c>
      <c r="O257" s="14" t="str">
        <f>IF($A257="","",IF(COUNTIF($A$5:$A$299,$A257)&gt;1,"DUPLICATE - two different territories assigned",IF($B257="** NO TERRITORY SET **","No territory on Brand Family Territory (Enc)","")))</f>
        <v/>
      </c>
      <c r="P257" s="18" t="str">
        <f>IF($A257="","",IFERROR(INDEX([1]Products!$H$4:$H$4801,MATCH($A257,[1]Products!$G$4:$G$4801,0)),"(no products)"))</f>
        <v>Pabst Brewing Company</v>
      </c>
      <c r="Q257" s="19">
        <f>IF($A257="","",COUNTIFS([1]Products!$G$4:$G$4801,$A257,[1]Products!$L$4:$L$4801,"Yes"))</f>
        <v>3</v>
      </c>
      <c r="R257" s="19">
        <f>IF($A257="","",COUNTIFS([1]Products!$G$4:$G$4801,$A257,[1]Products!$L$4:$L$4801,"Yes",[1]Products!$K$4:$K$4801,"Draft"))</f>
        <v>0</v>
      </c>
      <c r="S257" s="19">
        <f>IF($A257="","",COUNTIFS([1]Products!$G$4:$G$4801,$A257,[1]Products!$L$4:$L$4801,"Yes",[1]Products!$K$4:$K$4801,"Package"))</f>
        <v>3</v>
      </c>
      <c r="T257" s="20" t="str" cm="1">
        <f t="array" ref="T257">IF($A257="","",_xlfn.IFS($Q257=0,"NO ACTIVE SKUs",AND($R257&gt;0,$S257&gt;0),"Draft &amp; Package",$R257&gt;0,"Draft only",TRUE,"Package only"))</f>
        <v>Package only</v>
      </c>
    </row>
    <row r="258" spans="1:20" x14ac:dyDescent="0.2">
      <c r="A258" s="9" t="str">
        <v>Steel Reserve</v>
      </c>
      <c r="B258" s="10" t="str">
        <f>IF($A258="","",_xlfn.XLOOKUP($A258,'[1]Brand Family Territory (Enc)'!$A:$A,'[1]Brand Family Territory (Enc)'!$B:$B,"** NO TERRITORY SET **"))</f>
        <v>Core Market</v>
      </c>
      <c r="C258" s="11" t="str">
        <f>IF($A258="","",_xlfn.LET(_xlpm.t,MATCH($B258,'[1]Territory Definitions'!$B$5:$B$14,0),IF(ISNA(_xlpm.t),"NO TERRITORY",IF(INDEX('[1]Territory Definitions'!$D$5:$M$14,_xlpm.t,MATCH(C$4,'[1]Territory Definitions'!$D$4:$M$4,0))&lt;&gt;1,"NOT IN TERRITORY",IF(COUNTIFS('[1]Blackout Brand Fam Areas (Enc)'!$B$6:$B$998,$A258,'[1]Blackout Brand Fam Areas (Enc)'!$C$6:$C$998,C$4,'[1]Blackout Brand Fam Areas (Enc)'!$D$6:$D$998,"Inactive")&gt;0,"BLOCKED","CAN SELL")))))</f>
        <v>CAN SELL</v>
      </c>
      <c r="D258" s="11" t="str">
        <f>IF($A258="","",_xlfn.LET(_xlpm.t,MATCH($B258,'[1]Territory Definitions'!$B$5:$B$14,0),IF(ISNA(_xlpm.t),"NO TERRITORY",IF(INDEX('[1]Territory Definitions'!$D$5:$M$14,_xlpm.t,MATCH(D$4,'[1]Territory Definitions'!$D$4:$M$4,0))&lt;&gt;1,"NOT IN TERRITORY",IF(COUNTIFS('[1]Blackout Brand Fam Areas (Enc)'!$B$6:$B$998,$A258,'[1]Blackout Brand Fam Areas (Enc)'!$C$6:$C$998,D$4,'[1]Blackout Brand Fam Areas (Enc)'!$D$6:$D$998,"Inactive")&gt;0,"BLOCKED","CAN SELL")))))</f>
        <v>CAN SELL</v>
      </c>
      <c r="E258" s="11" t="str">
        <f>IF($A258="","",_xlfn.LET(_xlpm.t,MATCH($B258,'[1]Territory Definitions'!$B$5:$B$14,0),IF(ISNA(_xlpm.t),"NO TERRITORY",IF(INDEX('[1]Territory Definitions'!$D$5:$M$14,_xlpm.t,MATCH(E$4,'[1]Territory Definitions'!$D$4:$M$4,0))&lt;&gt;1,"NOT IN TERRITORY",IF(COUNTIFS('[1]Blackout Brand Fam Areas (Enc)'!$B$6:$B$998,$A258,'[1]Blackout Brand Fam Areas (Enc)'!$C$6:$C$998,E$4,'[1]Blackout Brand Fam Areas (Enc)'!$D$6:$D$998,"Inactive")&gt;0,"BLOCKED","CAN SELL")))))</f>
        <v>CAN SELL</v>
      </c>
      <c r="F258" s="11" t="str">
        <f>IF($A258="","",_xlfn.LET(_xlpm.t,MATCH($B258,'[1]Territory Definitions'!$B$5:$B$14,0),IF(ISNA(_xlpm.t),"NO TERRITORY",IF(INDEX('[1]Territory Definitions'!$D$5:$M$14,_xlpm.t,MATCH(F$4,'[1]Territory Definitions'!$D$4:$M$4,0))&lt;&gt;1,"NOT IN TERRITORY",IF(COUNTIFS('[1]Blackout Brand Fam Areas (Enc)'!$B$6:$B$998,$A258,'[1]Blackout Brand Fam Areas (Enc)'!$C$6:$C$998,F$4,'[1]Blackout Brand Fam Areas (Enc)'!$D$6:$D$998,"Inactive")&gt;0,"BLOCKED","CAN SELL")))))</f>
        <v>NOT IN TERRITORY</v>
      </c>
      <c r="G258" s="11" t="str">
        <f>IF($A258="","",_xlfn.LET(_xlpm.t,MATCH($B258,'[1]Territory Definitions'!$B$5:$B$14,0),IF(ISNA(_xlpm.t),"NO TERRITORY",IF(INDEX('[1]Territory Definitions'!$D$5:$M$14,_xlpm.t,MATCH(G$4,'[1]Territory Definitions'!$D$4:$M$4,0))&lt;&gt;1,"NOT IN TERRITORY",IF(COUNTIFS('[1]Blackout Brand Fam Areas (Enc)'!$B$6:$B$998,$A258,'[1]Blackout Brand Fam Areas (Enc)'!$C$6:$C$998,G$4,'[1]Blackout Brand Fam Areas (Enc)'!$D$6:$D$998,"Inactive")&gt;0,"BLOCKED","CAN SELL")))))</f>
        <v>NOT IN TERRITORY</v>
      </c>
      <c r="H258" s="11" t="str">
        <f>IF($A258="","",_xlfn.LET(_xlpm.t,MATCH($B258,'[1]Territory Definitions'!$B$5:$B$14,0),IF(ISNA(_xlpm.t),"NO TERRITORY",IF(INDEX('[1]Territory Definitions'!$D$5:$M$14,_xlpm.t,MATCH(H$4,'[1]Territory Definitions'!$D$4:$M$4,0))&lt;&gt;1,"NOT IN TERRITORY",IF(COUNTIFS('[1]Blackout Brand Fam Areas (Enc)'!$B$6:$B$998,$A258,'[1]Blackout Brand Fam Areas (Enc)'!$C$6:$C$998,H$4,'[1]Blackout Brand Fam Areas (Enc)'!$D$6:$D$998,"Inactive")&gt;0,"BLOCKED","CAN SELL")))))</f>
        <v>NOT IN TERRITORY</v>
      </c>
      <c r="I258" s="11" t="str">
        <f>IF($A258="","",_xlfn.LET(_xlpm.t,MATCH($B258,'[1]Territory Definitions'!$B$5:$B$14,0),IF(ISNA(_xlpm.t),"NO TERRITORY",IF(INDEX('[1]Territory Definitions'!$D$5:$M$14,_xlpm.t,MATCH(I$4,'[1]Territory Definitions'!$D$4:$M$4,0))&lt;&gt;1,"NOT IN TERRITORY",IF(COUNTIFS('[1]Blackout Brand Fam Areas (Enc)'!$B$6:$B$998,$A258,'[1]Blackout Brand Fam Areas (Enc)'!$C$6:$C$998,I$4,'[1]Blackout Brand Fam Areas (Enc)'!$D$6:$D$998,"Inactive")&gt;0,"BLOCKED","CAN SELL")))))</f>
        <v>CAN SELL</v>
      </c>
      <c r="J258" s="11" t="str">
        <f>IF($A258="","",_xlfn.LET(_xlpm.t,MATCH($B258,'[1]Territory Definitions'!$B$5:$B$14,0),IF(ISNA(_xlpm.t),"NO TERRITORY",IF(INDEX('[1]Territory Definitions'!$D$5:$M$14,_xlpm.t,MATCH(J$4,'[1]Territory Definitions'!$D$4:$M$4,0))&lt;&gt;1,"NOT IN TERRITORY",IF(COUNTIFS('[1]Blackout Brand Fam Areas (Enc)'!$B$6:$B$998,$A258,'[1]Blackout Brand Fam Areas (Enc)'!$C$6:$C$998,J$4,'[1]Blackout Brand Fam Areas (Enc)'!$D$6:$D$998,"Inactive")&gt;0,"BLOCKED","CAN SELL")))))</f>
        <v>CAN SELL</v>
      </c>
      <c r="K258" s="11" t="str">
        <f>IF($A258="","",_xlfn.LET(_xlpm.t,MATCH($B258,'[1]Territory Definitions'!$B$5:$B$14,0),IF(ISNA(_xlpm.t),"NO TERRITORY",IF(INDEX('[1]Territory Definitions'!$D$5:$M$14,_xlpm.t,MATCH(K$4,'[1]Territory Definitions'!$D$4:$M$4,0))&lt;&gt;1,"NOT IN TERRITORY",IF(COUNTIFS('[1]Blackout Brand Fam Areas (Enc)'!$B$6:$B$998,$A258,'[1]Blackout Brand Fam Areas (Enc)'!$C$6:$C$998,K$4,'[1]Blackout Brand Fam Areas (Enc)'!$D$6:$D$998,"Inactive")&gt;0,"BLOCKED","CAN SELL")))))</f>
        <v>NOT IN TERRITORY</v>
      </c>
      <c r="L258" s="11" t="str">
        <f>IF($A258="","",_xlfn.LET(_xlpm.t,MATCH($B258,'[1]Territory Definitions'!$B$5:$B$14,0),IF(ISNA(_xlpm.t),"NO TERRITORY",IF(INDEX('[1]Territory Definitions'!$D$5:$M$14,_xlpm.t,MATCH(L$4,'[1]Territory Definitions'!$D$4:$M$4,0))&lt;&gt;1,"NOT IN TERRITORY",IF(COUNTIFS('[1]Blackout Brand Fam Areas (Enc)'!$B$6:$B$998,$A258,'[1]Blackout Brand Fam Areas (Enc)'!$C$6:$C$998,L$4,'[1]Blackout Brand Fam Areas (Enc)'!$D$6:$D$998,"Inactive")&gt;0,"BLOCKED","CAN SELL")))))</f>
        <v>CAN SELL</v>
      </c>
      <c r="M258" s="12">
        <f>IF($A258="","",COUNTIF($C258:$L258,"CAN SELL"))</f>
        <v>6</v>
      </c>
      <c r="N258" s="13" cm="1">
        <f t="array" ref="N258">IF($A258="","",SUMPRODUCT(($C258:$L258="CAN SELL")*$C$3:$L$3))</f>
        <v>1596</v>
      </c>
      <c r="O258" s="14" t="str">
        <f>IF($A258="","",IF(COUNTIF($A$5:$A$299,$A258)&gt;1,"DUPLICATE - two different territories assigned",IF($B258="** NO TERRITORY SET **","No territory on Brand Family Territory (Enc)","")))</f>
        <v/>
      </c>
      <c r="P258" s="18" t="str">
        <f>IF($A258="","",IFERROR(INDEX([1]Products!$H$4:$H$4801,MATCH($A258,[1]Products!$G$4:$G$4801,0)),"(no products)"))</f>
        <v>MolsonCoors Beverage Company</v>
      </c>
      <c r="Q258" s="19">
        <f>IF($A258="","",COUNTIFS([1]Products!$G$4:$G$4801,$A258,[1]Products!$L$4:$L$4801,"Yes"))</f>
        <v>4</v>
      </c>
      <c r="R258" s="19">
        <f>IF($A258="","",COUNTIFS([1]Products!$G$4:$G$4801,$A258,[1]Products!$L$4:$L$4801,"Yes",[1]Products!$K$4:$K$4801,"Draft"))</f>
        <v>0</v>
      </c>
      <c r="S258" s="19">
        <f>IF($A258="","",COUNTIFS([1]Products!$G$4:$G$4801,$A258,[1]Products!$L$4:$L$4801,"Yes",[1]Products!$K$4:$K$4801,"Package"))</f>
        <v>4</v>
      </c>
      <c r="T258" s="20" t="str" cm="1">
        <f t="array" ref="T258">IF($A258="","",_xlfn.IFS($Q258=0,"NO ACTIVE SKUs",AND($R258&gt;0,$S258&gt;0),"Draft &amp; Package",$R258&gt;0,"Draft only",TRUE,"Package only"))</f>
        <v>Package only</v>
      </c>
    </row>
    <row r="259" spans="1:20" x14ac:dyDescent="0.2">
      <c r="A259" s="9" t="str">
        <v>Steel Reserve Alloy Series</v>
      </c>
      <c r="B259" s="10" t="str">
        <f>IF($A259="","",_xlfn.XLOOKUP($A259,'[1]Brand Family Territory (Enc)'!$A:$A,'[1]Brand Family Territory (Enc)'!$B:$B,"** NO TERRITORY SET **"))</f>
        <v>Core Market</v>
      </c>
      <c r="C259" s="11" t="str">
        <f>IF($A259="","",_xlfn.LET(_xlpm.t,MATCH($B259,'[1]Territory Definitions'!$B$5:$B$14,0),IF(ISNA(_xlpm.t),"NO TERRITORY",IF(INDEX('[1]Territory Definitions'!$D$5:$M$14,_xlpm.t,MATCH(C$4,'[1]Territory Definitions'!$D$4:$M$4,0))&lt;&gt;1,"NOT IN TERRITORY",IF(COUNTIFS('[1]Blackout Brand Fam Areas (Enc)'!$B$6:$B$998,$A259,'[1]Blackout Brand Fam Areas (Enc)'!$C$6:$C$998,C$4,'[1]Blackout Brand Fam Areas (Enc)'!$D$6:$D$998,"Inactive")&gt;0,"BLOCKED","CAN SELL")))))</f>
        <v>CAN SELL</v>
      </c>
      <c r="D259" s="11" t="str">
        <f>IF($A259="","",_xlfn.LET(_xlpm.t,MATCH($B259,'[1]Territory Definitions'!$B$5:$B$14,0),IF(ISNA(_xlpm.t),"NO TERRITORY",IF(INDEX('[1]Territory Definitions'!$D$5:$M$14,_xlpm.t,MATCH(D$4,'[1]Territory Definitions'!$D$4:$M$4,0))&lt;&gt;1,"NOT IN TERRITORY",IF(COUNTIFS('[1]Blackout Brand Fam Areas (Enc)'!$B$6:$B$998,$A259,'[1]Blackout Brand Fam Areas (Enc)'!$C$6:$C$998,D$4,'[1]Blackout Brand Fam Areas (Enc)'!$D$6:$D$998,"Inactive")&gt;0,"BLOCKED","CAN SELL")))))</f>
        <v>CAN SELL</v>
      </c>
      <c r="E259" s="11" t="str">
        <f>IF($A259="","",_xlfn.LET(_xlpm.t,MATCH($B259,'[1]Territory Definitions'!$B$5:$B$14,0),IF(ISNA(_xlpm.t),"NO TERRITORY",IF(INDEX('[1]Territory Definitions'!$D$5:$M$14,_xlpm.t,MATCH(E$4,'[1]Territory Definitions'!$D$4:$M$4,0))&lt;&gt;1,"NOT IN TERRITORY",IF(COUNTIFS('[1]Blackout Brand Fam Areas (Enc)'!$B$6:$B$998,$A259,'[1]Blackout Brand Fam Areas (Enc)'!$C$6:$C$998,E$4,'[1]Blackout Brand Fam Areas (Enc)'!$D$6:$D$998,"Inactive")&gt;0,"BLOCKED","CAN SELL")))))</f>
        <v>CAN SELL</v>
      </c>
      <c r="F259" s="11" t="str">
        <f>IF($A259="","",_xlfn.LET(_xlpm.t,MATCH($B259,'[1]Territory Definitions'!$B$5:$B$14,0),IF(ISNA(_xlpm.t),"NO TERRITORY",IF(INDEX('[1]Territory Definitions'!$D$5:$M$14,_xlpm.t,MATCH(F$4,'[1]Territory Definitions'!$D$4:$M$4,0))&lt;&gt;1,"NOT IN TERRITORY",IF(COUNTIFS('[1]Blackout Brand Fam Areas (Enc)'!$B$6:$B$998,$A259,'[1]Blackout Brand Fam Areas (Enc)'!$C$6:$C$998,F$4,'[1]Blackout Brand Fam Areas (Enc)'!$D$6:$D$998,"Inactive")&gt;0,"BLOCKED","CAN SELL")))))</f>
        <v>NOT IN TERRITORY</v>
      </c>
      <c r="G259" s="11" t="str">
        <f>IF($A259="","",_xlfn.LET(_xlpm.t,MATCH($B259,'[1]Territory Definitions'!$B$5:$B$14,0),IF(ISNA(_xlpm.t),"NO TERRITORY",IF(INDEX('[1]Territory Definitions'!$D$5:$M$14,_xlpm.t,MATCH(G$4,'[1]Territory Definitions'!$D$4:$M$4,0))&lt;&gt;1,"NOT IN TERRITORY",IF(COUNTIFS('[1]Blackout Brand Fam Areas (Enc)'!$B$6:$B$998,$A259,'[1]Blackout Brand Fam Areas (Enc)'!$C$6:$C$998,G$4,'[1]Blackout Brand Fam Areas (Enc)'!$D$6:$D$998,"Inactive")&gt;0,"BLOCKED","CAN SELL")))))</f>
        <v>NOT IN TERRITORY</v>
      </c>
      <c r="H259" s="11" t="str">
        <f>IF($A259="","",_xlfn.LET(_xlpm.t,MATCH($B259,'[1]Territory Definitions'!$B$5:$B$14,0),IF(ISNA(_xlpm.t),"NO TERRITORY",IF(INDEX('[1]Territory Definitions'!$D$5:$M$14,_xlpm.t,MATCH(H$4,'[1]Territory Definitions'!$D$4:$M$4,0))&lt;&gt;1,"NOT IN TERRITORY",IF(COUNTIFS('[1]Blackout Brand Fam Areas (Enc)'!$B$6:$B$998,$A259,'[1]Blackout Brand Fam Areas (Enc)'!$C$6:$C$998,H$4,'[1]Blackout Brand Fam Areas (Enc)'!$D$6:$D$998,"Inactive")&gt;0,"BLOCKED","CAN SELL")))))</f>
        <v>NOT IN TERRITORY</v>
      </c>
      <c r="I259" s="11" t="str">
        <f>IF($A259="","",_xlfn.LET(_xlpm.t,MATCH($B259,'[1]Territory Definitions'!$B$5:$B$14,0),IF(ISNA(_xlpm.t),"NO TERRITORY",IF(INDEX('[1]Territory Definitions'!$D$5:$M$14,_xlpm.t,MATCH(I$4,'[1]Territory Definitions'!$D$4:$M$4,0))&lt;&gt;1,"NOT IN TERRITORY",IF(COUNTIFS('[1]Blackout Brand Fam Areas (Enc)'!$B$6:$B$998,$A259,'[1]Blackout Brand Fam Areas (Enc)'!$C$6:$C$998,I$4,'[1]Blackout Brand Fam Areas (Enc)'!$D$6:$D$998,"Inactive")&gt;0,"BLOCKED","CAN SELL")))))</f>
        <v>CAN SELL</v>
      </c>
      <c r="J259" s="11" t="str">
        <f>IF($A259="","",_xlfn.LET(_xlpm.t,MATCH($B259,'[1]Territory Definitions'!$B$5:$B$14,0),IF(ISNA(_xlpm.t),"NO TERRITORY",IF(INDEX('[1]Territory Definitions'!$D$5:$M$14,_xlpm.t,MATCH(J$4,'[1]Territory Definitions'!$D$4:$M$4,0))&lt;&gt;1,"NOT IN TERRITORY",IF(COUNTIFS('[1]Blackout Brand Fam Areas (Enc)'!$B$6:$B$998,$A259,'[1]Blackout Brand Fam Areas (Enc)'!$C$6:$C$998,J$4,'[1]Blackout Brand Fam Areas (Enc)'!$D$6:$D$998,"Inactive")&gt;0,"BLOCKED","CAN SELL")))))</f>
        <v>CAN SELL</v>
      </c>
      <c r="K259" s="11" t="str">
        <f>IF($A259="","",_xlfn.LET(_xlpm.t,MATCH($B259,'[1]Territory Definitions'!$B$5:$B$14,0),IF(ISNA(_xlpm.t),"NO TERRITORY",IF(INDEX('[1]Territory Definitions'!$D$5:$M$14,_xlpm.t,MATCH(K$4,'[1]Territory Definitions'!$D$4:$M$4,0))&lt;&gt;1,"NOT IN TERRITORY",IF(COUNTIFS('[1]Blackout Brand Fam Areas (Enc)'!$B$6:$B$998,$A259,'[1]Blackout Brand Fam Areas (Enc)'!$C$6:$C$998,K$4,'[1]Blackout Brand Fam Areas (Enc)'!$D$6:$D$998,"Inactive")&gt;0,"BLOCKED","CAN SELL")))))</f>
        <v>NOT IN TERRITORY</v>
      </c>
      <c r="L259" s="11" t="str">
        <f>IF($A259="","",_xlfn.LET(_xlpm.t,MATCH($B259,'[1]Territory Definitions'!$B$5:$B$14,0),IF(ISNA(_xlpm.t),"NO TERRITORY",IF(INDEX('[1]Territory Definitions'!$D$5:$M$14,_xlpm.t,MATCH(L$4,'[1]Territory Definitions'!$D$4:$M$4,0))&lt;&gt;1,"NOT IN TERRITORY",IF(COUNTIFS('[1]Blackout Brand Fam Areas (Enc)'!$B$6:$B$998,$A259,'[1]Blackout Brand Fam Areas (Enc)'!$C$6:$C$998,L$4,'[1]Blackout Brand Fam Areas (Enc)'!$D$6:$D$998,"Inactive")&gt;0,"BLOCKED","CAN SELL")))))</f>
        <v>CAN SELL</v>
      </c>
      <c r="M259" s="12">
        <f>IF($A259="","",COUNTIF($C259:$L259,"CAN SELL"))</f>
        <v>6</v>
      </c>
      <c r="N259" s="13" cm="1">
        <f t="array" ref="N259">IF($A259="","",SUMPRODUCT(($C259:$L259="CAN SELL")*$C$3:$L$3))</f>
        <v>1596</v>
      </c>
      <c r="O259" s="14" t="str">
        <f>IF($A259="","",IF(COUNTIF($A$5:$A$299,$A259)&gt;1,"DUPLICATE - two different territories assigned",IF($B259="** NO TERRITORY SET **","No territory on Brand Family Territory (Enc)","")))</f>
        <v/>
      </c>
      <c r="P259" s="18" t="str">
        <f>IF($A259="","",IFERROR(INDEX([1]Products!$H$4:$H$4801,MATCH($A259,[1]Products!$G$4:$G$4801,0)),"(no products)"))</f>
        <v>MolsonCoors Beverage Company</v>
      </c>
      <c r="Q259" s="19">
        <f>IF($A259="","",COUNTIFS([1]Products!$G$4:$G$4801,$A259,[1]Products!$L$4:$L$4801,"Yes"))</f>
        <v>1</v>
      </c>
      <c r="R259" s="19">
        <f>IF($A259="","",COUNTIFS([1]Products!$G$4:$G$4801,$A259,[1]Products!$L$4:$L$4801,"Yes",[1]Products!$K$4:$K$4801,"Draft"))</f>
        <v>0</v>
      </c>
      <c r="S259" s="19">
        <f>IF($A259="","",COUNTIFS([1]Products!$G$4:$G$4801,$A259,[1]Products!$L$4:$L$4801,"Yes",[1]Products!$K$4:$K$4801,"Package"))</f>
        <v>1</v>
      </c>
      <c r="T259" s="20" t="str" cm="1">
        <f t="array" ref="T259">IF($A259="","",_xlfn.IFS($Q259=0,"NO ACTIVE SKUs",AND($R259&gt;0,$S259&gt;0),"Draft &amp; Package",$R259&gt;0,"Draft only",TRUE,"Package only"))</f>
        <v>Package only</v>
      </c>
    </row>
    <row r="260" spans="1:20" x14ac:dyDescent="0.2">
      <c r="A260" s="9" t="str">
        <v>Stiegl</v>
      </c>
      <c r="B260" s="10" t="str">
        <f>IF($A260="","",_xlfn.XLOOKUP($A260,'[1]Brand Family Territory (Enc)'!$A:$A,'[1]Brand Family Territory (Enc)'!$B:$B,"** NO TERRITORY SET **"))</f>
        <v>All Counties</v>
      </c>
      <c r="C260" s="11" t="str">
        <f>IF($A260="","",_xlfn.LET(_xlpm.t,MATCH($B260,'[1]Territory Definitions'!$B$5:$B$14,0),IF(ISNA(_xlpm.t),"NO TERRITORY",IF(INDEX('[1]Territory Definitions'!$D$5:$M$14,_xlpm.t,MATCH(C$4,'[1]Territory Definitions'!$D$4:$M$4,0))&lt;&gt;1,"NOT IN TERRITORY",IF(COUNTIFS('[1]Blackout Brand Fam Areas (Enc)'!$B$6:$B$998,$A260,'[1]Blackout Brand Fam Areas (Enc)'!$C$6:$C$998,C$4,'[1]Blackout Brand Fam Areas (Enc)'!$D$6:$D$998,"Inactive")&gt;0,"BLOCKED","CAN SELL")))))</f>
        <v>CAN SELL</v>
      </c>
      <c r="D260" s="11" t="str">
        <f>IF($A260="","",_xlfn.LET(_xlpm.t,MATCH($B260,'[1]Territory Definitions'!$B$5:$B$14,0),IF(ISNA(_xlpm.t),"NO TERRITORY",IF(INDEX('[1]Territory Definitions'!$D$5:$M$14,_xlpm.t,MATCH(D$4,'[1]Territory Definitions'!$D$4:$M$4,0))&lt;&gt;1,"NOT IN TERRITORY",IF(COUNTIFS('[1]Blackout Brand Fam Areas (Enc)'!$B$6:$B$998,$A260,'[1]Blackout Brand Fam Areas (Enc)'!$C$6:$C$998,D$4,'[1]Blackout Brand Fam Areas (Enc)'!$D$6:$D$998,"Inactive")&gt;0,"BLOCKED","CAN SELL")))))</f>
        <v>CAN SELL</v>
      </c>
      <c r="E260" s="11" t="str">
        <f>IF($A260="","",_xlfn.LET(_xlpm.t,MATCH($B260,'[1]Territory Definitions'!$B$5:$B$14,0),IF(ISNA(_xlpm.t),"NO TERRITORY",IF(INDEX('[1]Territory Definitions'!$D$5:$M$14,_xlpm.t,MATCH(E$4,'[1]Territory Definitions'!$D$4:$M$4,0))&lt;&gt;1,"NOT IN TERRITORY",IF(COUNTIFS('[1]Blackout Brand Fam Areas (Enc)'!$B$6:$B$998,$A260,'[1]Blackout Brand Fam Areas (Enc)'!$C$6:$C$998,E$4,'[1]Blackout Brand Fam Areas (Enc)'!$D$6:$D$998,"Inactive")&gt;0,"BLOCKED","CAN SELL")))))</f>
        <v>CAN SELL</v>
      </c>
      <c r="F260" s="11" t="str">
        <f>IF($A260="","",_xlfn.LET(_xlpm.t,MATCH($B260,'[1]Territory Definitions'!$B$5:$B$14,0),IF(ISNA(_xlpm.t),"NO TERRITORY",IF(INDEX('[1]Territory Definitions'!$D$5:$M$14,_xlpm.t,MATCH(F$4,'[1]Territory Definitions'!$D$4:$M$4,0))&lt;&gt;1,"NOT IN TERRITORY",IF(COUNTIFS('[1]Blackout Brand Fam Areas (Enc)'!$B$6:$B$998,$A260,'[1]Blackout Brand Fam Areas (Enc)'!$C$6:$C$998,F$4,'[1]Blackout Brand Fam Areas (Enc)'!$D$6:$D$998,"Inactive")&gt;0,"BLOCKED","CAN SELL")))))</f>
        <v>CAN SELL</v>
      </c>
      <c r="G260" s="11" t="str">
        <f>IF($A260="","",_xlfn.LET(_xlpm.t,MATCH($B260,'[1]Territory Definitions'!$B$5:$B$14,0),IF(ISNA(_xlpm.t),"NO TERRITORY",IF(INDEX('[1]Territory Definitions'!$D$5:$M$14,_xlpm.t,MATCH(G$4,'[1]Territory Definitions'!$D$4:$M$4,0))&lt;&gt;1,"NOT IN TERRITORY",IF(COUNTIFS('[1]Blackout Brand Fam Areas (Enc)'!$B$6:$B$998,$A260,'[1]Blackout Brand Fam Areas (Enc)'!$C$6:$C$998,G$4,'[1]Blackout Brand Fam Areas (Enc)'!$D$6:$D$998,"Inactive")&gt;0,"BLOCKED","CAN SELL")))))</f>
        <v>CAN SELL</v>
      </c>
      <c r="H260" s="11" t="str">
        <f>IF($A260="","",_xlfn.LET(_xlpm.t,MATCH($B260,'[1]Territory Definitions'!$B$5:$B$14,0),IF(ISNA(_xlpm.t),"NO TERRITORY",IF(INDEX('[1]Territory Definitions'!$D$5:$M$14,_xlpm.t,MATCH(H$4,'[1]Territory Definitions'!$D$4:$M$4,0))&lt;&gt;1,"NOT IN TERRITORY",IF(COUNTIFS('[1]Blackout Brand Fam Areas (Enc)'!$B$6:$B$998,$A260,'[1]Blackout Brand Fam Areas (Enc)'!$C$6:$C$998,H$4,'[1]Blackout Brand Fam Areas (Enc)'!$D$6:$D$998,"Inactive")&gt;0,"BLOCKED","CAN SELL")))))</f>
        <v>CAN SELL</v>
      </c>
      <c r="I260" s="11" t="str">
        <f>IF($A260="","",_xlfn.LET(_xlpm.t,MATCH($B260,'[1]Territory Definitions'!$B$5:$B$14,0),IF(ISNA(_xlpm.t),"NO TERRITORY",IF(INDEX('[1]Territory Definitions'!$D$5:$M$14,_xlpm.t,MATCH(I$4,'[1]Territory Definitions'!$D$4:$M$4,0))&lt;&gt;1,"NOT IN TERRITORY",IF(COUNTIFS('[1]Blackout Brand Fam Areas (Enc)'!$B$6:$B$998,$A260,'[1]Blackout Brand Fam Areas (Enc)'!$C$6:$C$998,I$4,'[1]Blackout Brand Fam Areas (Enc)'!$D$6:$D$998,"Inactive")&gt;0,"BLOCKED","CAN SELL")))))</f>
        <v>CAN SELL</v>
      </c>
      <c r="J260" s="11" t="str">
        <f>IF($A260="","",_xlfn.LET(_xlpm.t,MATCH($B260,'[1]Territory Definitions'!$B$5:$B$14,0),IF(ISNA(_xlpm.t),"NO TERRITORY",IF(INDEX('[1]Territory Definitions'!$D$5:$M$14,_xlpm.t,MATCH(J$4,'[1]Territory Definitions'!$D$4:$M$4,0))&lt;&gt;1,"NOT IN TERRITORY",IF(COUNTIFS('[1]Blackout Brand Fam Areas (Enc)'!$B$6:$B$998,$A260,'[1]Blackout Brand Fam Areas (Enc)'!$C$6:$C$998,J$4,'[1]Blackout Brand Fam Areas (Enc)'!$D$6:$D$998,"Inactive")&gt;0,"BLOCKED","CAN SELL")))))</f>
        <v>CAN SELL</v>
      </c>
      <c r="K260" s="11" t="str">
        <f>IF($A260="","",_xlfn.LET(_xlpm.t,MATCH($B260,'[1]Territory Definitions'!$B$5:$B$14,0),IF(ISNA(_xlpm.t),"NO TERRITORY",IF(INDEX('[1]Territory Definitions'!$D$5:$M$14,_xlpm.t,MATCH(K$4,'[1]Territory Definitions'!$D$4:$M$4,0))&lt;&gt;1,"NOT IN TERRITORY",IF(COUNTIFS('[1]Blackout Brand Fam Areas (Enc)'!$B$6:$B$998,$A260,'[1]Blackout Brand Fam Areas (Enc)'!$C$6:$C$998,K$4,'[1]Blackout Brand Fam Areas (Enc)'!$D$6:$D$998,"Inactive")&gt;0,"BLOCKED","CAN SELL")))))</f>
        <v>CAN SELL</v>
      </c>
      <c r="L260" s="11" t="str">
        <f>IF($A260="","",_xlfn.LET(_xlpm.t,MATCH($B260,'[1]Territory Definitions'!$B$5:$B$14,0),IF(ISNA(_xlpm.t),"NO TERRITORY",IF(INDEX('[1]Territory Definitions'!$D$5:$M$14,_xlpm.t,MATCH(L$4,'[1]Territory Definitions'!$D$4:$M$4,0))&lt;&gt;1,"NOT IN TERRITORY",IF(COUNTIFS('[1]Blackout Brand Fam Areas (Enc)'!$B$6:$B$998,$A260,'[1]Blackout Brand Fam Areas (Enc)'!$C$6:$C$998,L$4,'[1]Blackout Brand Fam Areas (Enc)'!$D$6:$D$998,"Inactive")&gt;0,"BLOCKED","CAN SELL")))))</f>
        <v>CAN SELL</v>
      </c>
      <c r="M260" s="12">
        <f>IF($A260="","",COUNTIF($C260:$L260,"CAN SELL"))</f>
        <v>10</v>
      </c>
      <c r="N260" s="13" cm="1">
        <f t="array" ref="N260">IF($A260="","",SUMPRODUCT(($C260:$L260="CAN SELL")*$C$3:$L$3))</f>
        <v>2306</v>
      </c>
      <c r="O260" s="14" t="str">
        <f>IF($A260="","",IF(COUNTIF($A$5:$A$299,$A260)&gt;1,"DUPLICATE - two different territories assigned",IF($B260="** NO TERRITORY SET **","No territory on Brand Family Territory (Enc)","")))</f>
        <v/>
      </c>
      <c r="P260" s="18" t="str">
        <f>IF($A260="","",IFERROR(INDEX([1]Products!$H$4:$H$4801,MATCH($A260,[1]Products!$G$4:$G$4801,0)),"(no products)"))</f>
        <v>Global Beer</v>
      </c>
      <c r="Q260" s="19">
        <f>IF($A260="","",COUNTIFS([1]Products!$G$4:$G$4801,$A260,[1]Products!$L$4:$L$4801,"Yes"))</f>
        <v>8</v>
      </c>
      <c r="R260" s="19">
        <f>IF($A260="","",COUNTIFS([1]Products!$G$4:$G$4801,$A260,[1]Products!$L$4:$L$4801,"Yes",[1]Products!$K$4:$K$4801,"Draft"))</f>
        <v>2</v>
      </c>
      <c r="S260" s="19">
        <f>IF($A260="","",COUNTIFS([1]Products!$G$4:$G$4801,$A260,[1]Products!$L$4:$L$4801,"Yes",[1]Products!$K$4:$K$4801,"Package"))</f>
        <v>6</v>
      </c>
      <c r="T260" s="20" t="str" cm="1">
        <f t="array" ref="T260">IF($A260="","",_xlfn.IFS($Q260=0,"NO ACTIVE SKUs",AND($R260&gt;0,$S260&gt;0),"Draft &amp; Package",$R260&gt;0,"Draft only",TRUE,"Package only"))</f>
        <v>Draft &amp; Package</v>
      </c>
    </row>
    <row r="261" spans="1:20" x14ac:dyDescent="0.2">
      <c r="A261" s="9" t="str">
        <v>Stone Brewing</v>
      </c>
      <c r="B261" s="10" t="str">
        <f>IF($A261="","",_xlfn.XLOOKUP($A261,'[1]Brand Family Territory (Enc)'!$A:$A,'[1]Brand Family Territory (Enc)'!$B:$B,"** NO TERRITORY SET **"))</f>
        <v>Bergen/Passaic/Hudson/Essex</v>
      </c>
      <c r="C261" s="11" t="str">
        <f>IF($A261="","",_xlfn.LET(_xlpm.t,MATCH($B261,'[1]Territory Definitions'!$B$5:$B$14,0),IF(ISNA(_xlpm.t),"NO TERRITORY",IF(INDEX('[1]Territory Definitions'!$D$5:$M$14,_xlpm.t,MATCH(C$4,'[1]Territory Definitions'!$D$4:$M$4,0))&lt;&gt;1,"NOT IN TERRITORY",IF(COUNTIFS('[1]Blackout Brand Fam Areas (Enc)'!$B$6:$B$998,$A261,'[1]Blackout Brand Fam Areas (Enc)'!$C$6:$C$998,C$4,'[1]Blackout Brand Fam Areas (Enc)'!$D$6:$D$998,"Inactive")&gt;0,"BLOCKED","CAN SELL")))))</f>
        <v>CAN SELL</v>
      </c>
      <c r="D261" s="11" t="str">
        <f>IF($A261="","",_xlfn.LET(_xlpm.t,MATCH($B261,'[1]Territory Definitions'!$B$5:$B$14,0),IF(ISNA(_xlpm.t),"NO TERRITORY",IF(INDEX('[1]Territory Definitions'!$D$5:$M$14,_xlpm.t,MATCH(D$4,'[1]Territory Definitions'!$D$4:$M$4,0))&lt;&gt;1,"NOT IN TERRITORY",IF(COUNTIFS('[1]Blackout Brand Fam Areas (Enc)'!$B$6:$B$998,$A261,'[1]Blackout Brand Fam Areas (Enc)'!$C$6:$C$998,D$4,'[1]Blackout Brand Fam Areas (Enc)'!$D$6:$D$998,"Inactive")&gt;0,"BLOCKED","CAN SELL")))))</f>
        <v>CAN SELL</v>
      </c>
      <c r="E261" s="11" t="str">
        <f>IF($A261="","",_xlfn.LET(_xlpm.t,MATCH($B261,'[1]Territory Definitions'!$B$5:$B$14,0),IF(ISNA(_xlpm.t),"NO TERRITORY",IF(INDEX('[1]Territory Definitions'!$D$5:$M$14,_xlpm.t,MATCH(E$4,'[1]Territory Definitions'!$D$4:$M$4,0))&lt;&gt;1,"NOT IN TERRITORY",IF(COUNTIFS('[1]Blackout Brand Fam Areas (Enc)'!$B$6:$B$998,$A261,'[1]Blackout Brand Fam Areas (Enc)'!$C$6:$C$998,E$4,'[1]Blackout Brand Fam Areas (Enc)'!$D$6:$D$998,"Inactive")&gt;0,"BLOCKED","CAN SELL")))))</f>
        <v>CAN SELL</v>
      </c>
      <c r="F261" s="11" t="str">
        <f>IF($A261="","",_xlfn.LET(_xlpm.t,MATCH($B261,'[1]Territory Definitions'!$B$5:$B$14,0),IF(ISNA(_xlpm.t),"NO TERRITORY",IF(INDEX('[1]Territory Definitions'!$D$5:$M$14,_xlpm.t,MATCH(F$4,'[1]Territory Definitions'!$D$4:$M$4,0))&lt;&gt;1,"NOT IN TERRITORY",IF(COUNTIFS('[1]Blackout Brand Fam Areas (Enc)'!$B$6:$B$998,$A261,'[1]Blackout Brand Fam Areas (Enc)'!$C$6:$C$998,F$4,'[1]Blackout Brand Fam Areas (Enc)'!$D$6:$D$998,"Inactive")&gt;0,"BLOCKED","CAN SELL")))))</f>
        <v>CAN SELL</v>
      </c>
      <c r="G261" s="11" t="str">
        <f>IF($A261="","",_xlfn.LET(_xlpm.t,MATCH($B261,'[1]Territory Definitions'!$B$5:$B$14,0),IF(ISNA(_xlpm.t),"NO TERRITORY",IF(INDEX('[1]Territory Definitions'!$D$5:$M$14,_xlpm.t,MATCH(G$4,'[1]Territory Definitions'!$D$4:$M$4,0))&lt;&gt;1,"NOT IN TERRITORY",IF(COUNTIFS('[1]Blackout Brand Fam Areas (Enc)'!$B$6:$B$998,$A261,'[1]Blackout Brand Fam Areas (Enc)'!$C$6:$C$998,G$4,'[1]Blackout Brand Fam Areas (Enc)'!$D$6:$D$998,"Inactive")&gt;0,"BLOCKED","CAN SELL")))))</f>
        <v>CAN SELL</v>
      </c>
      <c r="H261" s="11" t="str">
        <f>IF($A261="","",_xlfn.LET(_xlpm.t,MATCH($B261,'[1]Territory Definitions'!$B$5:$B$14,0),IF(ISNA(_xlpm.t),"NO TERRITORY",IF(INDEX('[1]Territory Definitions'!$D$5:$M$14,_xlpm.t,MATCH(H$4,'[1]Territory Definitions'!$D$4:$M$4,0))&lt;&gt;1,"NOT IN TERRITORY",IF(COUNTIFS('[1]Blackout Brand Fam Areas (Enc)'!$B$6:$B$998,$A261,'[1]Blackout Brand Fam Areas (Enc)'!$C$6:$C$998,H$4,'[1]Blackout Brand Fam Areas (Enc)'!$D$6:$D$998,"Inactive")&gt;0,"BLOCKED","CAN SELL")))))</f>
        <v>NOT IN TERRITORY</v>
      </c>
      <c r="I261" s="11" t="str">
        <f>IF($A261="","",_xlfn.LET(_xlpm.t,MATCH($B261,'[1]Territory Definitions'!$B$5:$B$14,0),IF(ISNA(_xlpm.t),"NO TERRITORY",IF(INDEX('[1]Territory Definitions'!$D$5:$M$14,_xlpm.t,MATCH(I$4,'[1]Territory Definitions'!$D$4:$M$4,0))&lt;&gt;1,"NOT IN TERRITORY",IF(COUNTIFS('[1]Blackout Brand Fam Areas (Enc)'!$B$6:$B$998,$A261,'[1]Blackout Brand Fam Areas (Enc)'!$C$6:$C$998,I$4,'[1]Blackout Brand Fam Areas (Enc)'!$D$6:$D$998,"Inactive")&gt;0,"BLOCKED","CAN SELL")))))</f>
        <v>NOT IN TERRITORY</v>
      </c>
      <c r="J261" s="11" t="str">
        <f>IF($A261="","",_xlfn.LET(_xlpm.t,MATCH($B261,'[1]Territory Definitions'!$B$5:$B$14,0),IF(ISNA(_xlpm.t),"NO TERRITORY",IF(INDEX('[1]Territory Definitions'!$D$5:$M$14,_xlpm.t,MATCH(J$4,'[1]Territory Definitions'!$D$4:$M$4,0))&lt;&gt;1,"NOT IN TERRITORY",IF(COUNTIFS('[1]Blackout Brand Fam Areas (Enc)'!$B$6:$B$998,$A261,'[1]Blackout Brand Fam Areas (Enc)'!$C$6:$C$998,J$4,'[1]Blackout Brand Fam Areas (Enc)'!$D$6:$D$998,"Inactive")&gt;0,"BLOCKED","CAN SELL")))))</f>
        <v>NOT IN TERRITORY</v>
      </c>
      <c r="K261" s="11" t="str">
        <f>IF($A261="","",_xlfn.LET(_xlpm.t,MATCH($B261,'[1]Territory Definitions'!$B$5:$B$14,0),IF(ISNA(_xlpm.t),"NO TERRITORY",IF(INDEX('[1]Territory Definitions'!$D$5:$M$14,_xlpm.t,MATCH(K$4,'[1]Territory Definitions'!$D$4:$M$4,0))&lt;&gt;1,"NOT IN TERRITORY",IF(COUNTIFS('[1]Blackout Brand Fam Areas (Enc)'!$B$6:$B$998,$A261,'[1]Blackout Brand Fam Areas (Enc)'!$C$6:$C$998,K$4,'[1]Blackout Brand Fam Areas (Enc)'!$D$6:$D$998,"Inactive")&gt;0,"BLOCKED","CAN SELL")))))</f>
        <v>NOT IN TERRITORY</v>
      </c>
      <c r="L261" s="11" t="str">
        <f>IF($A261="","",_xlfn.LET(_xlpm.t,MATCH($B261,'[1]Territory Definitions'!$B$5:$B$14,0),IF(ISNA(_xlpm.t),"NO TERRITORY",IF(INDEX('[1]Territory Definitions'!$D$5:$M$14,_xlpm.t,MATCH(L$4,'[1]Territory Definitions'!$D$4:$M$4,0))&lt;&gt;1,"NOT IN TERRITORY",IF(COUNTIFS('[1]Blackout Brand Fam Areas (Enc)'!$B$6:$B$998,$A261,'[1]Blackout Brand Fam Areas (Enc)'!$C$6:$C$998,L$4,'[1]Blackout Brand Fam Areas (Enc)'!$D$6:$D$998,"Inactive")&gt;0,"BLOCKED","CAN SELL")))))</f>
        <v>NOT IN TERRITORY</v>
      </c>
      <c r="M261" s="12">
        <f>IF($A261="","",COUNTIF($C261:$L261,"CAN SELL"))</f>
        <v>5</v>
      </c>
      <c r="N261" s="13" cm="1">
        <f t="array" ref="N261">IF($A261="","",SUMPRODUCT(($C261:$L261="CAN SELL")*$C$3:$L$3))</f>
        <v>1859</v>
      </c>
      <c r="O261" s="14" t="str">
        <f>IF($A261="","",IF(COUNTIF($A$5:$A$299,$A261)&gt;1,"DUPLICATE - two different territories assigned",IF($B261="** NO TERRITORY SET **","No territory on Brand Family Territory (Enc)","")))</f>
        <v/>
      </c>
      <c r="P261" s="18" t="str">
        <f>IF($A261="","",IFERROR(INDEX([1]Products!$H$4:$H$4801,MATCH($A261,[1]Products!$G$4:$G$4801,0)),"(no products)"))</f>
        <v>Stone Brewing</v>
      </c>
      <c r="Q261" s="19">
        <f>IF($A261="","",COUNTIFS([1]Products!$G$4:$G$4801,$A261,[1]Products!$L$4:$L$4801,"Yes"))</f>
        <v>34</v>
      </c>
      <c r="R261" s="19">
        <f>IF($A261="","",COUNTIFS([1]Products!$G$4:$G$4801,$A261,[1]Products!$L$4:$L$4801,"Yes",[1]Products!$K$4:$K$4801,"Draft"))</f>
        <v>14</v>
      </c>
      <c r="S261" s="19">
        <f>IF($A261="","",COUNTIFS([1]Products!$G$4:$G$4801,$A261,[1]Products!$L$4:$L$4801,"Yes",[1]Products!$K$4:$K$4801,"Package"))</f>
        <v>20</v>
      </c>
      <c r="T261" s="20" t="str" cm="1">
        <f t="array" ref="T261">IF($A261="","",_xlfn.IFS($Q261=0,"NO ACTIVE SKUs",AND($R261&gt;0,$S261&gt;0),"Draft &amp; Package",$R261&gt;0,"Draft only",TRUE,"Package only"))</f>
        <v>Draft &amp; Package</v>
      </c>
    </row>
    <row r="262" spans="1:20" x14ac:dyDescent="0.2">
      <c r="A262" s="9" t="str">
        <v>Striped Pig</v>
      </c>
      <c r="B262" s="10" t="str">
        <f>IF($A262="","",_xlfn.XLOOKUP($A262,'[1]Brand Family Territory (Enc)'!$A:$A,'[1]Brand Family Territory (Enc)'!$B:$B,"** NO TERRITORY SET **"))</f>
        <v>All Counties</v>
      </c>
      <c r="C262" s="11" t="str">
        <f>IF($A262="","",_xlfn.LET(_xlpm.t,MATCH($B262,'[1]Territory Definitions'!$B$5:$B$14,0),IF(ISNA(_xlpm.t),"NO TERRITORY",IF(INDEX('[1]Territory Definitions'!$D$5:$M$14,_xlpm.t,MATCH(C$4,'[1]Territory Definitions'!$D$4:$M$4,0))&lt;&gt;1,"NOT IN TERRITORY",IF(COUNTIFS('[1]Blackout Brand Fam Areas (Enc)'!$B$6:$B$998,$A262,'[1]Blackout Brand Fam Areas (Enc)'!$C$6:$C$998,C$4,'[1]Blackout Brand Fam Areas (Enc)'!$D$6:$D$998,"Inactive")&gt;0,"BLOCKED","CAN SELL")))))</f>
        <v>CAN SELL</v>
      </c>
      <c r="D262" s="11" t="str">
        <f>IF($A262="","",_xlfn.LET(_xlpm.t,MATCH($B262,'[1]Territory Definitions'!$B$5:$B$14,0),IF(ISNA(_xlpm.t),"NO TERRITORY",IF(INDEX('[1]Territory Definitions'!$D$5:$M$14,_xlpm.t,MATCH(D$4,'[1]Territory Definitions'!$D$4:$M$4,0))&lt;&gt;1,"NOT IN TERRITORY",IF(COUNTIFS('[1]Blackout Brand Fam Areas (Enc)'!$B$6:$B$998,$A262,'[1]Blackout Brand Fam Areas (Enc)'!$C$6:$C$998,D$4,'[1]Blackout Brand Fam Areas (Enc)'!$D$6:$D$998,"Inactive")&gt;0,"BLOCKED","CAN SELL")))))</f>
        <v>CAN SELL</v>
      </c>
      <c r="E262" s="11" t="str">
        <f>IF($A262="","",_xlfn.LET(_xlpm.t,MATCH($B262,'[1]Territory Definitions'!$B$5:$B$14,0),IF(ISNA(_xlpm.t),"NO TERRITORY",IF(INDEX('[1]Territory Definitions'!$D$5:$M$14,_xlpm.t,MATCH(E$4,'[1]Territory Definitions'!$D$4:$M$4,0))&lt;&gt;1,"NOT IN TERRITORY",IF(COUNTIFS('[1]Blackout Brand Fam Areas (Enc)'!$B$6:$B$998,$A262,'[1]Blackout Brand Fam Areas (Enc)'!$C$6:$C$998,E$4,'[1]Blackout Brand Fam Areas (Enc)'!$D$6:$D$998,"Inactive")&gt;0,"BLOCKED","CAN SELL")))))</f>
        <v>CAN SELL</v>
      </c>
      <c r="F262" s="11" t="str">
        <f>IF($A262="","",_xlfn.LET(_xlpm.t,MATCH($B262,'[1]Territory Definitions'!$B$5:$B$14,0),IF(ISNA(_xlpm.t),"NO TERRITORY",IF(INDEX('[1]Territory Definitions'!$D$5:$M$14,_xlpm.t,MATCH(F$4,'[1]Territory Definitions'!$D$4:$M$4,0))&lt;&gt;1,"NOT IN TERRITORY",IF(COUNTIFS('[1]Blackout Brand Fam Areas (Enc)'!$B$6:$B$998,$A262,'[1]Blackout Brand Fam Areas (Enc)'!$C$6:$C$998,F$4,'[1]Blackout Brand Fam Areas (Enc)'!$D$6:$D$998,"Inactive")&gt;0,"BLOCKED","CAN SELL")))))</f>
        <v>CAN SELL</v>
      </c>
      <c r="G262" s="11" t="str">
        <f>IF($A262="","",_xlfn.LET(_xlpm.t,MATCH($B262,'[1]Territory Definitions'!$B$5:$B$14,0),IF(ISNA(_xlpm.t),"NO TERRITORY",IF(INDEX('[1]Territory Definitions'!$D$5:$M$14,_xlpm.t,MATCH(G$4,'[1]Territory Definitions'!$D$4:$M$4,0))&lt;&gt;1,"NOT IN TERRITORY",IF(COUNTIFS('[1]Blackout Brand Fam Areas (Enc)'!$B$6:$B$998,$A262,'[1]Blackout Brand Fam Areas (Enc)'!$C$6:$C$998,G$4,'[1]Blackout Brand Fam Areas (Enc)'!$D$6:$D$998,"Inactive")&gt;0,"BLOCKED","CAN SELL")))))</f>
        <v>CAN SELL</v>
      </c>
      <c r="H262" s="11" t="str">
        <f>IF($A262="","",_xlfn.LET(_xlpm.t,MATCH($B262,'[1]Territory Definitions'!$B$5:$B$14,0),IF(ISNA(_xlpm.t),"NO TERRITORY",IF(INDEX('[1]Territory Definitions'!$D$5:$M$14,_xlpm.t,MATCH(H$4,'[1]Territory Definitions'!$D$4:$M$4,0))&lt;&gt;1,"NOT IN TERRITORY",IF(COUNTIFS('[1]Blackout Brand Fam Areas (Enc)'!$B$6:$B$998,$A262,'[1]Blackout Brand Fam Areas (Enc)'!$C$6:$C$998,H$4,'[1]Blackout Brand Fam Areas (Enc)'!$D$6:$D$998,"Inactive")&gt;0,"BLOCKED","CAN SELL")))))</f>
        <v>CAN SELL</v>
      </c>
      <c r="I262" s="11" t="str">
        <f>IF($A262="","",_xlfn.LET(_xlpm.t,MATCH($B262,'[1]Territory Definitions'!$B$5:$B$14,0),IF(ISNA(_xlpm.t),"NO TERRITORY",IF(INDEX('[1]Territory Definitions'!$D$5:$M$14,_xlpm.t,MATCH(I$4,'[1]Territory Definitions'!$D$4:$M$4,0))&lt;&gt;1,"NOT IN TERRITORY",IF(COUNTIFS('[1]Blackout Brand Fam Areas (Enc)'!$B$6:$B$998,$A262,'[1]Blackout Brand Fam Areas (Enc)'!$C$6:$C$998,I$4,'[1]Blackout Brand Fam Areas (Enc)'!$D$6:$D$998,"Inactive")&gt;0,"BLOCKED","CAN SELL")))))</f>
        <v>CAN SELL</v>
      </c>
      <c r="J262" s="11" t="str">
        <f>IF($A262="","",_xlfn.LET(_xlpm.t,MATCH($B262,'[1]Territory Definitions'!$B$5:$B$14,0),IF(ISNA(_xlpm.t),"NO TERRITORY",IF(INDEX('[1]Territory Definitions'!$D$5:$M$14,_xlpm.t,MATCH(J$4,'[1]Territory Definitions'!$D$4:$M$4,0))&lt;&gt;1,"NOT IN TERRITORY",IF(COUNTIFS('[1]Blackout Brand Fam Areas (Enc)'!$B$6:$B$998,$A262,'[1]Blackout Brand Fam Areas (Enc)'!$C$6:$C$998,J$4,'[1]Blackout Brand Fam Areas (Enc)'!$D$6:$D$998,"Inactive")&gt;0,"BLOCKED","CAN SELL")))))</f>
        <v>CAN SELL</v>
      </c>
      <c r="K262" s="11" t="str">
        <f>IF($A262="","",_xlfn.LET(_xlpm.t,MATCH($B262,'[1]Territory Definitions'!$B$5:$B$14,0),IF(ISNA(_xlpm.t),"NO TERRITORY",IF(INDEX('[1]Territory Definitions'!$D$5:$M$14,_xlpm.t,MATCH(K$4,'[1]Territory Definitions'!$D$4:$M$4,0))&lt;&gt;1,"NOT IN TERRITORY",IF(COUNTIFS('[1]Blackout Brand Fam Areas (Enc)'!$B$6:$B$998,$A262,'[1]Blackout Brand Fam Areas (Enc)'!$C$6:$C$998,K$4,'[1]Blackout Brand Fam Areas (Enc)'!$D$6:$D$998,"Inactive")&gt;0,"BLOCKED","CAN SELL")))))</f>
        <v>CAN SELL</v>
      </c>
      <c r="L262" s="11" t="str">
        <f>IF($A262="","",_xlfn.LET(_xlpm.t,MATCH($B262,'[1]Territory Definitions'!$B$5:$B$14,0),IF(ISNA(_xlpm.t),"NO TERRITORY",IF(INDEX('[1]Territory Definitions'!$D$5:$M$14,_xlpm.t,MATCH(L$4,'[1]Territory Definitions'!$D$4:$M$4,0))&lt;&gt;1,"NOT IN TERRITORY",IF(COUNTIFS('[1]Blackout Brand Fam Areas (Enc)'!$B$6:$B$998,$A262,'[1]Blackout Brand Fam Areas (Enc)'!$C$6:$C$998,L$4,'[1]Blackout Brand Fam Areas (Enc)'!$D$6:$D$998,"Inactive")&gt;0,"BLOCKED","CAN SELL")))))</f>
        <v>CAN SELL</v>
      </c>
      <c r="M262" s="12">
        <f>IF($A262="","",COUNTIF($C262:$L262,"CAN SELL"))</f>
        <v>10</v>
      </c>
      <c r="N262" s="13" cm="1">
        <f t="array" ref="N262">IF($A262="","",SUMPRODUCT(($C262:$L262="CAN SELL")*$C$3:$L$3))</f>
        <v>2306</v>
      </c>
      <c r="O262" s="14" t="str">
        <f>IF($A262="","",IF(COUNTIF($A$5:$A$299,$A262)&gt;1,"DUPLICATE - two different territories assigned",IF($B262="** NO TERRITORY SET **","No territory on Brand Family Territory (Enc)","")))</f>
        <v/>
      </c>
      <c r="P262" s="18" t="str">
        <f>IF($A262="","",IFERROR(INDEX([1]Products!$H$4:$H$4801,MATCH($A262,[1]Products!$G$4:$G$4801,0)),"(no products)"))</f>
        <v>Local Choice Inc</v>
      </c>
      <c r="Q262" s="19">
        <f>IF($A262="","",COUNTIFS([1]Products!$G$4:$G$4801,$A262,[1]Products!$L$4:$L$4801,"Yes"))</f>
        <v>4</v>
      </c>
      <c r="R262" s="19">
        <f>IF($A262="","",COUNTIFS([1]Products!$G$4:$G$4801,$A262,[1]Products!$L$4:$L$4801,"Yes",[1]Products!$K$4:$K$4801,"Draft"))</f>
        <v>0</v>
      </c>
      <c r="S262" s="19">
        <f>IF($A262="","",COUNTIFS([1]Products!$G$4:$G$4801,$A262,[1]Products!$L$4:$L$4801,"Yes",[1]Products!$K$4:$K$4801,"Package"))</f>
        <v>0</v>
      </c>
      <c r="T262" s="20" t="str" cm="1">
        <f t="array" ref="T262">IF($A262="","",_xlfn.IFS($Q262=0,"NO ACTIVE SKUs",AND($R262&gt;0,$S262&gt;0),"Draft &amp; Package",$R262&gt;0,"Draft only",TRUE,"Package only"))</f>
        <v>Package only</v>
      </c>
    </row>
    <row r="263" spans="1:20" x14ac:dyDescent="0.2">
      <c r="A263" s="9" t="str">
        <v>Strongbow</v>
      </c>
      <c r="B263" s="10" t="str">
        <f>IF($A263="","",_xlfn.XLOOKUP($A263,'[1]Brand Family Territory (Enc)'!$A:$A,'[1]Brand Family Territory (Enc)'!$B:$B,"** NO TERRITORY SET **"))</f>
        <v>Core + Morris Communities</v>
      </c>
      <c r="C263" s="11" t="str">
        <f>IF($A263="","",_xlfn.LET(_xlpm.t,MATCH($B263,'[1]Territory Definitions'!$B$5:$B$14,0),IF(ISNA(_xlpm.t),"NO TERRITORY",IF(INDEX('[1]Territory Definitions'!$D$5:$M$14,_xlpm.t,MATCH(C$4,'[1]Territory Definitions'!$D$4:$M$4,0))&lt;&gt;1,"NOT IN TERRITORY",IF(COUNTIFS('[1]Blackout Brand Fam Areas (Enc)'!$B$6:$B$998,$A263,'[1]Blackout Brand Fam Areas (Enc)'!$C$6:$C$998,C$4,'[1]Blackout Brand Fam Areas (Enc)'!$D$6:$D$998,"Inactive")&gt;0,"BLOCKED","CAN SELL")))))</f>
        <v>CAN SELL</v>
      </c>
      <c r="D263" s="11" t="str">
        <f>IF($A263="","",_xlfn.LET(_xlpm.t,MATCH($B263,'[1]Territory Definitions'!$B$5:$B$14,0),IF(ISNA(_xlpm.t),"NO TERRITORY",IF(INDEX('[1]Territory Definitions'!$D$5:$M$14,_xlpm.t,MATCH(D$4,'[1]Territory Definitions'!$D$4:$M$4,0))&lt;&gt;1,"NOT IN TERRITORY",IF(COUNTIFS('[1]Blackout Brand Fam Areas (Enc)'!$B$6:$B$998,$A263,'[1]Blackout Brand Fam Areas (Enc)'!$C$6:$C$998,D$4,'[1]Blackout Brand Fam Areas (Enc)'!$D$6:$D$998,"Inactive")&gt;0,"BLOCKED","CAN SELL")))))</f>
        <v>CAN SELL</v>
      </c>
      <c r="E263" s="11" t="str">
        <f>IF($A263="","",_xlfn.LET(_xlpm.t,MATCH($B263,'[1]Territory Definitions'!$B$5:$B$14,0),IF(ISNA(_xlpm.t),"NO TERRITORY",IF(INDEX('[1]Territory Definitions'!$D$5:$M$14,_xlpm.t,MATCH(E$4,'[1]Territory Definitions'!$D$4:$M$4,0))&lt;&gt;1,"NOT IN TERRITORY",IF(COUNTIFS('[1]Blackout Brand Fam Areas (Enc)'!$B$6:$B$998,$A263,'[1]Blackout Brand Fam Areas (Enc)'!$C$6:$C$998,E$4,'[1]Blackout Brand Fam Areas (Enc)'!$D$6:$D$998,"Inactive")&gt;0,"BLOCKED","CAN SELL")))))</f>
        <v>CAN SELL</v>
      </c>
      <c r="F263" s="11" t="str">
        <f>IF($A263="","",_xlfn.LET(_xlpm.t,MATCH($B263,'[1]Territory Definitions'!$B$5:$B$14,0),IF(ISNA(_xlpm.t),"NO TERRITORY",IF(INDEX('[1]Territory Definitions'!$D$5:$M$14,_xlpm.t,MATCH(F$4,'[1]Territory Definitions'!$D$4:$M$4,0))&lt;&gt;1,"NOT IN TERRITORY",IF(COUNTIFS('[1]Blackout Brand Fam Areas (Enc)'!$B$6:$B$998,$A263,'[1]Blackout Brand Fam Areas (Enc)'!$C$6:$C$998,F$4,'[1]Blackout Brand Fam Areas (Enc)'!$D$6:$D$998,"Inactive")&gt;0,"BLOCKED","CAN SELL")))))</f>
        <v>NOT IN TERRITORY</v>
      </c>
      <c r="G263" s="11" t="str">
        <f>IF($A263="","",_xlfn.LET(_xlpm.t,MATCH($B263,'[1]Territory Definitions'!$B$5:$B$14,0),IF(ISNA(_xlpm.t),"NO TERRITORY",IF(INDEX('[1]Territory Definitions'!$D$5:$M$14,_xlpm.t,MATCH(G$4,'[1]Territory Definitions'!$D$4:$M$4,0))&lt;&gt;1,"NOT IN TERRITORY",IF(COUNTIFS('[1]Blackout Brand Fam Areas (Enc)'!$B$6:$B$998,$A263,'[1]Blackout Brand Fam Areas (Enc)'!$C$6:$C$998,G$4,'[1]Blackout Brand Fam Areas (Enc)'!$D$6:$D$998,"Inactive")&gt;0,"BLOCKED","CAN SELL")))))</f>
        <v>NOT IN TERRITORY</v>
      </c>
      <c r="H263" s="11" t="str">
        <f>IF($A263="","",_xlfn.LET(_xlpm.t,MATCH($B263,'[1]Territory Definitions'!$B$5:$B$14,0),IF(ISNA(_xlpm.t),"NO TERRITORY",IF(INDEX('[1]Territory Definitions'!$D$5:$M$14,_xlpm.t,MATCH(H$4,'[1]Territory Definitions'!$D$4:$M$4,0))&lt;&gt;1,"NOT IN TERRITORY",IF(COUNTIFS('[1]Blackout Brand Fam Areas (Enc)'!$B$6:$B$998,$A263,'[1]Blackout Brand Fam Areas (Enc)'!$C$6:$C$998,H$4,'[1]Blackout Brand Fam Areas (Enc)'!$D$6:$D$998,"Inactive")&gt;0,"BLOCKED","CAN SELL")))))</f>
        <v>NOT IN TERRITORY</v>
      </c>
      <c r="I263" s="11" t="str">
        <f>IF($A263="","",_xlfn.LET(_xlpm.t,MATCH($B263,'[1]Territory Definitions'!$B$5:$B$14,0),IF(ISNA(_xlpm.t),"NO TERRITORY",IF(INDEX('[1]Territory Definitions'!$D$5:$M$14,_xlpm.t,MATCH(I$4,'[1]Territory Definitions'!$D$4:$M$4,0))&lt;&gt;1,"NOT IN TERRITORY",IF(COUNTIFS('[1]Blackout Brand Fam Areas (Enc)'!$B$6:$B$998,$A263,'[1]Blackout Brand Fam Areas (Enc)'!$C$6:$C$998,I$4,'[1]Blackout Brand Fam Areas (Enc)'!$D$6:$D$998,"Inactive")&gt;0,"BLOCKED","CAN SELL")))))</f>
        <v>NOT IN TERRITORY</v>
      </c>
      <c r="J263" s="11" t="str">
        <f>IF($A263="","",_xlfn.LET(_xlpm.t,MATCH($B263,'[1]Territory Definitions'!$B$5:$B$14,0),IF(ISNA(_xlpm.t),"NO TERRITORY",IF(INDEX('[1]Territory Definitions'!$D$5:$M$14,_xlpm.t,MATCH(J$4,'[1]Territory Definitions'!$D$4:$M$4,0))&lt;&gt;1,"NOT IN TERRITORY",IF(COUNTIFS('[1]Blackout Brand Fam Areas (Enc)'!$B$6:$B$998,$A263,'[1]Blackout Brand Fam Areas (Enc)'!$C$6:$C$998,J$4,'[1]Blackout Brand Fam Areas (Enc)'!$D$6:$D$998,"Inactive")&gt;0,"BLOCKED","CAN SELL")))))</f>
        <v>BLOCKED</v>
      </c>
      <c r="K263" s="11" t="str">
        <f>IF($A263="","",_xlfn.LET(_xlpm.t,MATCH($B263,'[1]Territory Definitions'!$B$5:$B$14,0),IF(ISNA(_xlpm.t),"NO TERRITORY",IF(INDEX('[1]Territory Definitions'!$D$5:$M$14,_xlpm.t,MATCH(K$4,'[1]Territory Definitions'!$D$4:$M$4,0))&lt;&gt;1,"NOT IN TERRITORY",IF(COUNTIFS('[1]Blackout Brand Fam Areas (Enc)'!$B$6:$B$998,$A263,'[1]Blackout Brand Fam Areas (Enc)'!$C$6:$C$998,K$4,'[1]Blackout Brand Fam Areas (Enc)'!$D$6:$D$998,"Inactive")&gt;0,"BLOCKED","CAN SELL")))))</f>
        <v>NOT IN TERRITORY</v>
      </c>
      <c r="L263" s="11" t="str">
        <f>IF($A263="","",_xlfn.LET(_xlpm.t,MATCH($B263,'[1]Territory Definitions'!$B$5:$B$14,0),IF(ISNA(_xlpm.t),"NO TERRITORY",IF(INDEX('[1]Territory Definitions'!$D$5:$M$14,_xlpm.t,MATCH(L$4,'[1]Territory Definitions'!$D$4:$M$4,0))&lt;&gt;1,"NOT IN TERRITORY",IF(COUNTIFS('[1]Blackout Brand Fam Areas (Enc)'!$B$6:$B$998,$A263,'[1]Blackout Brand Fam Areas (Enc)'!$C$6:$C$998,L$4,'[1]Blackout Brand Fam Areas (Enc)'!$D$6:$D$998,"Inactive")&gt;0,"BLOCKED","CAN SELL")))))</f>
        <v>CAN SELL</v>
      </c>
      <c r="M263" s="12">
        <f>IF($A263="","",COUNTIF($C263:$L263,"CAN SELL"))</f>
        <v>4</v>
      </c>
      <c r="N263" s="13" cm="1">
        <f t="array" ref="N263">IF($A263="","",SUMPRODUCT(($C263:$L263="CAN SELL")*$C$3:$L$3))</f>
        <v>1318</v>
      </c>
      <c r="O263" s="14" t="str">
        <f>IF($A263="","",IF(COUNTIF($A$5:$A$299,$A263)&gt;1,"DUPLICATE - two different territories assigned",IF($B263="** NO TERRITORY SET **","No territory on Brand Family Territory (Enc)","")))</f>
        <v/>
      </c>
      <c r="P263" s="18" t="str">
        <f>IF($A263="","",IFERROR(INDEX([1]Products!$H$4:$H$4801,MATCH($A263,[1]Products!$G$4:$G$4801,0)),"(no products)"))</f>
        <v>Heineken USA</v>
      </c>
      <c r="Q263" s="19">
        <f>IF($A263="","",COUNTIFS([1]Products!$G$4:$G$4801,$A263,[1]Products!$L$4:$L$4801,"Yes"))</f>
        <v>1</v>
      </c>
      <c r="R263" s="19">
        <f>IF($A263="","",COUNTIFS([1]Products!$G$4:$G$4801,$A263,[1]Products!$L$4:$L$4801,"Yes",[1]Products!$K$4:$K$4801,"Draft"))</f>
        <v>0</v>
      </c>
      <c r="S263" s="19">
        <f>IF($A263="","",COUNTIFS([1]Products!$G$4:$G$4801,$A263,[1]Products!$L$4:$L$4801,"Yes",[1]Products!$K$4:$K$4801,"Package"))</f>
        <v>1</v>
      </c>
      <c r="T263" s="20" t="str" cm="1">
        <f t="array" ref="T263">IF($A263="","",_xlfn.IFS($Q263=0,"NO ACTIVE SKUs",AND($R263&gt;0,$S263&gt;0),"Draft &amp; Package",$R263&gt;0,"Draft only",TRUE,"Package only"))</f>
        <v>Package only</v>
      </c>
    </row>
    <row r="264" spans="1:20" x14ac:dyDescent="0.2">
      <c r="A264" s="9" t="str">
        <v>Sullivan's</v>
      </c>
      <c r="B264" s="10" t="str">
        <f>IF($A264="","",_xlfn.XLOOKUP($A264,'[1]Brand Family Territory (Enc)'!$A:$A,'[1]Brand Family Territory (Enc)'!$B:$B,"** NO TERRITORY SET **"))</f>
        <v>All Counties</v>
      </c>
      <c r="C264" s="11" t="str">
        <f>IF($A264="","",_xlfn.LET(_xlpm.t,MATCH($B264,'[1]Territory Definitions'!$B$5:$B$14,0),IF(ISNA(_xlpm.t),"NO TERRITORY",IF(INDEX('[1]Territory Definitions'!$D$5:$M$14,_xlpm.t,MATCH(C$4,'[1]Territory Definitions'!$D$4:$M$4,0))&lt;&gt;1,"NOT IN TERRITORY",IF(COUNTIFS('[1]Blackout Brand Fam Areas (Enc)'!$B$6:$B$998,$A264,'[1]Blackout Brand Fam Areas (Enc)'!$C$6:$C$998,C$4,'[1]Blackout Brand Fam Areas (Enc)'!$D$6:$D$998,"Inactive")&gt;0,"BLOCKED","CAN SELL")))))</f>
        <v>CAN SELL</v>
      </c>
      <c r="D264" s="11" t="str">
        <f>IF($A264="","",_xlfn.LET(_xlpm.t,MATCH($B264,'[1]Territory Definitions'!$B$5:$B$14,0),IF(ISNA(_xlpm.t),"NO TERRITORY",IF(INDEX('[1]Territory Definitions'!$D$5:$M$14,_xlpm.t,MATCH(D$4,'[1]Territory Definitions'!$D$4:$M$4,0))&lt;&gt;1,"NOT IN TERRITORY",IF(COUNTIFS('[1]Blackout Brand Fam Areas (Enc)'!$B$6:$B$998,$A264,'[1]Blackout Brand Fam Areas (Enc)'!$C$6:$C$998,D$4,'[1]Blackout Brand Fam Areas (Enc)'!$D$6:$D$998,"Inactive")&gt;0,"BLOCKED","CAN SELL")))))</f>
        <v>CAN SELL</v>
      </c>
      <c r="E264" s="11" t="str">
        <f>IF($A264="","",_xlfn.LET(_xlpm.t,MATCH($B264,'[1]Territory Definitions'!$B$5:$B$14,0),IF(ISNA(_xlpm.t),"NO TERRITORY",IF(INDEX('[1]Territory Definitions'!$D$5:$M$14,_xlpm.t,MATCH(E$4,'[1]Territory Definitions'!$D$4:$M$4,0))&lt;&gt;1,"NOT IN TERRITORY",IF(COUNTIFS('[1]Blackout Brand Fam Areas (Enc)'!$B$6:$B$998,$A264,'[1]Blackout Brand Fam Areas (Enc)'!$C$6:$C$998,E$4,'[1]Blackout Brand Fam Areas (Enc)'!$D$6:$D$998,"Inactive")&gt;0,"BLOCKED","CAN SELL")))))</f>
        <v>CAN SELL</v>
      </c>
      <c r="F264" s="11" t="str">
        <f>IF($A264="","",_xlfn.LET(_xlpm.t,MATCH($B264,'[1]Territory Definitions'!$B$5:$B$14,0),IF(ISNA(_xlpm.t),"NO TERRITORY",IF(INDEX('[1]Territory Definitions'!$D$5:$M$14,_xlpm.t,MATCH(F$4,'[1]Territory Definitions'!$D$4:$M$4,0))&lt;&gt;1,"NOT IN TERRITORY",IF(COUNTIFS('[1]Blackout Brand Fam Areas (Enc)'!$B$6:$B$998,$A264,'[1]Blackout Brand Fam Areas (Enc)'!$C$6:$C$998,F$4,'[1]Blackout Brand Fam Areas (Enc)'!$D$6:$D$998,"Inactive")&gt;0,"BLOCKED","CAN SELL")))))</f>
        <v>CAN SELL</v>
      </c>
      <c r="G264" s="11" t="str">
        <f>IF($A264="","",_xlfn.LET(_xlpm.t,MATCH($B264,'[1]Territory Definitions'!$B$5:$B$14,0),IF(ISNA(_xlpm.t),"NO TERRITORY",IF(INDEX('[1]Territory Definitions'!$D$5:$M$14,_xlpm.t,MATCH(G$4,'[1]Territory Definitions'!$D$4:$M$4,0))&lt;&gt;1,"NOT IN TERRITORY",IF(COUNTIFS('[1]Blackout Brand Fam Areas (Enc)'!$B$6:$B$998,$A264,'[1]Blackout Brand Fam Areas (Enc)'!$C$6:$C$998,G$4,'[1]Blackout Brand Fam Areas (Enc)'!$D$6:$D$998,"Inactive")&gt;0,"BLOCKED","CAN SELL")))))</f>
        <v>CAN SELL</v>
      </c>
      <c r="H264" s="11" t="str">
        <f>IF($A264="","",_xlfn.LET(_xlpm.t,MATCH($B264,'[1]Territory Definitions'!$B$5:$B$14,0),IF(ISNA(_xlpm.t),"NO TERRITORY",IF(INDEX('[1]Territory Definitions'!$D$5:$M$14,_xlpm.t,MATCH(H$4,'[1]Territory Definitions'!$D$4:$M$4,0))&lt;&gt;1,"NOT IN TERRITORY",IF(COUNTIFS('[1]Blackout Brand Fam Areas (Enc)'!$B$6:$B$998,$A264,'[1]Blackout Brand Fam Areas (Enc)'!$C$6:$C$998,H$4,'[1]Blackout Brand Fam Areas (Enc)'!$D$6:$D$998,"Inactive")&gt;0,"BLOCKED","CAN SELL")))))</f>
        <v>CAN SELL</v>
      </c>
      <c r="I264" s="11" t="str">
        <f>IF($A264="","",_xlfn.LET(_xlpm.t,MATCH($B264,'[1]Territory Definitions'!$B$5:$B$14,0),IF(ISNA(_xlpm.t),"NO TERRITORY",IF(INDEX('[1]Territory Definitions'!$D$5:$M$14,_xlpm.t,MATCH(I$4,'[1]Territory Definitions'!$D$4:$M$4,0))&lt;&gt;1,"NOT IN TERRITORY",IF(COUNTIFS('[1]Blackout Brand Fam Areas (Enc)'!$B$6:$B$998,$A264,'[1]Blackout Brand Fam Areas (Enc)'!$C$6:$C$998,I$4,'[1]Blackout Brand Fam Areas (Enc)'!$D$6:$D$998,"Inactive")&gt;0,"BLOCKED","CAN SELL")))))</f>
        <v>CAN SELL</v>
      </c>
      <c r="J264" s="11" t="str">
        <f>IF($A264="","",_xlfn.LET(_xlpm.t,MATCH($B264,'[1]Territory Definitions'!$B$5:$B$14,0),IF(ISNA(_xlpm.t),"NO TERRITORY",IF(INDEX('[1]Territory Definitions'!$D$5:$M$14,_xlpm.t,MATCH(J$4,'[1]Territory Definitions'!$D$4:$M$4,0))&lt;&gt;1,"NOT IN TERRITORY",IF(COUNTIFS('[1]Blackout Brand Fam Areas (Enc)'!$B$6:$B$998,$A264,'[1]Blackout Brand Fam Areas (Enc)'!$C$6:$C$998,J$4,'[1]Blackout Brand Fam Areas (Enc)'!$D$6:$D$998,"Inactive")&gt;0,"BLOCKED","CAN SELL")))))</f>
        <v>CAN SELL</v>
      </c>
      <c r="K264" s="11" t="str">
        <f>IF($A264="","",_xlfn.LET(_xlpm.t,MATCH($B264,'[1]Territory Definitions'!$B$5:$B$14,0),IF(ISNA(_xlpm.t),"NO TERRITORY",IF(INDEX('[1]Territory Definitions'!$D$5:$M$14,_xlpm.t,MATCH(K$4,'[1]Territory Definitions'!$D$4:$M$4,0))&lt;&gt;1,"NOT IN TERRITORY",IF(COUNTIFS('[1]Blackout Brand Fam Areas (Enc)'!$B$6:$B$998,$A264,'[1]Blackout Brand Fam Areas (Enc)'!$C$6:$C$998,K$4,'[1]Blackout Brand Fam Areas (Enc)'!$D$6:$D$998,"Inactive")&gt;0,"BLOCKED","CAN SELL")))))</f>
        <v>CAN SELL</v>
      </c>
      <c r="L264" s="11" t="str">
        <f>IF($A264="","",_xlfn.LET(_xlpm.t,MATCH($B264,'[1]Territory Definitions'!$B$5:$B$14,0),IF(ISNA(_xlpm.t),"NO TERRITORY",IF(INDEX('[1]Territory Definitions'!$D$5:$M$14,_xlpm.t,MATCH(L$4,'[1]Territory Definitions'!$D$4:$M$4,0))&lt;&gt;1,"NOT IN TERRITORY",IF(COUNTIFS('[1]Blackout Brand Fam Areas (Enc)'!$B$6:$B$998,$A264,'[1]Blackout Brand Fam Areas (Enc)'!$C$6:$C$998,L$4,'[1]Blackout Brand Fam Areas (Enc)'!$D$6:$D$998,"Inactive")&gt;0,"BLOCKED","CAN SELL")))))</f>
        <v>CAN SELL</v>
      </c>
      <c r="M264" s="12">
        <f>IF($A264="","",COUNTIF($C264:$L264,"CAN SELL"))</f>
        <v>10</v>
      </c>
      <c r="N264" s="13" cm="1">
        <f t="array" ref="N264">IF($A264="","",SUMPRODUCT(($C264:$L264="CAN SELL")*$C$3:$L$3))</f>
        <v>2306</v>
      </c>
      <c r="O264" s="14" t="str">
        <f>IF($A264="","",IF(COUNTIF($A$5:$A$299,$A264)&gt;1,"DUPLICATE - two different territories assigned",IF($B264="** NO TERRITORY SET **","No territory on Brand Family Territory (Enc)","")))</f>
        <v/>
      </c>
      <c r="P264" s="18" t="str">
        <f>IF($A264="","",IFERROR(INDEX([1]Products!$H$4:$H$4801,MATCH($A264,[1]Products!$G$4:$G$4801,0)),"(no products)"))</f>
        <v>Global Beer</v>
      </c>
      <c r="Q264" s="19">
        <f>IF($A264="","",COUNTIFS([1]Products!$G$4:$G$4801,$A264,[1]Products!$L$4:$L$4801,"Yes"))</f>
        <v>6</v>
      </c>
      <c r="R264" s="19">
        <f>IF($A264="","",COUNTIFS([1]Products!$G$4:$G$4801,$A264,[1]Products!$L$4:$L$4801,"Yes",[1]Products!$K$4:$K$4801,"Draft"))</f>
        <v>3</v>
      </c>
      <c r="S264" s="19">
        <f>IF($A264="","",COUNTIFS([1]Products!$G$4:$G$4801,$A264,[1]Products!$L$4:$L$4801,"Yes",[1]Products!$K$4:$K$4801,"Package"))</f>
        <v>3</v>
      </c>
      <c r="T264" s="20" t="str" cm="1">
        <f t="array" ref="T264">IF($A264="","",_xlfn.IFS($Q264=0,"NO ACTIVE SKUs",AND($R264&gt;0,$S264&gt;0),"Draft &amp; Package",$R264&gt;0,"Draft only",TRUE,"Package only"))</f>
        <v>Draft &amp; Package</v>
      </c>
    </row>
    <row r="265" spans="1:20" x14ac:dyDescent="0.2">
      <c r="A265" s="9" t="str">
        <v>Sun Cruiser</v>
      </c>
      <c r="B265" s="10" t="str">
        <f>IF($A265="","",_xlfn.XLOOKUP($A265,'[1]Brand Family Territory (Enc)'!$A:$A,'[1]Brand Family Territory (Enc)'!$B:$B,"** NO TERRITORY SET **"))</f>
        <v>Core Market</v>
      </c>
      <c r="C265" s="11" t="str">
        <f>IF($A265="","",_xlfn.LET(_xlpm.t,MATCH($B265,'[1]Territory Definitions'!$B$5:$B$14,0),IF(ISNA(_xlpm.t),"NO TERRITORY",IF(INDEX('[1]Territory Definitions'!$D$5:$M$14,_xlpm.t,MATCH(C$4,'[1]Territory Definitions'!$D$4:$M$4,0))&lt;&gt;1,"NOT IN TERRITORY",IF(COUNTIFS('[1]Blackout Brand Fam Areas (Enc)'!$B$6:$B$998,$A265,'[1]Blackout Brand Fam Areas (Enc)'!$C$6:$C$998,C$4,'[1]Blackout Brand Fam Areas (Enc)'!$D$6:$D$998,"Inactive")&gt;0,"BLOCKED","CAN SELL")))))</f>
        <v>CAN SELL</v>
      </c>
      <c r="D265" s="11" t="str">
        <f>IF($A265="","",_xlfn.LET(_xlpm.t,MATCH($B265,'[1]Territory Definitions'!$B$5:$B$14,0),IF(ISNA(_xlpm.t),"NO TERRITORY",IF(INDEX('[1]Territory Definitions'!$D$5:$M$14,_xlpm.t,MATCH(D$4,'[1]Territory Definitions'!$D$4:$M$4,0))&lt;&gt;1,"NOT IN TERRITORY",IF(COUNTIFS('[1]Blackout Brand Fam Areas (Enc)'!$B$6:$B$998,$A265,'[1]Blackout Brand Fam Areas (Enc)'!$C$6:$C$998,D$4,'[1]Blackout Brand Fam Areas (Enc)'!$D$6:$D$998,"Inactive")&gt;0,"BLOCKED","CAN SELL")))))</f>
        <v>CAN SELL</v>
      </c>
      <c r="E265" s="11" t="str">
        <f>IF($A265="","",_xlfn.LET(_xlpm.t,MATCH($B265,'[1]Territory Definitions'!$B$5:$B$14,0),IF(ISNA(_xlpm.t),"NO TERRITORY",IF(INDEX('[1]Territory Definitions'!$D$5:$M$14,_xlpm.t,MATCH(E$4,'[1]Territory Definitions'!$D$4:$M$4,0))&lt;&gt;1,"NOT IN TERRITORY",IF(COUNTIFS('[1]Blackout Brand Fam Areas (Enc)'!$B$6:$B$998,$A265,'[1]Blackout Brand Fam Areas (Enc)'!$C$6:$C$998,E$4,'[1]Blackout Brand Fam Areas (Enc)'!$D$6:$D$998,"Inactive")&gt;0,"BLOCKED","CAN SELL")))))</f>
        <v>CAN SELL</v>
      </c>
      <c r="F265" s="11" t="str">
        <f>IF($A265="","",_xlfn.LET(_xlpm.t,MATCH($B265,'[1]Territory Definitions'!$B$5:$B$14,0),IF(ISNA(_xlpm.t),"NO TERRITORY",IF(INDEX('[1]Territory Definitions'!$D$5:$M$14,_xlpm.t,MATCH(F$4,'[1]Territory Definitions'!$D$4:$M$4,0))&lt;&gt;1,"NOT IN TERRITORY",IF(COUNTIFS('[1]Blackout Brand Fam Areas (Enc)'!$B$6:$B$998,$A265,'[1]Blackout Brand Fam Areas (Enc)'!$C$6:$C$998,F$4,'[1]Blackout Brand Fam Areas (Enc)'!$D$6:$D$998,"Inactive")&gt;0,"BLOCKED","CAN SELL")))))</f>
        <v>NOT IN TERRITORY</v>
      </c>
      <c r="G265" s="11" t="str">
        <f>IF($A265="","",_xlfn.LET(_xlpm.t,MATCH($B265,'[1]Territory Definitions'!$B$5:$B$14,0),IF(ISNA(_xlpm.t),"NO TERRITORY",IF(INDEX('[1]Territory Definitions'!$D$5:$M$14,_xlpm.t,MATCH(G$4,'[1]Territory Definitions'!$D$4:$M$4,0))&lt;&gt;1,"NOT IN TERRITORY",IF(COUNTIFS('[1]Blackout Brand Fam Areas (Enc)'!$B$6:$B$998,$A265,'[1]Blackout Brand Fam Areas (Enc)'!$C$6:$C$998,G$4,'[1]Blackout Brand Fam Areas (Enc)'!$D$6:$D$998,"Inactive")&gt;0,"BLOCKED","CAN SELL")))))</f>
        <v>NOT IN TERRITORY</v>
      </c>
      <c r="H265" s="11" t="str">
        <f>IF($A265="","",_xlfn.LET(_xlpm.t,MATCH($B265,'[1]Territory Definitions'!$B$5:$B$14,0),IF(ISNA(_xlpm.t),"NO TERRITORY",IF(INDEX('[1]Territory Definitions'!$D$5:$M$14,_xlpm.t,MATCH(H$4,'[1]Territory Definitions'!$D$4:$M$4,0))&lt;&gt;1,"NOT IN TERRITORY",IF(COUNTIFS('[1]Blackout Brand Fam Areas (Enc)'!$B$6:$B$998,$A265,'[1]Blackout Brand Fam Areas (Enc)'!$C$6:$C$998,H$4,'[1]Blackout Brand Fam Areas (Enc)'!$D$6:$D$998,"Inactive")&gt;0,"BLOCKED","CAN SELL")))))</f>
        <v>NOT IN TERRITORY</v>
      </c>
      <c r="I265" s="11" t="str">
        <f>IF($A265="","",_xlfn.LET(_xlpm.t,MATCH($B265,'[1]Territory Definitions'!$B$5:$B$14,0),IF(ISNA(_xlpm.t),"NO TERRITORY",IF(INDEX('[1]Territory Definitions'!$D$5:$M$14,_xlpm.t,MATCH(I$4,'[1]Territory Definitions'!$D$4:$M$4,0))&lt;&gt;1,"NOT IN TERRITORY",IF(COUNTIFS('[1]Blackout Brand Fam Areas (Enc)'!$B$6:$B$998,$A265,'[1]Blackout Brand Fam Areas (Enc)'!$C$6:$C$998,I$4,'[1]Blackout Brand Fam Areas (Enc)'!$D$6:$D$998,"Inactive")&gt;0,"BLOCKED","CAN SELL")))))</f>
        <v>CAN SELL</v>
      </c>
      <c r="J265" s="11" t="str">
        <f>IF($A265="","",_xlfn.LET(_xlpm.t,MATCH($B265,'[1]Territory Definitions'!$B$5:$B$14,0),IF(ISNA(_xlpm.t),"NO TERRITORY",IF(INDEX('[1]Territory Definitions'!$D$5:$M$14,_xlpm.t,MATCH(J$4,'[1]Territory Definitions'!$D$4:$M$4,0))&lt;&gt;1,"NOT IN TERRITORY",IF(COUNTIFS('[1]Blackout Brand Fam Areas (Enc)'!$B$6:$B$998,$A265,'[1]Blackout Brand Fam Areas (Enc)'!$C$6:$C$998,J$4,'[1]Blackout Brand Fam Areas (Enc)'!$D$6:$D$998,"Inactive")&gt;0,"BLOCKED","CAN SELL")))))</f>
        <v>CAN SELL</v>
      </c>
      <c r="K265" s="11" t="str">
        <f>IF($A265="","",_xlfn.LET(_xlpm.t,MATCH($B265,'[1]Territory Definitions'!$B$5:$B$14,0),IF(ISNA(_xlpm.t),"NO TERRITORY",IF(INDEX('[1]Territory Definitions'!$D$5:$M$14,_xlpm.t,MATCH(K$4,'[1]Territory Definitions'!$D$4:$M$4,0))&lt;&gt;1,"NOT IN TERRITORY",IF(COUNTIFS('[1]Blackout Brand Fam Areas (Enc)'!$B$6:$B$998,$A265,'[1]Blackout Brand Fam Areas (Enc)'!$C$6:$C$998,K$4,'[1]Blackout Brand Fam Areas (Enc)'!$D$6:$D$998,"Inactive")&gt;0,"BLOCKED","CAN SELL")))))</f>
        <v>NOT IN TERRITORY</v>
      </c>
      <c r="L265" s="11" t="str">
        <f>IF($A265="","",_xlfn.LET(_xlpm.t,MATCH($B265,'[1]Territory Definitions'!$B$5:$B$14,0),IF(ISNA(_xlpm.t),"NO TERRITORY",IF(INDEX('[1]Territory Definitions'!$D$5:$M$14,_xlpm.t,MATCH(L$4,'[1]Territory Definitions'!$D$4:$M$4,0))&lt;&gt;1,"NOT IN TERRITORY",IF(COUNTIFS('[1]Blackout Brand Fam Areas (Enc)'!$B$6:$B$998,$A265,'[1]Blackout Brand Fam Areas (Enc)'!$C$6:$C$998,L$4,'[1]Blackout Brand Fam Areas (Enc)'!$D$6:$D$998,"Inactive")&gt;0,"BLOCKED","CAN SELL")))))</f>
        <v>CAN SELL</v>
      </c>
      <c r="M265" s="12">
        <f>IF($A265="","",COUNTIF($C265:$L265,"CAN SELL"))</f>
        <v>6</v>
      </c>
      <c r="N265" s="13" cm="1">
        <f t="array" ref="N265">IF($A265="","",SUMPRODUCT(($C265:$L265="CAN SELL")*$C$3:$L$3))</f>
        <v>1596</v>
      </c>
      <c r="O265" s="14" t="str">
        <f>IF($A265="","",IF(COUNTIF($A$5:$A$299,$A265)&gt;1,"DUPLICATE - two different territories assigned",IF($B265="** NO TERRITORY SET **","No territory on Brand Family Territory (Enc)","")))</f>
        <v/>
      </c>
      <c r="P265" s="18" t="str">
        <f>IF($A265="","",IFERROR(INDEX([1]Products!$H$4:$H$4801,MATCH($A265,[1]Products!$G$4:$G$4801,0)),"(no products)"))</f>
        <v>Boston Beer Company</v>
      </c>
      <c r="Q265" s="19">
        <f>IF($A265="","",COUNTIFS([1]Products!$G$4:$G$4801,$A265,[1]Products!$L$4:$L$4801,"Yes"))</f>
        <v>29</v>
      </c>
      <c r="R265" s="19">
        <f>IF($A265="","",COUNTIFS([1]Products!$G$4:$G$4801,$A265,[1]Products!$L$4:$L$4801,"Yes",[1]Products!$K$4:$K$4801,"Draft"))</f>
        <v>0</v>
      </c>
      <c r="S265" s="19">
        <f>IF($A265="","",COUNTIFS([1]Products!$G$4:$G$4801,$A265,[1]Products!$L$4:$L$4801,"Yes",[1]Products!$K$4:$K$4801,"Package"))</f>
        <v>0</v>
      </c>
      <c r="T265" s="20" t="str" cm="1">
        <f t="array" ref="T265">IF($A265="","",_xlfn.IFS($Q265=0,"NO ACTIVE SKUs",AND($R265&gt;0,$S265&gt;0),"Draft &amp; Package",$R265&gt;0,"Draft only",TRUE,"Package only"))</f>
        <v>Package only</v>
      </c>
    </row>
    <row r="266" spans="1:20" x14ac:dyDescent="0.2">
      <c r="A266" s="9" t="str">
        <v>Talkhouse Encore</v>
      </c>
      <c r="B266" s="10" t="str">
        <f>IF($A266="","",_xlfn.XLOOKUP($A266,'[1]Brand Family Territory (Enc)'!$A:$A,'[1]Brand Family Territory (Enc)'!$B:$B,"** NO TERRITORY SET **"))</f>
        <v>All Counties</v>
      </c>
      <c r="C266" s="11" t="str">
        <f>IF($A266="","",_xlfn.LET(_xlpm.t,MATCH($B266,'[1]Territory Definitions'!$B$5:$B$14,0),IF(ISNA(_xlpm.t),"NO TERRITORY",IF(INDEX('[1]Territory Definitions'!$D$5:$M$14,_xlpm.t,MATCH(C$4,'[1]Territory Definitions'!$D$4:$M$4,0))&lt;&gt;1,"NOT IN TERRITORY",IF(COUNTIFS('[1]Blackout Brand Fam Areas (Enc)'!$B$6:$B$998,$A266,'[1]Blackout Brand Fam Areas (Enc)'!$C$6:$C$998,C$4,'[1]Blackout Brand Fam Areas (Enc)'!$D$6:$D$998,"Inactive")&gt;0,"BLOCKED","CAN SELL")))))</f>
        <v>CAN SELL</v>
      </c>
      <c r="D266" s="11" t="str">
        <f>IF($A266="","",_xlfn.LET(_xlpm.t,MATCH($B266,'[1]Territory Definitions'!$B$5:$B$14,0),IF(ISNA(_xlpm.t),"NO TERRITORY",IF(INDEX('[1]Territory Definitions'!$D$5:$M$14,_xlpm.t,MATCH(D$4,'[1]Territory Definitions'!$D$4:$M$4,0))&lt;&gt;1,"NOT IN TERRITORY",IF(COUNTIFS('[1]Blackout Brand Fam Areas (Enc)'!$B$6:$B$998,$A266,'[1]Blackout Brand Fam Areas (Enc)'!$C$6:$C$998,D$4,'[1]Blackout Brand Fam Areas (Enc)'!$D$6:$D$998,"Inactive")&gt;0,"BLOCKED","CAN SELL")))))</f>
        <v>CAN SELL</v>
      </c>
      <c r="E266" s="11" t="str">
        <f>IF($A266="","",_xlfn.LET(_xlpm.t,MATCH($B266,'[1]Territory Definitions'!$B$5:$B$14,0),IF(ISNA(_xlpm.t),"NO TERRITORY",IF(INDEX('[1]Territory Definitions'!$D$5:$M$14,_xlpm.t,MATCH(E$4,'[1]Territory Definitions'!$D$4:$M$4,0))&lt;&gt;1,"NOT IN TERRITORY",IF(COUNTIFS('[1]Blackout Brand Fam Areas (Enc)'!$B$6:$B$998,$A266,'[1]Blackout Brand Fam Areas (Enc)'!$C$6:$C$998,E$4,'[1]Blackout Brand Fam Areas (Enc)'!$D$6:$D$998,"Inactive")&gt;0,"BLOCKED","CAN SELL")))))</f>
        <v>CAN SELL</v>
      </c>
      <c r="F266" s="11" t="str">
        <f>IF($A266="","",_xlfn.LET(_xlpm.t,MATCH($B266,'[1]Territory Definitions'!$B$5:$B$14,0),IF(ISNA(_xlpm.t),"NO TERRITORY",IF(INDEX('[1]Territory Definitions'!$D$5:$M$14,_xlpm.t,MATCH(F$4,'[1]Territory Definitions'!$D$4:$M$4,0))&lt;&gt;1,"NOT IN TERRITORY",IF(COUNTIFS('[1]Blackout Brand Fam Areas (Enc)'!$B$6:$B$998,$A266,'[1]Blackout Brand Fam Areas (Enc)'!$C$6:$C$998,F$4,'[1]Blackout Brand Fam Areas (Enc)'!$D$6:$D$998,"Inactive")&gt;0,"BLOCKED","CAN SELL")))))</f>
        <v>CAN SELL</v>
      </c>
      <c r="G266" s="11" t="str">
        <f>IF($A266="","",_xlfn.LET(_xlpm.t,MATCH($B266,'[1]Territory Definitions'!$B$5:$B$14,0),IF(ISNA(_xlpm.t),"NO TERRITORY",IF(INDEX('[1]Territory Definitions'!$D$5:$M$14,_xlpm.t,MATCH(G$4,'[1]Territory Definitions'!$D$4:$M$4,0))&lt;&gt;1,"NOT IN TERRITORY",IF(COUNTIFS('[1]Blackout Brand Fam Areas (Enc)'!$B$6:$B$998,$A266,'[1]Blackout Brand Fam Areas (Enc)'!$C$6:$C$998,G$4,'[1]Blackout Brand Fam Areas (Enc)'!$D$6:$D$998,"Inactive")&gt;0,"BLOCKED","CAN SELL")))))</f>
        <v>CAN SELL</v>
      </c>
      <c r="H266" s="11" t="str">
        <f>IF($A266="","",_xlfn.LET(_xlpm.t,MATCH($B266,'[1]Territory Definitions'!$B$5:$B$14,0),IF(ISNA(_xlpm.t),"NO TERRITORY",IF(INDEX('[1]Territory Definitions'!$D$5:$M$14,_xlpm.t,MATCH(H$4,'[1]Territory Definitions'!$D$4:$M$4,0))&lt;&gt;1,"NOT IN TERRITORY",IF(COUNTIFS('[1]Blackout Brand Fam Areas (Enc)'!$B$6:$B$998,$A266,'[1]Blackout Brand Fam Areas (Enc)'!$C$6:$C$998,H$4,'[1]Blackout Brand Fam Areas (Enc)'!$D$6:$D$998,"Inactive")&gt;0,"BLOCKED","CAN SELL")))))</f>
        <v>CAN SELL</v>
      </c>
      <c r="I266" s="11" t="str">
        <f>IF($A266="","",_xlfn.LET(_xlpm.t,MATCH($B266,'[1]Territory Definitions'!$B$5:$B$14,0),IF(ISNA(_xlpm.t),"NO TERRITORY",IF(INDEX('[1]Territory Definitions'!$D$5:$M$14,_xlpm.t,MATCH(I$4,'[1]Territory Definitions'!$D$4:$M$4,0))&lt;&gt;1,"NOT IN TERRITORY",IF(COUNTIFS('[1]Blackout Brand Fam Areas (Enc)'!$B$6:$B$998,$A266,'[1]Blackout Brand Fam Areas (Enc)'!$C$6:$C$998,I$4,'[1]Blackout Brand Fam Areas (Enc)'!$D$6:$D$998,"Inactive")&gt;0,"BLOCKED","CAN SELL")))))</f>
        <v>CAN SELL</v>
      </c>
      <c r="J266" s="11" t="str">
        <f>IF($A266="","",_xlfn.LET(_xlpm.t,MATCH($B266,'[1]Territory Definitions'!$B$5:$B$14,0),IF(ISNA(_xlpm.t),"NO TERRITORY",IF(INDEX('[1]Territory Definitions'!$D$5:$M$14,_xlpm.t,MATCH(J$4,'[1]Territory Definitions'!$D$4:$M$4,0))&lt;&gt;1,"NOT IN TERRITORY",IF(COUNTIFS('[1]Blackout Brand Fam Areas (Enc)'!$B$6:$B$998,$A266,'[1]Blackout Brand Fam Areas (Enc)'!$C$6:$C$998,J$4,'[1]Blackout Brand Fam Areas (Enc)'!$D$6:$D$998,"Inactive")&gt;0,"BLOCKED","CAN SELL")))))</f>
        <v>CAN SELL</v>
      </c>
      <c r="K266" s="11" t="str">
        <f>IF($A266="","",_xlfn.LET(_xlpm.t,MATCH($B266,'[1]Territory Definitions'!$B$5:$B$14,0),IF(ISNA(_xlpm.t),"NO TERRITORY",IF(INDEX('[1]Territory Definitions'!$D$5:$M$14,_xlpm.t,MATCH(K$4,'[1]Territory Definitions'!$D$4:$M$4,0))&lt;&gt;1,"NOT IN TERRITORY",IF(COUNTIFS('[1]Blackout Brand Fam Areas (Enc)'!$B$6:$B$998,$A266,'[1]Blackout Brand Fam Areas (Enc)'!$C$6:$C$998,K$4,'[1]Blackout Brand Fam Areas (Enc)'!$D$6:$D$998,"Inactive")&gt;0,"BLOCKED","CAN SELL")))))</f>
        <v>CAN SELL</v>
      </c>
      <c r="L266" s="11" t="str">
        <f>IF($A266="","",_xlfn.LET(_xlpm.t,MATCH($B266,'[1]Territory Definitions'!$B$5:$B$14,0),IF(ISNA(_xlpm.t),"NO TERRITORY",IF(INDEX('[1]Territory Definitions'!$D$5:$M$14,_xlpm.t,MATCH(L$4,'[1]Territory Definitions'!$D$4:$M$4,0))&lt;&gt;1,"NOT IN TERRITORY",IF(COUNTIFS('[1]Blackout Brand Fam Areas (Enc)'!$B$6:$B$998,$A266,'[1]Blackout Brand Fam Areas (Enc)'!$C$6:$C$998,L$4,'[1]Blackout Brand Fam Areas (Enc)'!$D$6:$D$998,"Inactive")&gt;0,"BLOCKED","CAN SELL")))))</f>
        <v>CAN SELL</v>
      </c>
      <c r="M266" s="12">
        <f>IF($A266="","",COUNTIF($C266:$L266,"CAN SELL"))</f>
        <v>10</v>
      </c>
      <c r="N266" s="13" cm="1">
        <f t="array" ref="N266">IF($A266="","",SUMPRODUCT(($C266:$L266="CAN SELL")*$C$3:$L$3))</f>
        <v>2306</v>
      </c>
      <c r="O266" s="14" t="str">
        <f>IF($A266="","",IF(COUNTIF($A$5:$A$299,$A266)&gt;1,"DUPLICATE - two different territories assigned",IF($B266="** NO TERRITORY SET **","No territory on Brand Family Territory (Enc)","")))</f>
        <v/>
      </c>
      <c r="P266" s="18" t="str">
        <f>IF($A266="","",IFERROR(INDEX([1]Products!$H$4:$H$4801,MATCH($A266,[1]Products!$G$4:$G$4801,0)),"(no products)"))</f>
        <v>Talkhouse Encore</v>
      </c>
      <c r="Q266" s="19">
        <f>IF($A266="","",COUNTIFS([1]Products!$G$4:$G$4801,$A266,[1]Products!$L$4:$L$4801,"Yes"))</f>
        <v>7</v>
      </c>
      <c r="R266" s="19">
        <f>IF($A266="","",COUNTIFS([1]Products!$G$4:$G$4801,$A266,[1]Products!$L$4:$L$4801,"Yes",[1]Products!$K$4:$K$4801,"Draft"))</f>
        <v>0</v>
      </c>
      <c r="S266" s="19">
        <f>IF($A266="","",COUNTIFS([1]Products!$G$4:$G$4801,$A266,[1]Products!$L$4:$L$4801,"Yes",[1]Products!$K$4:$K$4801,"Package"))</f>
        <v>0</v>
      </c>
      <c r="T266" s="20" t="str" cm="1">
        <f t="array" ref="T266">IF($A266="","",_xlfn.IFS($Q266=0,"NO ACTIVE SKUs",AND($R266&gt;0,$S266&gt;0),"Draft &amp; Package",$R266&gt;0,"Draft only",TRUE,"Package only"))</f>
        <v>Package only</v>
      </c>
    </row>
    <row r="267" spans="1:20" x14ac:dyDescent="0.2">
      <c r="A267" s="9" t="str">
        <v>Tecate</v>
      </c>
      <c r="B267" s="10" t="str">
        <f>IF($A267="","",_xlfn.XLOOKUP($A267,'[1]Brand Family Territory (Enc)'!$A:$A,'[1]Brand Family Territory (Enc)'!$B:$B,"** NO TERRITORY SET **"))</f>
        <v>Bergen &amp; Passaic</v>
      </c>
      <c r="C267" s="11" t="str">
        <f>IF($A267="","",_xlfn.LET(_xlpm.t,MATCH($B267,'[1]Territory Definitions'!$B$5:$B$14,0),IF(ISNA(_xlpm.t),"NO TERRITORY",IF(INDEX('[1]Territory Definitions'!$D$5:$M$14,_xlpm.t,MATCH(C$4,'[1]Territory Definitions'!$D$4:$M$4,0))&lt;&gt;1,"NOT IN TERRITORY",IF(COUNTIFS('[1]Blackout Brand Fam Areas (Enc)'!$B$6:$B$998,$A267,'[1]Blackout Brand Fam Areas (Enc)'!$C$6:$C$998,C$4,'[1]Blackout Brand Fam Areas (Enc)'!$D$6:$D$998,"Inactive")&gt;0,"BLOCKED","CAN SELL")))))</f>
        <v>CAN SELL</v>
      </c>
      <c r="D267" s="11" t="str">
        <f>IF($A267="","",_xlfn.LET(_xlpm.t,MATCH($B267,'[1]Territory Definitions'!$B$5:$B$14,0),IF(ISNA(_xlpm.t),"NO TERRITORY",IF(INDEX('[1]Territory Definitions'!$D$5:$M$14,_xlpm.t,MATCH(D$4,'[1]Territory Definitions'!$D$4:$M$4,0))&lt;&gt;1,"NOT IN TERRITORY",IF(COUNTIFS('[1]Blackout Brand Fam Areas (Enc)'!$B$6:$B$998,$A267,'[1]Blackout Brand Fam Areas (Enc)'!$C$6:$C$998,D$4,'[1]Blackout Brand Fam Areas (Enc)'!$D$6:$D$998,"Inactive")&gt;0,"BLOCKED","CAN SELL")))))</f>
        <v>CAN SELL</v>
      </c>
      <c r="E267" s="11" t="str">
        <f>IF($A267="","",_xlfn.LET(_xlpm.t,MATCH($B267,'[1]Territory Definitions'!$B$5:$B$14,0),IF(ISNA(_xlpm.t),"NO TERRITORY",IF(INDEX('[1]Territory Definitions'!$D$5:$M$14,_xlpm.t,MATCH(E$4,'[1]Territory Definitions'!$D$4:$M$4,0))&lt;&gt;1,"NOT IN TERRITORY",IF(COUNTIFS('[1]Blackout Brand Fam Areas (Enc)'!$B$6:$B$998,$A267,'[1]Blackout Brand Fam Areas (Enc)'!$C$6:$C$998,E$4,'[1]Blackout Brand Fam Areas (Enc)'!$D$6:$D$998,"Inactive")&gt;0,"BLOCKED","CAN SELL")))))</f>
        <v>CAN SELL</v>
      </c>
      <c r="F267" s="11" t="str">
        <f>IF($A267="","",_xlfn.LET(_xlpm.t,MATCH($B267,'[1]Territory Definitions'!$B$5:$B$14,0),IF(ISNA(_xlpm.t),"NO TERRITORY",IF(INDEX('[1]Territory Definitions'!$D$5:$M$14,_xlpm.t,MATCH(F$4,'[1]Territory Definitions'!$D$4:$M$4,0))&lt;&gt;1,"NOT IN TERRITORY",IF(COUNTIFS('[1]Blackout Brand Fam Areas (Enc)'!$B$6:$B$998,$A267,'[1]Blackout Brand Fam Areas (Enc)'!$C$6:$C$998,F$4,'[1]Blackout Brand Fam Areas (Enc)'!$D$6:$D$998,"Inactive")&gt;0,"BLOCKED","CAN SELL")))))</f>
        <v>NOT IN TERRITORY</v>
      </c>
      <c r="G267" s="11" t="str">
        <f>IF($A267="","",_xlfn.LET(_xlpm.t,MATCH($B267,'[1]Territory Definitions'!$B$5:$B$14,0),IF(ISNA(_xlpm.t),"NO TERRITORY",IF(INDEX('[1]Territory Definitions'!$D$5:$M$14,_xlpm.t,MATCH(G$4,'[1]Territory Definitions'!$D$4:$M$4,0))&lt;&gt;1,"NOT IN TERRITORY",IF(COUNTIFS('[1]Blackout Brand Fam Areas (Enc)'!$B$6:$B$998,$A267,'[1]Blackout Brand Fam Areas (Enc)'!$C$6:$C$998,G$4,'[1]Blackout Brand Fam Areas (Enc)'!$D$6:$D$998,"Inactive")&gt;0,"BLOCKED","CAN SELL")))))</f>
        <v>NOT IN TERRITORY</v>
      </c>
      <c r="H267" s="11" t="str">
        <f>IF($A267="","",_xlfn.LET(_xlpm.t,MATCH($B267,'[1]Territory Definitions'!$B$5:$B$14,0),IF(ISNA(_xlpm.t),"NO TERRITORY",IF(INDEX('[1]Territory Definitions'!$D$5:$M$14,_xlpm.t,MATCH(H$4,'[1]Territory Definitions'!$D$4:$M$4,0))&lt;&gt;1,"NOT IN TERRITORY",IF(COUNTIFS('[1]Blackout Brand Fam Areas (Enc)'!$B$6:$B$998,$A267,'[1]Blackout Brand Fam Areas (Enc)'!$C$6:$C$998,H$4,'[1]Blackout Brand Fam Areas (Enc)'!$D$6:$D$998,"Inactive")&gt;0,"BLOCKED","CAN SELL")))))</f>
        <v>NOT IN TERRITORY</v>
      </c>
      <c r="I267" s="11" t="str">
        <f>IF($A267="","",_xlfn.LET(_xlpm.t,MATCH($B267,'[1]Territory Definitions'!$B$5:$B$14,0),IF(ISNA(_xlpm.t),"NO TERRITORY",IF(INDEX('[1]Territory Definitions'!$D$5:$M$14,_xlpm.t,MATCH(I$4,'[1]Territory Definitions'!$D$4:$M$4,0))&lt;&gt;1,"NOT IN TERRITORY",IF(COUNTIFS('[1]Blackout Brand Fam Areas (Enc)'!$B$6:$B$998,$A267,'[1]Blackout Brand Fam Areas (Enc)'!$C$6:$C$998,I$4,'[1]Blackout Brand Fam Areas (Enc)'!$D$6:$D$998,"Inactive")&gt;0,"BLOCKED","CAN SELL")))))</f>
        <v>NOT IN TERRITORY</v>
      </c>
      <c r="J267" s="11" t="str">
        <f>IF($A267="","",_xlfn.LET(_xlpm.t,MATCH($B267,'[1]Territory Definitions'!$B$5:$B$14,0),IF(ISNA(_xlpm.t),"NO TERRITORY",IF(INDEX('[1]Territory Definitions'!$D$5:$M$14,_xlpm.t,MATCH(J$4,'[1]Territory Definitions'!$D$4:$M$4,0))&lt;&gt;1,"NOT IN TERRITORY",IF(COUNTIFS('[1]Blackout Brand Fam Areas (Enc)'!$B$6:$B$998,$A267,'[1]Blackout Brand Fam Areas (Enc)'!$C$6:$C$998,J$4,'[1]Blackout Brand Fam Areas (Enc)'!$D$6:$D$998,"Inactive")&gt;0,"BLOCKED","CAN SELL")))))</f>
        <v>NOT IN TERRITORY</v>
      </c>
      <c r="K267" s="11" t="str">
        <f>IF($A267="","",_xlfn.LET(_xlpm.t,MATCH($B267,'[1]Territory Definitions'!$B$5:$B$14,0),IF(ISNA(_xlpm.t),"NO TERRITORY",IF(INDEX('[1]Territory Definitions'!$D$5:$M$14,_xlpm.t,MATCH(K$4,'[1]Territory Definitions'!$D$4:$M$4,0))&lt;&gt;1,"NOT IN TERRITORY",IF(COUNTIFS('[1]Blackout Brand Fam Areas (Enc)'!$B$6:$B$998,$A267,'[1]Blackout Brand Fam Areas (Enc)'!$C$6:$C$998,K$4,'[1]Blackout Brand Fam Areas (Enc)'!$D$6:$D$998,"Inactive")&gt;0,"BLOCKED","CAN SELL")))))</f>
        <v>NOT IN TERRITORY</v>
      </c>
      <c r="L267" s="11" t="str">
        <f>IF($A267="","",_xlfn.LET(_xlpm.t,MATCH($B267,'[1]Territory Definitions'!$B$5:$B$14,0),IF(ISNA(_xlpm.t),"NO TERRITORY",IF(INDEX('[1]Territory Definitions'!$D$5:$M$14,_xlpm.t,MATCH(L$4,'[1]Territory Definitions'!$D$4:$M$4,0))&lt;&gt;1,"NOT IN TERRITORY",IF(COUNTIFS('[1]Blackout Brand Fam Areas (Enc)'!$B$6:$B$998,$A267,'[1]Blackout Brand Fam Areas (Enc)'!$C$6:$C$998,L$4,'[1]Blackout Brand Fam Areas (Enc)'!$D$6:$D$998,"Inactive")&gt;0,"BLOCKED","CAN SELL")))))</f>
        <v>NOT IN TERRITORY</v>
      </c>
      <c r="M267" s="12">
        <f>IF($A267="","",COUNTIF($C267:$L267,"CAN SELL"))</f>
        <v>3</v>
      </c>
      <c r="N267" s="13" cm="1">
        <f t="array" ref="N267">IF($A267="","",SUMPRODUCT(($C267:$L267="CAN SELL")*$C$3:$L$3))</f>
        <v>1282</v>
      </c>
      <c r="O267" s="14" t="str">
        <f>IF($A267="","",IF(COUNTIF($A$5:$A$299,$A267)&gt;1,"DUPLICATE - two different territories assigned",IF($B267="** NO TERRITORY SET **","No territory on Brand Family Territory (Enc)","")))</f>
        <v/>
      </c>
      <c r="P267" s="18" t="str">
        <f>IF($A267="","",IFERROR(INDEX([1]Products!$H$4:$H$4801,MATCH($A267,[1]Products!$G$4:$G$4801,0)),"(no products)"))</f>
        <v>Heineken USA</v>
      </c>
      <c r="Q267" s="19">
        <f>IF($A267="","",COUNTIFS([1]Products!$G$4:$G$4801,$A267,[1]Products!$L$4:$L$4801,"Yes"))</f>
        <v>6</v>
      </c>
      <c r="R267" s="19">
        <f>IF($A267="","",COUNTIFS([1]Products!$G$4:$G$4801,$A267,[1]Products!$L$4:$L$4801,"Yes",[1]Products!$K$4:$K$4801,"Draft"))</f>
        <v>0</v>
      </c>
      <c r="S267" s="19">
        <f>IF($A267="","",COUNTIFS([1]Products!$G$4:$G$4801,$A267,[1]Products!$L$4:$L$4801,"Yes",[1]Products!$K$4:$K$4801,"Package"))</f>
        <v>6</v>
      </c>
      <c r="T267" s="20" t="str" cm="1">
        <f t="array" ref="T267">IF($A267="","",_xlfn.IFS($Q267=0,"NO ACTIVE SKUs",AND($R267&gt;0,$S267&gt;0),"Draft &amp; Package",$R267&gt;0,"Draft only",TRUE,"Package only"))</f>
        <v>Package only</v>
      </c>
    </row>
    <row r="268" spans="1:20" x14ac:dyDescent="0.2">
      <c r="A268" s="9" t="str">
        <v>Tecate Light</v>
      </c>
      <c r="B268" s="10" t="str">
        <f>IF($A268="","",_xlfn.XLOOKUP($A268,'[1]Brand Family Territory (Enc)'!$A:$A,'[1]Brand Family Territory (Enc)'!$B:$B,"** NO TERRITORY SET **"))</f>
        <v>Bergen &amp; Passaic</v>
      </c>
      <c r="C268" s="11" t="str">
        <f>IF($A268="","",_xlfn.LET(_xlpm.t,MATCH($B268,'[1]Territory Definitions'!$B$5:$B$14,0),IF(ISNA(_xlpm.t),"NO TERRITORY",IF(INDEX('[1]Territory Definitions'!$D$5:$M$14,_xlpm.t,MATCH(C$4,'[1]Territory Definitions'!$D$4:$M$4,0))&lt;&gt;1,"NOT IN TERRITORY",IF(COUNTIFS('[1]Blackout Brand Fam Areas (Enc)'!$B$6:$B$998,$A268,'[1]Blackout Brand Fam Areas (Enc)'!$C$6:$C$998,C$4,'[1]Blackout Brand Fam Areas (Enc)'!$D$6:$D$998,"Inactive")&gt;0,"BLOCKED","CAN SELL")))))</f>
        <v>CAN SELL</v>
      </c>
      <c r="D268" s="11" t="str">
        <f>IF($A268="","",_xlfn.LET(_xlpm.t,MATCH($B268,'[1]Territory Definitions'!$B$5:$B$14,0),IF(ISNA(_xlpm.t),"NO TERRITORY",IF(INDEX('[1]Territory Definitions'!$D$5:$M$14,_xlpm.t,MATCH(D$4,'[1]Territory Definitions'!$D$4:$M$4,0))&lt;&gt;1,"NOT IN TERRITORY",IF(COUNTIFS('[1]Blackout Brand Fam Areas (Enc)'!$B$6:$B$998,$A268,'[1]Blackout Brand Fam Areas (Enc)'!$C$6:$C$998,D$4,'[1]Blackout Brand Fam Areas (Enc)'!$D$6:$D$998,"Inactive")&gt;0,"BLOCKED","CAN SELL")))))</f>
        <v>CAN SELL</v>
      </c>
      <c r="E268" s="11" t="str">
        <f>IF($A268="","",_xlfn.LET(_xlpm.t,MATCH($B268,'[1]Territory Definitions'!$B$5:$B$14,0),IF(ISNA(_xlpm.t),"NO TERRITORY",IF(INDEX('[1]Territory Definitions'!$D$5:$M$14,_xlpm.t,MATCH(E$4,'[1]Territory Definitions'!$D$4:$M$4,0))&lt;&gt;1,"NOT IN TERRITORY",IF(COUNTIFS('[1]Blackout Brand Fam Areas (Enc)'!$B$6:$B$998,$A268,'[1]Blackout Brand Fam Areas (Enc)'!$C$6:$C$998,E$4,'[1]Blackout Brand Fam Areas (Enc)'!$D$6:$D$998,"Inactive")&gt;0,"BLOCKED","CAN SELL")))))</f>
        <v>CAN SELL</v>
      </c>
      <c r="F268" s="11" t="str">
        <f>IF($A268="","",_xlfn.LET(_xlpm.t,MATCH($B268,'[1]Territory Definitions'!$B$5:$B$14,0),IF(ISNA(_xlpm.t),"NO TERRITORY",IF(INDEX('[1]Territory Definitions'!$D$5:$M$14,_xlpm.t,MATCH(F$4,'[1]Territory Definitions'!$D$4:$M$4,0))&lt;&gt;1,"NOT IN TERRITORY",IF(COUNTIFS('[1]Blackout Brand Fam Areas (Enc)'!$B$6:$B$998,$A268,'[1]Blackout Brand Fam Areas (Enc)'!$C$6:$C$998,F$4,'[1]Blackout Brand Fam Areas (Enc)'!$D$6:$D$998,"Inactive")&gt;0,"BLOCKED","CAN SELL")))))</f>
        <v>NOT IN TERRITORY</v>
      </c>
      <c r="G268" s="11" t="str">
        <f>IF($A268="","",_xlfn.LET(_xlpm.t,MATCH($B268,'[1]Territory Definitions'!$B$5:$B$14,0),IF(ISNA(_xlpm.t),"NO TERRITORY",IF(INDEX('[1]Territory Definitions'!$D$5:$M$14,_xlpm.t,MATCH(G$4,'[1]Territory Definitions'!$D$4:$M$4,0))&lt;&gt;1,"NOT IN TERRITORY",IF(COUNTIFS('[1]Blackout Brand Fam Areas (Enc)'!$B$6:$B$998,$A268,'[1]Blackout Brand Fam Areas (Enc)'!$C$6:$C$998,G$4,'[1]Blackout Brand Fam Areas (Enc)'!$D$6:$D$998,"Inactive")&gt;0,"BLOCKED","CAN SELL")))))</f>
        <v>NOT IN TERRITORY</v>
      </c>
      <c r="H268" s="11" t="str">
        <f>IF($A268="","",_xlfn.LET(_xlpm.t,MATCH($B268,'[1]Territory Definitions'!$B$5:$B$14,0),IF(ISNA(_xlpm.t),"NO TERRITORY",IF(INDEX('[1]Territory Definitions'!$D$5:$M$14,_xlpm.t,MATCH(H$4,'[1]Territory Definitions'!$D$4:$M$4,0))&lt;&gt;1,"NOT IN TERRITORY",IF(COUNTIFS('[1]Blackout Brand Fam Areas (Enc)'!$B$6:$B$998,$A268,'[1]Blackout Brand Fam Areas (Enc)'!$C$6:$C$998,H$4,'[1]Blackout Brand Fam Areas (Enc)'!$D$6:$D$998,"Inactive")&gt;0,"BLOCKED","CAN SELL")))))</f>
        <v>NOT IN TERRITORY</v>
      </c>
      <c r="I268" s="11" t="str">
        <f>IF($A268="","",_xlfn.LET(_xlpm.t,MATCH($B268,'[1]Territory Definitions'!$B$5:$B$14,0),IF(ISNA(_xlpm.t),"NO TERRITORY",IF(INDEX('[1]Territory Definitions'!$D$5:$M$14,_xlpm.t,MATCH(I$4,'[1]Territory Definitions'!$D$4:$M$4,0))&lt;&gt;1,"NOT IN TERRITORY",IF(COUNTIFS('[1]Blackout Brand Fam Areas (Enc)'!$B$6:$B$998,$A268,'[1]Blackout Brand Fam Areas (Enc)'!$C$6:$C$998,I$4,'[1]Blackout Brand Fam Areas (Enc)'!$D$6:$D$998,"Inactive")&gt;0,"BLOCKED","CAN SELL")))))</f>
        <v>NOT IN TERRITORY</v>
      </c>
      <c r="J268" s="11" t="str">
        <f>IF($A268="","",_xlfn.LET(_xlpm.t,MATCH($B268,'[1]Territory Definitions'!$B$5:$B$14,0),IF(ISNA(_xlpm.t),"NO TERRITORY",IF(INDEX('[1]Territory Definitions'!$D$5:$M$14,_xlpm.t,MATCH(J$4,'[1]Territory Definitions'!$D$4:$M$4,0))&lt;&gt;1,"NOT IN TERRITORY",IF(COUNTIFS('[1]Blackout Brand Fam Areas (Enc)'!$B$6:$B$998,$A268,'[1]Blackout Brand Fam Areas (Enc)'!$C$6:$C$998,J$4,'[1]Blackout Brand Fam Areas (Enc)'!$D$6:$D$998,"Inactive")&gt;0,"BLOCKED","CAN SELL")))))</f>
        <v>NOT IN TERRITORY</v>
      </c>
      <c r="K268" s="11" t="str">
        <f>IF($A268="","",_xlfn.LET(_xlpm.t,MATCH($B268,'[1]Territory Definitions'!$B$5:$B$14,0),IF(ISNA(_xlpm.t),"NO TERRITORY",IF(INDEX('[1]Territory Definitions'!$D$5:$M$14,_xlpm.t,MATCH(K$4,'[1]Territory Definitions'!$D$4:$M$4,0))&lt;&gt;1,"NOT IN TERRITORY",IF(COUNTIFS('[1]Blackout Brand Fam Areas (Enc)'!$B$6:$B$998,$A268,'[1]Blackout Brand Fam Areas (Enc)'!$C$6:$C$998,K$4,'[1]Blackout Brand Fam Areas (Enc)'!$D$6:$D$998,"Inactive")&gt;0,"BLOCKED","CAN SELL")))))</f>
        <v>NOT IN TERRITORY</v>
      </c>
      <c r="L268" s="11" t="str">
        <f>IF($A268="","",_xlfn.LET(_xlpm.t,MATCH($B268,'[1]Territory Definitions'!$B$5:$B$14,0),IF(ISNA(_xlpm.t),"NO TERRITORY",IF(INDEX('[1]Territory Definitions'!$D$5:$M$14,_xlpm.t,MATCH(L$4,'[1]Territory Definitions'!$D$4:$M$4,0))&lt;&gt;1,"NOT IN TERRITORY",IF(COUNTIFS('[1]Blackout Brand Fam Areas (Enc)'!$B$6:$B$998,$A268,'[1]Blackout Brand Fam Areas (Enc)'!$C$6:$C$998,L$4,'[1]Blackout Brand Fam Areas (Enc)'!$D$6:$D$998,"Inactive")&gt;0,"BLOCKED","CAN SELL")))))</f>
        <v>NOT IN TERRITORY</v>
      </c>
      <c r="M268" s="12">
        <f>IF($A268="","",COUNTIF($C268:$L268,"CAN SELL"))</f>
        <v>3</v>
      </c>
      <c r="N268" s="13" cm="1">
        <f t="array" ref="N268">IF($A268="","",SUMPRODUCT(($C268:$L268="CAN SELL")*$C$3:$L$3))</f>
        <v>1282</v>
      </c>
      <c r="O268" s="14" t="str">
        <f>IF($A268="","",IF(COUNTIF($A$5:$A$299,$A268)&gt;1,"DUPLICATE - two different territories assigned",IF($B268="** NO TERRITORY SET **","No territory on Brand Family Territory (Enc)","")))</f>
        <v/>
      </c>
      <c r="P268" s="18" t="str">
        <f>IF($A268="","",IFERROR(INDEX([1]Products!$H$4:$H$4801,MATCH($A268,[1]Products!$G$4:$G$4801,0)),"(no products)"))</f>
        <v>Heineken USA</v>
      </c>
      <c r="Q268" s="19">
        <f>IF($A268="","",COUNTIFS([1]Products!$G$4:$G$4801,$A268,[1]Products!$L$4:$L$4801,"Yes"))</f>
        <v>1</v>
      </c>
      <c r="R268" s="19">
        <f>IF($A268="","",COUNTIFS([1]Products!$G$4:$G$4801,$A268,[1]Products!$L$4:$L$4801,"Yes",[1]Products!$K$4:$K$4801,"Draft"))</f>
        <v>0</v>
      </c>
      <c r="S268" s="19">
        <f>IF($A268="","",COUNTIFS([1]Products!$G$4:$G$4801,$A268,[1]Products!$L$4:$L$4801,"Yes",[1]Products!$K$4:$K$4801,"Package"))</f>
        <v>1</v>
      </c>
      <c r="T268" s="20" t="str" cm="1">
        <f t="array" ref="T268">IF($A268="","",_xlfn.IFS($Q268=0,"NO ACTIVE SKUs",AND($R268&gt;0,$S268&gt;0),"Draft &amp; Package",$R268&gt;0,"Draft only",TRUE,"Package only"))</f>
        <v>Package only</v>
      </c>
    </row>
    <row r="269" spans="1:20" x14ac:dyDescent="0.2">
      <c r="A269" s="9" t="str">
        <v>The Drop</v>
      </c>
      <c r="B269" s="10" t="str">
        <f>IF($A269="","",_xlfn.XLOOKUP($A269,'[1]Brand Family Territory (Enc)'!$A:$A,'[1]Brand Family Territory (Enc)'!$B:$B,"** NO TERRITORY SET **"))</f>
        <v>Core Market</v>
      </c>
      <c r="C269" s="11" t="str">
        <f>IF($A269="","",_xlfn.LET(_xlpm.t,MATCH($B269,'[1]Territory Definitions'!$B$5:$B$14,0),IF(ISNA(_xlpm.t),"NO TERRITORY",IF(INDEX('[1]Territory Definitions'!$D$5:$M$14,_xlpm.t,MATCH(C$4,'[1]Territory Definitions'!$D$4:$M$4,0))&lt;&gt;1,"NOT IN TERRITORY",IF(COUNTIFS('[1]Blackout Brand Fam Areas (Enc)'!$B$6:$B$998,$A269,'[1]Blackout Brand Fam Areas (Enc)'!$C$6:$C$998,C$4,'[1]Blackout Brand Fam Areas (Enc)'!$D$6:$D$998,"Inactive")&gt;0,"BLOCKED","CAN SELL")))))</f>
        <v>CAN SELL</v>
      </c>
      <c r="D269" s="11" t="str">
        <f>IF($A269="","",_xlfn.LET(_xlpm.t,MATCH($B269,'[1]Territory Definitions'!$B$5:$B$14,0),IF(ISNA(_xlpm.t),"NO TERRITORY",IF(INDEX('[1]Territory Definitions'!$D$5:$M$14,_xlpm.t,MATCH(D$4,'[1]Territory Definitions'!$D$4:$M$4,0))&lt;&gt;1,"NOT IN TERRITORY",IF(COUNTIFS('[1]Blackout Brand Fam Areas (Enc)'!$B$6:$B$998,$A269,'[1]Blackout Brand Fam Areas (Enc)'!$C$6:$C$998,D$4,'[1]Blackout Brand Fam Areas (Enc)'!$D$6:$D$998,"Inactive")&gt;0,"BLOCKED","CAN SELL")))))</f>
        <v>CAN SELL</v>
      </c>
      <c r="E269" s="11" t="str">
        <f>IF($A269="","",_xlfn.LET(_xlpm.t,MATCH($B269,'[1]Territory Definitions'!$B$5:$B$14,0),IF(ISNA(_xlpm.t),"NO TERRITORY",IF(INDEX('[1]Territory Definitions'!$D$5:$M$14,_xlpm.t,MATCH(E$4,'[1]Territory Definitions'!$D$4:$M$4,0))&lt;&gt;1,"NOT IN TERRITORY",IF(COUNTIFS('[1]Blackout Brand Fam Areas (Enc)'!$B$6:$B$998,$A269,'[1]Blackout Brand Fam Areas (Enc)'!$C$6:$C$998,E$4,'[1]Blackout Brand Fam Areas (Enc)'!$D$6:$D$998,"Inactive")&gt;0,"BLOCKED","CAN SELL")))))</f>
        <v>CAN SELL</v>
      </c>
      <c r="F269" s="11" t="str">
        <f>IF($A269="","",_xlfn.LET(_xlpm.t,MATCH($B269,'[1]Territory Definitions'!$B$5:$B$14,0),IF(ISNA(_xlpm.t),"NO TERRITORY",IF(INDEX('[1]Territory Definitions'!$D$5:$M$14,_xlpm.t,MATCH(F$4,'[1]Territory Definitions'!$D$4:$M$4,0))&lt;&gt;1,"NOT IN TERRITORY",IF(COUNTIFS('[1]Blackout Brand Fam Areas (Enc)'!$B$6:$B$998,$A269,'[1]Blackout Brand Fam Areas (Enc)'!$C$6:$C$998,F$4,'[1]Blackout Brand Fam Areas (Enc)'!$D$6:$D$998,"Inactive")&gt;0,"BLOCKED","CAN SELL")))))</f>
        <v>NOT IN TERRITORY</v>
      </c>
      <c r="G269" s="11" t="str">
        <f>IF($A269="","",_xlfn.LET(_xlpm.t,MATCH($B269,'[1]Territory Definitions'!$B$5:$B$14,0),IF(ISNA(_xlpm.t),"NO TERRITORY",IF(INDEX('[1]Territory Definitions'!$D$5:$M$14,_xlpm.t,MATCH(G$4,'[1]Territory Definitions'!$D$4:$M$4,0))&lt;&gt;1,"NOT IN TERRITORY",IF(COUNTIFS('[1]Blackout Brand Fam Areas (Enc)'!$B$6:$B$998,$A269,'[1]Blackout Brand Fam Areas (Enc)'!$C$6:$C$998,G$4,'[1]Blackout Brand Fam Areas (Enc)'!$D$6:$D$998,"Inactive")&gt;0,"BLOCKED","CAN SELL")))))</f>
        <v>NOT IN TERRITORY</v>
      </c>
      <c r="H269" s="11" t="str">
        <f>IF($A269="","",_xlfn.LET(_xlpm.t,MATCH($B269,'[1]Territory Definitions'!$B$5:$B$14,0),IF(ISNA(_xlpm.t),"NO TERRITORY",IF(INDEX('[1]Territory Definitions'!$D$5:$M$14,_xlpm.t,MATCH(H$4,'[1]Territory Definitions'!$D$4:$M$4,0))&lt;&gt;1,"NOT IN TERRITORY",IF(COUNTIFS('[1]Blackout Brand Fam Areas (Enc)'!$B$6:$B$998,$A269,'[1]Blackout Brand Fam Areas (Enc)'!$C$6:$C$998,H$4,'[1]Blackout Brand Fam Areas (Enc)'!$D$6:$D$998,"Inactive")&gt;0,"BLOCKED","CAN SELL")))))</f>
        <v>NOT IN TERRITORY</v>
      </c>
      <c r="I269" s="11" t="str">
        <f>IF($A269="","",_xlfn.LET(_xlpm.t,MATCH($B269,'[1]Territory Definitions'!$B$5:$B$14,0),IF(ISNA(_xlpm.t),"NO TERRITORY",IF(INDEX('[1]Territory Definitions'!$D$5:$M$14,_xlpm.t,MATCH(I$4,'[1]Territory Definitions'!$D$4:$M$4,0))&lt;&gt;1,"NOT IN TERRITORY",IF(COUNTIFS('[1]Blackout Brand Fam Areas (Enc)'!$B$6:$B$998,$A269,'[1]Blackout Brand Fam Areas (Enc)'!$C$6:$C$998,I$4,'[1]Blackout Brand Fam Areas (Enc)'!$D$6:$D$998,"Inactive")&gt;0,"BLOCKED","CAN SELL")))))</f>
        <v>CAN SELL</v>
      </c>
      <c r="J269" s="11" t="str">
        <f>IF($A269="","",_xlfn.LET(_xlpm.t,MATCH($B269,'[1]Territory Definitions'!$B$5:$B$14,0),IF(ISNA(_xlpm.t),"NO TERRITORY",IF(INDEX('[1]Territory Definitions'!$D$5:$M$14,_xlpm.t,MATCH(J$4,'[1]Territory Definitions'!$D$4:$M$4,0))&lt;&gt;1,"NOT IN TERRITORY",IF(COUNTIFS('[1]Blackout Brand Fam Areas (Enc)'!$B$6:$B$998,$A269,'[1]Blackout Brand Fam Areas (Enc)'!$C$6:$C$998,J$4,'[1]Blackout Brand Fam Areas (Enc)'!$D$6:$D$998,"Inactive")&gt;0,"BLOCKED","CAN SELL")))))</f>
        <v>CAN SELL</v>
      </c>
      <c r="K269" s="11" t="str">
        <f>IF($A269="","",_xlfn.LET(_xlpm.t,MATCH($B269,'[1]Territory Definitions'!$B$5:$B$14,0),IF(ISNA(_xlpm.t),"NO TERRITORY",IF(INDEX('[1]Territory Definitions'!$D$5:$M$14,_xlpm.t,MATCH(K$4,'[1]Territory Definitions'!$D$4:$M$4,0))&lt;&gt;1,"NOT IN TERRITORY",IF(COUNTIFS('[1]Blackout Brand Fam Areas (Enc)'!$B$6:$B$998,$A269,'[1]Blackout Brand Fam Areas (Enc)'!$C$6:$C$998,K$4,'[1]Blackout Brand Fam Areas (Enc)'!$D$6:$D$998,"Inactive")&gt;0,"BLOCKED","CAN SELL")))))</f>
        <v>NOT IN TERRITORY</v>
      </c>
      <c r="L269" s="11" t="str">
        <f>IF($A269="","",_xlfn.LET(_xlpm.t,MATCH($B269,'[1]Territory Definitions'!$B$5:$B$14,0),IF(ISNA(_xlpm.t),"NO TERRITORY",IF(INDEX('[1]Territory Definitions'!$D$5:$M$14,_xlpm.t,MATCH(L$4,'[1]Territory Definitions'!$D$4:$M$4,0))&lt;&gt;1,"NOT IN TERRITORY",IF(COUNTIFS('[1]Blackout Brand Fam Areas (Enc)'!$B$6:$B$998,$A269,'[1]Blackout Brand Fam Areas (Enc)'!$C$6:$C$998,L$4,'[1]Blackout Brand Fam Areas (Enc)'!$D$6:$D$998,"Inactive")&gt;0,"BLOCKED","CAN SELL")))))</f>
        <v>CAN SELL</v>
      </c>
      <c r="M269" s="12">
        <f>IF($A269="","",COUNTIF($C269:$L269,"CAN SELL"))</f>
        <v>6</v>
      </c>
      <c r="N269" s="13" cm="1">
        <f t="array" ref="N269">IF($A269="","",SUMPRODUCT(($C269:$L269="CAN SELL")*$C$3:$L$3))</f>
        <v>1596</v>
      </c>
      <c r="O269" s="14" t="str">
        <f>IF($A269="","",IF(COUNTIF($A$5:$A$299,$A269)&gt;1,"DUPLICATE - two different territories assigned",IF($B269="** NO TERRITORY SET **","No territory on Brand Family Territory (Enc)","")))</f>
        <v/>
      </c>
      <c r="P269" s="18" t="str">
        <f>IF($A269="","",IFERROR(INDEX([1]Products!$H$4:$H$4801,MATCH($A269,[1]Products!$G$4:$G$4801,0)),"(no products)"))</f>
        <v>Constellation Brands</v>
      </c>
      <c r="Q269" s="19">
        <f>IF($A269="","",COUNTIFS([1]Products!$G$4:$G$4801,$A269,[1]Products!$L$4:$L$4801,"Yes"))</f>
        <v>2</v>
      </c>
      <c r="R269" s="19">
        <f>IF($A269="","",COUNTIFS([1]Products!$G$4:$G$4801,$A269,[1]Products!$L$4:$L$4801,"Yes",[1]Products!$K$4:$K$4801,"Draft"))</f>
        <v>0</v>
      </c>
      <c r="S269" s="19">
        <f>IF($A269="","",COUNTIFS([1]Products!$G$4:$G$4801,$A269,[1]Products!$L$4:$L$4801,"Yes",[1]Products!$K$4:$K$4801,"Package"))</f>
        <v>2</v>
      </c>
      <c r="T269" s="20" t="str" cm="1">
        <f t="array" ref="T269">IF($A269="","",_xlfn.IFS($Q269=0,"NO ACTIVE SKUs",AND($R269&gt;0,$S269&gt;0),"Draft &amp; Package",$R269&gt;0,"Draft only",TRUE,"Package only"))</f>
        <v>Package only</v>
      </c>
    </row>
    <row r="270" spans="1:20" x14ac:dyDescent="0.2">
      <c r="A270" s="9" t="str">
        <v>The Garden State Experience</v>
      </c>
      <c r="B270" s="10" t="str">
        <f>IF($A270="","",_xlfn.XLOOKUP($A270,'[1]Brand Family Territory (Enc)'!$A:$A,'[1]Brand Family Territory (Enc)'!$B:$B,"** NO TERRITORY SET **"))</f>
        <v>All Counties</v>
      </c>
      <c r="C270" s="11" t="str">
        <f>IF($A270="","",_xlfn.LET(_xlpm.t,MATCH($B270,'[1]Territory Definitions'!$B$5:$B$14,0),IF(ISNA(_xlpm.t),"NO TERRITORY",IF(INDEX('[1]Territory Definitions'!$D$5:$M$14,_xlpm.t,MATCH(C$4,'[1]Territory Definitions'!$D$4:$M$4,0))&lt;&gt;1,"NOT IN TERRITORY",IF(COUNTIFS('[1]Blackout Brand Fam Areas (Enc)'!$B$6:$B$998,$A270,'[1]Blackout Brand Fam Areas (Enc)'!$C$6:$C$998,C$4,'[1]Blackout Brand Fam Areas (Enc)'!$D$6:$D$998,"Inactive")&gt;0,"BLOCKED","CAN SELL")))))</f>
        <v>CAN SELL</v>
      </c>
      <c r="D270" s="11" t="str">
        <f>IF($A270="","",_xlfn.LET(_xlpm.t,MATCH($B270,'[1]Territory Definitions'!$B$5:$B$14,0),IF(ISNA(_xlpm.t),"NO TERRITORY",IF(INDEX('[1]Territory Definitions'!$D$5:$M$14,_xlpm.t,MATCH(D$4,'[1]Territory Definitions'!$D$4:$M$4,0))&lt;&gt;1,"NOT IN TERRITORY",IF(COUNTIFS('[1]Blackout Brand Fam Areas (Enc)'!$B$6:$B$998,$A270,'[1]Blackout Brand Fam Areas (Enc)'!$C$6:$C$998,D$4,'[1]Blackout Brand Fam Areas (Enc)'!$D$6:$D$998,"Inactive")&gt;0,"BLOCKED","CAN SELL")))))</f>
        <v>CAN SELL</v>
      </c>
      <c r="E270" s="11" t="str">
        <f>IF($A270="","",_xlfn.LET(_xlpm.t,MATCH($B270,'[1]Territory Definitions'!$B$5:$B$14,0),IF(ISNA(_xlpm.t),"NO TERRITORY",IF(INDEX('[1]Territory Definitions'!$D$5:$M$14,_xlpm.t,MATCH(E$4,'[1]Territory Definitions'!$D$4:$M$4,0))&lt;&gt;1,"NOT IN TERRITORY",IF(COUNTIFS('[1]Blackout Brand Fam Areas (Enc)'!$B$6:$B$998,$A270,'[1]Blackout Brand Fam Areas (Enc)'!$C$6:$C$998,E$4,'[1]Blackout Brand Fam Areas (Enc)'!$D$6:$D$998,"Inactive")&gt;0,"BLOCKED","CAN SELL")))))</f>
        <v>CAN SELL</v>
      </c>
      <c r="F270" s="11" t="str">
        <f>IF($A270="","",_xlfn.LET(_xlpm.t,MATCH($B270,'[1]Territory Definitions'!$B$5:$B$14,0),IF(ISNA(_xlpm.t),"NO TERRITORY",IF(INDEX('[1]Territory Definitions'!$D$5:$M$14,_xlpm.t,MATCH(F$4,'[1]Territory Definitions'!$D$4:$M$4,0))&lt;&gt;1,"NOT IN TERRITORY",IF(COUNTIFS('[1]Blackout Brand Fam Areas (Enc)'!$B$6:$B$998,$A270,'[1]Blackout Brand Fam Areas (Enc)'!$C$6:$C$998,F$4,'[1]Blackout Brand Fam Areas (Enc)'!$D$6:$D$998,"Inactive")&gt;0,"BLOCKED","CAN SELL")))))</f>
        <v>CAN SELL</v>
      </c>
      <c r="G270" s="11" t="str">
        <f>IF($A270="","",_xlfn.LET(_xlpm.t,MATCH($B270,'[1]Territory Definitions'!$B$5:$B$14,0),IF(ISNA(_xlpm.t),"NO TERRITORY",IF(INDEX('[1]Territory Definitions'!$D$5:$M$14,_xlpm.t,MATCH(G$4,'[1]Territory Definitions'!$D$4:$M$4,0))&lt;&gt;1,"NOT IN TERRITORY",IF(COUNTIFS('[1]Blackout Brand Fam Areas (Enc)'!$B$6:$B$998,$A270,'[1]Blackout Brand Fam Areas (Enc)'!$C$6:$C$998,G$4,'[1]Blackout Brand Fam Areas (Enc)'!$D$6:$D$998,"Inactive")&gt;0,"BLOCKED","CAN SELL")))))</f>
        <v>CAN SELL</v>
      </c>
      <c r="H270" s="11" t="str">
        <f>IF($A270="","",_xlfn.LET(_xlpm.t,MATCH($B270,'[1]Territory Definitions'!$B$5:$B$14,0),IF(ISNA(_xlpm.t),"NO TERRITORY",IF(INDEX('[1]Territory Definitions'!$D$5:$M$14,_xlpm.t,MATCH(H$4,'[1]Territory Definitions'!$D$4:$M$4,0))&lt;&gt;1,"NOT IN TERRITORY",IF(COUNTIFS('[1]Blackout Brand Fam Areas (Enc)'!$B$6:$B$998,$A270,'[1]Blackout Brand Fam Areas (Enc)'!$C$6:$C$998,H$4,'[1]Blackout Brand Fam Areas (Enc)'!$D$6:$D$998,"Inactive")&gt;0,"BLOCKED","CAN SELL")))))</f>
        <v>CAN SELL</v>
      </c>
      <c r="I270" s="11" t="str">
        <f>IF($A270="","",_xlfn.LET(_xlpm.t,MATCH($B270,'[1]Territory Definitions'!$B$5:$B$14,0),IF(ISNA(_xlpm.t),"NO TERRITORY",IF(INDEX('[1]Territory Definitions'!$D$5:$M$14,_xlpm.t,MATCH(I$4,'[1]Territory Definitions'!$D$4:$M$4,0))&lt;&gt;1,"NOT IN TERRITORY",IF(COUNTIFS('[1]Blackout Brand Fam Areas (Enc)'!$B$6:$B$998,$A270,'[1]Blackout Brand Fam Areas (Enc)'!$C$6:$C$998,I$4,'[1]Blackout Brand Fam Areas (Enc)'!$D$6:$D$998,"Inactive")&gt;0,"BLOCKED","CAN SELL")))))</f>
        <v>CAN SELL</v>
      </c>
      <c r="J270" s="11" t="str">
        <f>IF($A270="","",_xlfn.LET(_xlpm.t,MATCH($B270,'[1]Territory Definitions'!$B$5:$B$14,0),IF(ISNA(_xlpm.t),"NO TERRITORY",IF(INDEX('[1]Territory Definitions'!$D$5:$M$14,_xlpm.t,MATCH(J$4,'[1]Territory Definitions'!$D$4:$M$4,0))&lt;&gt;1,"NOT IN TERRITORY",IF(COUNTIFS('[1]Blackout Brand Fam Areas (Enc)'!$B$6:$B$998,$A270,'[1]Blackout Brand Fam Areas (Enc)'!$C$6:$C$998,J$4,'[1]Blackout Brand Fam Areas (Enc)'!$D$6:$D$998,"Inactive")&gt;0,"BLOCKED","CAN SELL")))))</f>
        <v>CAN SELL</v>
      </c>
      <c r="K270" s="11" t="str">
        <f>IF($A270="","",_xlfn.LET(_xlpm.t,MATCH($B270,'[1]Territory Definitions'!$B$5:$B$14,0),IF(ISNA(_xlpm.t),"NO TERRITORY",IF(INDEX('[1]Territory Definitions'!$D$5:$M$14,_xlpm.t,MATCH(K$4,'[1]Territory Definitions'!$D$4:$M$4,0))&lt;&gt;1,"NOT IN TERRITORY",IF(COUNTIFS('[1]Blackout Brand Fam Areas (Enc)'!$B$6:$B$998,$A270,'[1]Blackout Brand Fam Areas (Enc)'!$C$6:$C$998,K$4,'[1]Blackout Brand Fam Areas (Enc)'!$D$6:$D$998,"Inactive")&gt;0,"BLOCKED","CAN SELL")))))</f>
        <v>CAN SELL</v>
      </c>
      <c r="L270" s="11" t="str">
        <f>IF($A270="","",_xlfn.LET(_xlpm.t,MATCH($B270,'[1]Territory Definitions'!$B$5:$B$14,0),IF(ISNA(_xlpm.t),"NO TERRITORY",IF(INDEX('[1]Territory Definitions'!$D$5:$M$14,_xlpm.t,MATCH(L$4,'[1]Territory Definitions'!$D$4:$M$4,0))&lt;&gt;1,"NOT IN TERRITORY",IF(COUNTIFS('[1]Blackout Brand Fam Areas (Enc)'!$B$6:$B$998,$A270,'[1]Blackout Brand Fam Areas (Enc)'!$C$6:$C$998,L$4,'[1]Blackout Brand Fam Areas (Enc)'!$D$6:$D$998,"Inactive")&gt;0,"BLOCKED","CAN SELL")))))</f>
        <v>CAN SELL</v>
      </c>
      <c r="M270" s="12">
        <f>IF($A270="","",COUNTIF($C270:$L270,"CAN SELL"))</f>
        <v>10</v>
      </c>
      <c r="N270" s="13" cm="1">
        <f t="array" ref="N270">IF($A270="","",SUMPRODUCT(($C270:$L270="CAN SELL")*$C$3:$L$3))</f>
        <v>2306</v>
      </c>
      <c r="O270" s="14" t="str">
        <f>IF($A270="","",IF(COUNTIF($A$5:$A$299,$A270)&gt;1,"DUPLICATE - two different territories assigned",IF($B270="** NO TERRITORY SET **","No territory on Brand Family Territory (Enc)","")))</f>
        <v/>
      </c>
      <c r="P270" s="18" t="str">
        <f>IF($A270="","",IFERROR(INDEX([1]Products!$H$4:$H$4801,MATCH($A270,[1]Products!$G$4:$G$4801,0)),"(no products)"))</f>
        <v>(no products)</v>
      </c>
      <c r="Q270" s="19">
        <f>IF($A270="","",COUNTIFS([1]Products!$G$4:$G$4801,$A270,[1]Products!$L$4:$L$4801,"Yes"))</f>
        <v>0</v>
      </c>
      <c r="R270" s="19">
        <f>IF($A270="","",COUNTIFS([1]Products!$G$4:$G$4801,$A270,[1]Products!$L$4:$L$4801,"Yes",[1]Products!$K$4:$K$4801,"Draft"))</f>
        <v>0</v>
      </c>
      <c r="S270" s="19">
        <f>IF($A270="","",COUNTIFS([1]Products!$G$4:$G$4801,$A270,[1]Products!$L$4:$L$4801,"Yes",[1]Products!$K$4:$K$4801,"Package"))</f>
        <v>0</v>
      </c>
      <c r="T270" s="20" t="str" cm="1">
        <f t="array" ref="T270">IF($A270="","",_xlfn.IFS($Q270=0,"NO ACTIVE SKUs",AND($R270&gt;0,$S270&gt;0),"Draft &amp; Package",$R270&gt;0,"Draft only",TRUE,"Package only"))</f>
        <v>NO ACTIVE SKUs</v>
      </c>
    </row>
    <row r="271" spans="1:20" x14ac:dyDescent="0.2">
      <c r="A271" s="9" t="str">
        <v>The Old G</v>
      </c>
      <c r="B271" s="10" t="str">
        <f>IF($A271="","",_xlfn.XLOOKUP($A271,'[1]Brand Family Territory (Enc)'!$A:$A,'[1]Brand Family Territory (Enc)'!$B:$B,"** NO TERRITORY SET **"))</f>
        <v>All Counties</v>
      </c>
      <c r="C271" s="11" t="str">
        <f>IF($A271="","",_xlfn.LET(_xlpm.t,MATCH($B271,'[1]Territory Definitions'!$B$5:$B$14,0),IF(ISNA(_xlpm.t),"NO TERRITORY",IF(INDEX('[1]Territory Definitions'!$D$5:$M$14,_xlpm.t,MATCH(C$4,'[1]Territory Definitions'!$D$4:$M$4,0))&lt;&gt;1,"NOT IN TERRITORY",IF(COUNTIFS('[1]Blackout Brand Fam Areas (Enc)'!$B$6:$B$998,$A271,'[1]Blackout Brand Fam Areas (Enc)'!$C$6:$C$998,C$4,'[1]Blackout Brand Fam Areas (Enc)'!$D$6:$D$998,"Inactive")&gt;0,"BLOCKED","CAN SELL")))))</f>
        <v>CAN SELL</v>
      </c>
      <c r="D271" s="11" t="str">
        <f>IF($A271="","",_xlfn.LET(_xlpm.t,MATCH($B271,'[1]Territory Definitions'!$B$5:$B$14,0),IF(ISNA(_xlpm.t),"NO TERRITORY",IF(INDEX('[1]Territory Definitions'!$D$5:$M$14,_xlpm.t,MATCH(D$4,'[1]Territory Definitions'!$D$4:$M$4,0))&lt;&gt;1,"NOT IN TERRITORY",IF(COUNTIFS('[1]Blackout Brand Fam Areas (Enc)'!$B$6:$B$998,$A271,'[1]Blackout Brand Fam Areas (Enc)'!$C$6:$C$998,D$4,'[1]Blackout Brand Fam Areas (Enc)'!$D$6:$D$998,"Inactive")&gt;0,"BLOCKED","CAN SELL")))))</f>
        <v>CAN SELL</v>
      </c>
      <c r="E271" s="11" t="str">
        <f>IF($A271="","",_xlfn.LET(_xlpm.t,MATCH($B271,'[1]Territory Definitions'!$B$5:$B$14,0),IF(ISNA(_xlpm.t),"NO TERRITORY",IF(INDEX('[1]Territory Definitions'!$D$5:$M$14,_xlpm.t,MATCH(E$4,'[1]Territory Definitions'!$D$4:$M$4,0))&lt;&gt;1,"NOT IN TERRITORY",IF(COUNTIFS('[1]Blackout Brand Fam Areas (Enc)'!$B$6:$B$998,$A271,'[1]Blackout Brand Fam Areas (Enc)'!$C$6:$C$998,E$4,'[1]Blackout Brand Fam Areas (Enc)'!$D$6:$D$998,"Inactive")&gt;0,"BLOCKED","CAN SELL")))))</f>
        <v>CAN SELL</v>
      </c>
      <c r="F271" s="11" t="str">
        <f>IF($A271="","",_xlfn.LET(_xlpm.t,MATCH($B271,'[1]Territory Definitions'!$B$5:$B$14,0),IF(ISNA(_xlpm.t),"NO TERRITORY",IF(INDEX('[1]Territory Definitions'!$D$5:$M$14,_xlpm.t,MATCH(F$4,'[1]Territory Definitions'!$D$4:$M$4,0))&lt;&gt;1,"NOT IN TERRITORY",IF(COUNTIFS('[1]Blackout Brand Fam Areas (Enc)'!$B$6:$B$998,$A271,'[1]Blackout Brand Fam Areas (Enc)'!$C$6:$C$998,F$4,'[1]Blackout Brand Fam Areas (Enc)'!$D$6:$D$998,"Inactive")&gt;0,"BLOCKED","CAN SELL")))))</f>
        <v>CAN SELL</v>
      </c>
      <c r="G271" s="11" t="str">
        <f>IF($A271="","",_xlfn.LET(_xlpm.t,MATCH($B271,'[1]Territory Definitions'!$B$5:$B$14,0),IF(ISNA(_xlpm.t),"NO TERRITORY",IF(INDEX('[1]Territory Definitions'!$D$5:$M$14,_xlpm.t,MATCH(G$4,'[1]Territory Definitions'!$D$4:$M$4,0))&lt;&gt;1,"NOT IN TERRITORY",IF(COUNTIFS('[1]Blackout Brand Fam Areas (Enc)'!$B$6:$B$998,$A271,'[1]Blackout Brand Fam Areas (Enc)'!$C$6:$C$998,G$4,'[1]Blackout Brand Fam Areas (Enc)'!$D$6:$D$998,"Inactive")&gt;0,"BLOCKED","CAN SELL")))))</f>
        <v>CAN SELL</v>
      </c>
      <c r="H271" s="11" t="str">
        <f>IF($A271="","",_xlfn.LET(_xlpm.t,MATCH($B271,'[1]Territory Definitions'!$B$5:$B$14,0),IF(ISNA(_xlpm.t),"NO TERRITORY",IF(INDEX('[1]Territory Definitions'!$D$5:$M$14,_xlpm.t,MATCH(H$4,'[1]Territory Definitions'!$D$4:$M$4,0))&lt;&gt;1,"NOT IN TERRITORY",IF(COUNTIFS('[1]Blackout Brand Fam Areas (Enc)'!$B$6:$B$998,$A271,'[1]Blackout Brand Fam Areas (Enc)'!$C$6:$C$998,H$4,'[1]Blackout Brand Fam Areas (Enc)'!$D$6:$D$998,"Inactive")&gt;0,"BLOCKED","CAN SELL")))))</f>
        <v>CAN SELL</v>
      </c>
      <c r="I271" s="11" t="str">
        <f>IF($A271="","",_xlfn.LET(_xlpm.t,MATCH($B271,'[1]Territory Definitions'!$B$5:$B$14,0),IF(ISNA(_xlpm.t),"NO TERRITORY",IF(INDEX('[1]Territory Definitions'!$D$5:$M$14,_xlpm.t,MATCH(I$4,'[1]Territory Definitions'!$D$4:$M$4,0))&lt;&gt;1,"NOT IN TERRITORY",IF(COUNTIFS('[1]Blackout Brand Fam Areas (Enc)'!$B$6:$B$998,$A271,'[1]Blackout Brand Fam Areas (Enc)'!$C$6:$C$998,I$4,'[1]Blackout Brand Fam Areas (Enc)'!$D$6:$D$998,"Inactive")&gt;0,"BLOCKED","CAN SELL")))))</f>
        <v>CAN SELL</v>
      </c>
      <c r="J271" s="11" t="str">
        <f>IF($A271="","",_xlfn.LET(_xlpm.t,MATCH($B271,'[1]Territory Definitions'!$B$5:$B$14,0),IF(ISNA(_xlpm.t),"NO TERRITORY",IF(INDEX('[1]Territory Definitions'!$D$5:$M$14,_xlpm.t,MATCH(J$4,'[1]Territory Definitions'!$D$4:$M$4,0))&lt;&gt;1,"NOT IN TERRITORY",IF(COUNTIFS('[1]Blackout Brand Fam Areas (Enc)'!$B$6:$B$998,$A271,'[1]Blackout Brand Fam Areas (Enc)'!$C$6:$C$998,J$4,'[1]Blackout Brand Fam Areas (Enc)'!$D$6:$D$998,"Inactive")&gt;0,"BLOCKED","CAN SELL")))))</f>
        <v>CAN SELL</v>
      </c>
      <c r="K271" s="11" t="str">
        <f>IF($A271="","",_xlfn.LET(_xlpm.t,MATCH($B271,'[1]Territory Definitions'!$B$5:$B$14,0),IF(ISNA(_xlpm.t),"NO TERRITORY",IF(INDEX('[1]Territory Definitions'!$D$5:$M$14,_xlpm.t,MATCH(K$4,'[1]Territory Definitions'!$D$4:$M$4,0))&lt;&gt;1,"NOT IN TERRITORY",IF(COUNTIFS('[1]Blackout Brand Fam Areas (Enc)'!$B$6:$B$998,$A271,'[1]Blackout Brand Fam Areas (Enc)'!$C$6:$C$998,K$4,'[1]Blackout Brand Fam Areas (Enc)'!$D$6:$D$998,"Inactive")&gt;0,"BLOCKED","CAN SELL")))))</f>
        <v>CAN SELL</v>
      </c>
      <c r="L271" s="11" t="str">
        <f>IF($A271="","",_xlfn.LET(_xlpm.t,MATCH($B271,'[1]Territory Definitions'!$B$5:$B$14,0),IF(ISNA(_xlpm.t),"NO TERRITORY",IF(INDEX('[1]Territory Definitions'!$D$5:$M$14,_xlpm.t,MATCH(L$4,'[1]Territory Definitions'!$D$4:$M$4,0))&lt;&gt;1,"NOT IN TERRITORY",IF(COUNTIFS('[1]Blackout Brand Fam Areas (Enc)'!$B$6:$B$998,$A271,'[1]Blackout Brand Fam Areas (Enc)'!$C$6:$C$998,L$4,'[1]Blackout Brand Fam Areas (Enc)'!$D$6:$D$998,"Inactive")&gt;0,"BLOCKED","CAN SELL")))))</f>
        <v>CAN SELL</v>
      </c>
      <c r="M271" s="12">
        <f>IF($A271="","",COUNTIF($C271:$L271,"CAN SELL"))</f>
        <v>10</v>
      </c>
      <c r="N271" s="13" cm="1">
        <f t="array" ref="N271">IF($A271="","",SUMPRODUCT(($C271:$L271="CAN SELL")*$C$3:$L$3))</f>
        <v>2306</v>
      </c>
      <c r="O271" s="14" t="str">
        <f>IF($A271="","",IF(COUNTIF($A$5:$A$299,$A271)&gt;1,"DUPLICATE - two different territories assigned",IF($B271="** NO TERRITORY SET **","No territory on Brand Family Territory (Enc)","")))</f>
        <v/>
      </c>
      <c r="P271" s="18" t="str">
        <f>IF($A271="","",IFERROR(INDEX([1]Products!$H$4:$H$4801,MATCH($A271,[1]Products!$G$4:$G$4801,0)),"(no products)"))</f>
        <v>The Old G LLC</v>
      </c>
      <c r="Q271" s="19">
        <f>IF($A271="","",COUNTIFS([1]Products!$G$4:$G$4801,$A271,[1]Products!$L$4:$L$4801,"Yes"))</f>
        <v>0</v>
      </c>
      <c r="R271" s="19">
        <f>IF($A271="","",COUNTIFS([1]Products!$G$4:$G$4801,$A271,[1]Products!$L$4:$L$4801,"Yes",[1]Products!$K$4:$K$4801,"Draft"))</f>
        <v>0</v>
      </c>
      <c r="S271" s="19">
        <f>IF($A271="","",COUNTIFS([1]Products!$G$4:$G$4801,$A271,[1]Products!$L$4:$L$4801,"Yes",[1]Products!$K$4:$K$4801,"Package"))</f>
        <v>0</v>
      </c>
      <c r="T271" s="20" t="str" cm="1">
        <f t="array" ref="T271">IF($A271="","",_xlfn.IFS($Q271=0,"NO ACTIVE SKUs",AND($R271&gt;0,$S271&gt;0),"Draft &amp; Package",$R271&gt;0,"Draft only",TRUE,"Package only"))</f>
        <v>NO ACTIVE SKUs</v>
      </c>
    </row>
    <row r="272" spans="1:20" x14ac:dyDescent="0.2">
      <c r="A272" s="9" t="str">
        <v>Topo Chico</v>
      </c>
      <c r="B272" s="10" t="str">
        <f>IF($A272="","",_xlfn.XLOOKUP($A272,'[1]Brand Family Territory (Enc)'!$A:$A,'[1]Brand Family Territory (Enc)'!$B:$B,"** NO TERRITORY SET **"))</f>
        <v>Core Market</v>
      </c>
      <c r="C272" s="11" t="str">
        <f>IF($A272="","",_xlfn.LET(_xlpm.t,MATCH($B272,'[1]Territory Definitions'!$B$5:$B$14,0),IF(ISNA(_xlpm.t),"NO TERRITORY",IF(INDEX('[1]Territory Definitions'!$D$5:$M$14,_xlpm.t,MATCH(C$4,'[1]Territory Definitions'!$D$4:$M$4,0))&lt;&gt;1,"NOT IN TERRITORY",IF(COUNTIFS('[1]Blackout Brand Fam Areas (Enc)'!$B$6:$B$998,$A272,'[1]Blackout Brand Fam Areas (Enc)'!$C$6:$C$998,C$4,'[1]Blackout Brand Fam Areas (Enc)'!$D$6:$D$998,"Inactive")&gt;0,"BLOCKED","CAN SELL")))))</f>
        <v>CAN SELL</v>
      </c>
      <c r="D272" s="11" t="str">
        <f>IF($A272="","",_xlfn.LET(_xlpm.t,MATCH($B272,'[1]Territory Definitions'!$B$5:$B$14,0),IF(ISNA(_xlpm.t),"NO TERRITORY",IF(INDEX('[1]Territory Definitions'!$D$5:$M$14,_xlpm.t,MATCH(D$4,'[1]Territory Definitions'!$D$4:$M$4,0))&lt;&gt;1,"NOT IN TERRITORY",IF(COUNTIFS('[1]Blackout Brand Fam Areas (Enc)'!$B$6:$B$998,$A272,'[1]Blackout Brand Fam Areas (Enc)'!$C$6:$C$998,D$4,'[1]Blackout Brand Fam Areas (Enc)'!$D$6:$D$998,"Inactive")&gt;0,"BLOCKED","CAN SELL")))))</f>
        <v>CAN SELL</v>
      </c>
      <c r="E272" s="11" t="str">
        <f>IF($A272="","",_xlfn.LET(_xlpm.t,MATCH($B272,'[1]Territory Definitions'!$B$5:$B$14,0),IF(ISNA(_xlpm.t),"NO TERRITORY",IF(INDEX('[1]Territory Definitions'!$D$5:$M$14,_xlpm.t,MATCH(E$4,'[1]Territory Definitions'!$D$4:$M$4,0))&lt;&gt;1,"NOT IN TERRITORY",IF(COUNTIFS('[1]Blackout Brand Fam Areas (Enc)'!$B$6:$B$998,$A272,'[1]Blackout Brand Fam Areas (Enc)'!$C$6:$C$998,E$4,'[1]Blackout Brand Fam Areas (Enc)'!$D$6:$D$998,"Inactive")&gt;0,"BLOCKED","CAN SELL")))))</f>
        <v>CAN SELL</v>
      </c>
      <c r="F272" s="11" t="str">
        <f>IF($A272="","",_xlfn.LET(_xlpm.t,MATCH($B272,'[1]Territory Definitions'!$B$5:$B$14,0),IF(ISNA(_xlpm.t),"NO TERRITORY",IF(INDEX('[1]Territory Definitions'!$D$5:$M$14,_xlpm.t,MATCH(F$4,'[1]Territory Definitions'!$D$4:$M$4,0))&lt;&gt;1,"NOT IN TERRITORY",IF(COUNTIFS('[1]Blackout Brand Fam Areas (Enc)'!$B$6:$B$998,$A272,'[1]Blackout Brand Fam Areas (Enc)'!$C$6:$C$998,F$4,'[1]Blackout Brand Fam Areas (Enc)'!$D$6:$D$998,"Inactive")&gt;0,"BLOCKED","CAN SELL")))))</f>
        <v>NOT IN TERRITORY</v>
      </c>
      <c r="G272" s="11" t="str">
        <f>IF($A272="","",_xlfn.LET(_xlpm.t,MATCH($B272,'[1]Territory Definitions'!$B$5:$B$14,0),IF(ISNA(_xlpm.t),"NO TERRITORY",IF(INDEX('[1]Territory Definitions'!$D$5:$M$14,_xlpm.t,MATCH(G$4,'[1]Territory Definitions'!$D$4:$M$4,0))&lt;&gt;1,"NOT IN TERRITORY",IF(COUNTIFS('[1]Blackout Brand Fam Areas (Enc)'!$B$6:$B$998,$A272,'[1]Blackout Brand Fam Areas (Enc)'!$C$6:$C$998,G$4,'[1]Blackout Brand Fam Areas (Enc)'!$D$6:$D$998,"Inactive")&gt;0,"BLOCKED","CAN SELL")))))</f>
        <v>NOT IN TERRITORY</v>
      </c>
      <c r="H272" s="11" t="str">
        <f>IF($A272="","",_xlfn.LET(_xlpm.t,MATCH($B272,'[1]Territory Definitions'!$B$5:$B$14,0),IF(ISNA(_xlpm.t),"NO TERRITORY",IF(INDEX('[1]Territory Definitions'!$D$5:$M$14,_xlpm.t,MATCH(H$4,'[1]Territory Definitions'!$D$4:$M$4,0))&lt;&gt;1,"NOT IN TERRITORY",IF(COUNTIFS('[1]Blackout Brand Fam Areas (Enc)'!$B$6:$B$998,$A272,'[1]Blackout Brand Fam Areas (Enc)'!$C$6:$C$998,H$4,'[1]Blackout Brand Fam Areas (Enc)'!$D$6:$D$998,"Inactive")&gt;0,"BLOCKED","CAN SELL")))))</f>
        <v>NOT IN TERRITORY</v>
      </c>
      <c r="I272" s="11" t="str">
        <f>IF($A272="","",_xlfn.LET(_xlpm.t,MATCH($B272,'[1]Territory Definitions'!$B$5:$B$14,0),IF(ISNA(_xlpm.t),"NO TERRITORY",IF(INDEX('[1]Territory Definitions'!$D$5:$M$14,_xlpm.t,MATCH(I$4,'[1]Territory Definitions'!$D$4:$M$4,0))&lt;&gt;1,"NOT IN TERRITORY",IF(COUNTIFS('[1]Blackout Brand Fam Areas (Enc)'!$B$6:$B$998,$A272,'[1]Blackout Brand Fam Areas (Enc)'!$C$6:$C$998,I$4,'[1]Blackout Brand Fam Areas (Enc)'!$D$6:$D$998,"Inactive")&gt;0,"BLOCKED","CAN SELL")))))</f>
        <v>CAN SELL</v>
      </c>
      <c r="J272" s="11" t="str">
        <f>IF($A272="","",_xlfn.LET(_xlpm.t,MATCH($B272,'[1]Territory Definitions'!$B$5:$B$14,0),IF(ISNA(_xlpm.t),"NO TERRITORY",IF(INDEX('[1]Territory Definitions'!$D$5:$M$14,_xlpm.t,MATCH(J$4,'[1]Territory Definitions'!$D$4:$M$4,0))&lt;&gt;1,"NOT IN TERRITORY",IF(COUNTIFS('[1]Blackout Brand Fam Areas (Enc)'!$B$6:$B$998,$A272,'[1]Blackout Brand Fam Areas (Enc)'!$C$6:$C$998,J$4,'[1]Blackout Brand Fam Areas (Enc)'!$D$6:$D$998,"Inactive")&gt;0,"BLOCKED","CAN SELL")))))</f>
        <v>CAN SELL</v>
      </c>
      <c r="K272" s="11" t="str">
        <f>IF($A272="","",_xlfn.LET(_xlpm.t,MATCH($B272,'[1]Territory Definitions'!$B$5:$B$14,0),IF(ISNA(_xlpm.t),"NO TERRITORY",IF(INDEX('[1]Territory Definitions'!$D$5:$M$14,_xlpm.t,MATCH(K$4,'[1]Territory Definitions'!$D$4:$M$4,0))&lt;&gt;1,"NOT IN TERRITORY",IF(COUNTIFS('[1]Blackout Brand Fam Areas (Enc)'!$B$6:$B$998,$A272,'[1]Blackout Brand Fam Areas (Enc)'!$C$6:$C$998,K$4,'[1]Blackout Brand Fam Areas (Enc)'!$D$6:$D$998,"Inactive")&gt;0,"BLOCKED","CAN SELL")))))</f>
        <v>NOT IN TERRITORY</v>
      </c>
      <c r="L272" s="11" t="str">
        <f>IF($A272="","",_xlfn.LET(_xlpm.t,MATCH($B272,'[1]Territory Definitions'!$B$5:$B$14,0),IF(ISNA(_xlpm.t),"NO TERRITORY",IF(INDEX('[1]Territory Definitions'!$D$5:$M$14,_xlpm.t,MATCH(L$4,'[1]Territory Definitions'!$D$4:$M$4,0))&lt;&gt;1,"NOT IN TERRITORY",IF(COUNTIFS('[1]Blackout Brand Fam Areas (Enc)'!$B$6:$B$998,$A272,'[1]Blackout Brand Fam Areas (Enc)'!$C$6:$C$998,L$4,'[1]Blackout Brand Fam Areas (Enc)'!$D$6:$D$998,"Inactive")&gt;0,"BLOCKED","CAN SELL")))))</f>
        <v>CAN SELL</v>
      </c>
      <c r="M272" s="12">
        <f>IF($A272="","",COUNTIF($C272:$L272,"CAN SELL"))</f>
        <v>6</v>
      </c>
      <c r="N272" s="13" cm="1">
        <f t="array" ref="N272">IF($A272="","",SUMPRODUCT(($C272:$L272="CAN SELL")*$C$3:$L$3))</f>
        <v>1596</v>
      </c>
      <c r="O272" s="14" t="str">
        <f>IF($A272="","",IF(COUNTIF($A$5:$A$299,$A272)&gt;1,"DUPLICATE - two different territories assigned",IF($B272="** NO TERRITORY SET **","No territory on Brand Family Territory (Enc)","")))</f>
        <v/>
      </c>
      <c r="P272" s="18" t="str">
        <f>IF($A272="","",IFERROR(INDEX([1]Products!$H$4:$H$4801,MATCH($A272,[1]Products!$G$4:$G$4801,0)),"(no products)"))</f>
        <v>MolsonCoors Beverage Company</v>
      </c>
      <c r="Q272" s="19">
        <f>IF($A272="","",COUNTIFS([1]Products!$G$4:$G$4801,$A272,[1]Products!$L$4:$L$4801,"Yes"))</f>
        <v>5</v>
      </c>
      <c r="R272" s="19">
        <f>IF($A272="","",COUNTIFS([1]Products!$G$4:$G$4801,$A272,[1]Products!$L$4:$L$4801,"Yes",[1]Products!$K$4:$K$4801,"Draft"))</f>
        <v>0</v>
      </c>
      <c r="S272" s="19">
        <f>IF($A272="","",COUNTIFS([1]Products!$G$4:$G$4801,$A272,[1]Products!$L$4:$L$4801,"Yes",[1]Products!$K$4:$K$4801,"Package"))</f>
        <v>5</v>
      </c>
      <c r="T272" s="20" t="str" cm="1">
        <f t="array" ref="T272">IF($A272="","",_xlfn.IFS($Q272=0,"NO ACTIVE SKUs",AND($R272&gt;0,$S272&gt;0),"Draft &amp; Package",$R272&gt;0,"Draft only",TRUE,"Package only"))</f>
        <v>Package only</v>
      </c>
    </row>
    <row r="273" spans="1:20" x14ac:dyDescent="0.2">
      <c r="A273" s="9" t="str">
        <v>Travelers Club</v>
      </c>
      <c r="B273" s="10" t="str">
        <f>IF($A273="","",_xlfn.XLOOKUP($A273,'[1]Brand Family Territory (Enc)'!$A:$A,'[1]Brand Family Territory (Enc)'!$B:$B,"** NO TERRITORY SET **"))</f>
        <v>All Counties</v>
      </c>
      <c r="C273" s="11" t="str">
        <f>IF($A273="","",_xlfn.LET(_xlpm.t,MATCH($B273,'[1]Territory Definitions'!$B$5:$B$14,0),IF(ISNA(_xlpm.t),"NO TERRITORY",IF(INDEX('[1]Territory Definitions'!$D$5:$M$14,_xlpm.t,MATCH(C$4,'[1]Territory Definitions'!$D$4:$M$4,0))&lt;&gt;1,"NOT IN TERRITORY",IF(COUNTIFS('[1]Blackout Brand Fam Areas (Enc)'!$B$6:$B$998,$A273,'[1]Blackout Brand Fam Areas (Enc)'!$C$6:$C$998,C$4,'[1]Blackout Brand Fam Areas (Enc)'!$D$6:$D$998,"Inactive")&gt;0,"BLOCKED","CAN SELL")))))</f>
        <v>CAN SELL</v>
      </c>
      <c r="D273" s="11" t="str">
        <f>IF($A273="","",_xlfn.LET(_xlpm.t,MATCH($B273,'[1]Territory Definitions'!$B$5:$B$14,0),IF(ISNA(_xlpm.t),"NO TERRITORY",IF(INDEX('[1]Territory Definitions'!$D$5:$M$14,_xlpm.t,MATCH(D$4,'[1]Territory Definitions'!$D$4:$M$4,0))&lt;&gt;1,"NOT IN TERRITORY",IF(COUNTIFS('[1]Blackout Brand Fam Areas (Enc)'!$B$6:$B$998,$A273,'[1]Blackout Brand Fam Areas (Enc)'!$C$6:$C$998,D$4,'[1]Blackout Brand Fam Areas (Enc)'!$D$6:$D$998,"Inactive")&gt;0,"BLOCKED","CAN SELL")))))</f>
        <v>CAN SELL</v>
      </c>
      <c r="E273" s="11" t="str">
        <f>IF($A273="","",_xlfn.LET(_xlpm.t,MATCH($B273,'[1]Territory Definitions'!$B$5:$B$14,0),IF(ISNA(_xlpm.t),"NO TERRITORY",IF(INDEX('[1]Territory Definitions'!$D$5:$M$14,_xlpm.t,MATCH(E$4,'[1]Territory Definitions'!$D$4:$M$4,0))&lt;&gt;1,"NOT IN TERRITORY",IF(COUNTIFS('[1]Blackout Brand Fam Areas (Enc)'!$B$6:$B$998,$A273,'[1]Blackout Brand Fam Areas (Enc)'!$C$6:$C$998,E$4,'[1]Blackout Brand Fam Areas (Enc)'!$D$6:$D$998,"Inactive")&gt;0,"BLOCKED","CAN SELL")))))</f>
        <v>CAN SELL</v>
      </c>
      <c r="F273" s="11" t="str">
        <f>IF($A273="","",_xlfn.LET(_xlpm.t,MATCH($B273,'[1]Territory Definitions'!$B$5:$B$14,0),IF(ISNA(_xlpm.t),"NO TERRITORY",IF(INDEX('[1]Territory Definitions'!$D$5:$M$14,_xlpm.t,MATCH(F$4,'[1]Territory Definitions'!$D$4:$M$4,0))&lt;&gt;1,"NOT IN TERRITORY",IF(COUNTIFS('[1]Blackout Brand Fam Areas (Enc)'!$B$6:$B$998,$A273,'[1]Blackout Brand Fam Areas (Enc)'!$C$6:$C$998,F$4,'[1]Blackout Brand Fam Areas (Enc)'!$D$6:$D$998,"Inactive")&gt;0,"BLOCKED","CAN SELL")))))</f>
        <v>CAN SELL</v>
      </c>
      <c r="G273" s="11" t="str">
        <f>IF($A273="","",_xlfn.LET(_xlpm.t,MATCH($B273,'[1]Territory Definitions'!$B$5:$B$14,0),IF(ISNA(_xlpm.t),"NO TERRITORY",IF(INDEX('[1]Territory Definitions'!$D$5:$M$14,_xlpm.t,MATCH(G$4,'[1]Territory Definitions'!$D$4:$M$4,0))&lt;&gt;1,"NOT IN TERRITORY",IF(COUNTIFS('[1]Blackout Brand Fam Areas (Enc)'!$B$6:$B$998,$A273,'[1]Blackout Brand Fam Areas (Enc)'!$C$6:$C$998,G$4,'[1]Blackout Brand Fam Areas (Enc)'!$D$6:$D$998,"Inactive")&gt;0,"BLOCKED","CAN SELL")))))</f>
        <v>CAN SELL</v>
      </c>
      <c r="H273" s="11" t="str">
        <f>IF($A273="","",_xlfn.LET(_xlpm.t,MATCH($B273,'[1]Territory Definitions'!$B$5:$B$14,0),IF(ISNA(_xlpm.t),"NO TERRITORY",IF(INDEX('[1]Territory Definitions'!$D$5:$M$14,_xlpm.t,MATCH(H$4,'[1]Territory Definitions'!$D$4:$M$4,0))&lt;&gt;1,"NOT IN TERRITORY",IF(COUNTIFS('[1]Blackout Brand Fam Areas (Enc)'!$B$6:$B$998,$A273,'[1]Blackout Brand Fam Areas (Enc)'!$C$6:$C$998,H$4,'[1]Blackout Brand Fam Areas (Enc)'!$D$6:$D$998,"Inactive")&gt;0,"BLOCKED","CAN SELL")))))</f>
        <v>CAN SELL</v>
      </c>
      <c r="I273" s="11" t="str">
        <f>IF($A273="","",_xlfn.LET(_xlpm.t,MATCH($B273,'[1]Territory Definitions'!$B$5:$B$14,0),IF(ISNA(_xlpm.t),"NO TERRITORY",IF(INDEX('[1]Territory Definitions'!$D$5:$M$14,_xlpm.t,MATCH(I$4,'[1]Territory Definitions'!$D$4:$M$4,0))&lt;&gt;1,"NOT IN TERRITORY",IF(COUNTIFS('[1]Blackout Brand Fam Areas (Enc)'!$B$6:$B$998,$A273,'[1]Blackout Brand Fam Areas (Enc)'!$C$6:$C$998,I$4,'[1]Blackout Brand Fam Areas (Enc)'!$D$6:$D$998,"Inactive")&gt;0,"BLOCKED","CAN SELL")))))</f>
        <v>BLOCKED</v>
      </c>
      <c r="J273" s="11" t="str">
        <f>IF($A273="","",_xlfn.LET(_xlpm.t,MATCH($B273,'[1]Territory Definitions'!$B$5:$B$14,0),IF(ISNA(_xlpm.t),"NO TERRITORY",IF(INDEX('[1]Territory Definitions'!$D$5:$M$14,_xlpm.t,MATCH(J$4,'[1]Territory Definitions'!$D$4:$M$4,0))&lt;&gt;1,"NOT IN TERRITORY",IF(COUNTIFS('[1]Blackout Brand Fam Areas (Enc)'!$B$6:$B$998,$A273,'[1]Blackout Brand Fam Areas (Enc)'!$C$6:$C$998,J$4,'[1]Blackout Brand Fam Areas (Enc)'!$D$6:$D$998,"Inactive")&gt;0,"BLOCKED","CAN SELL")))))</f>
        <v>CAN SELL</v>
      </c>
      <c r="K273" s="11" t="str">
        <f>IF($A273="","",_xlfn.LET(_xlpm.t,MATCH($B273,'[1]Territory Definitions'!$B$5:$B$14,0),IF(ISNA(_xlpm.t),"NO TERRITORY",IF(INDEX('[1]Territory Definitions'!$D$5:$M$14,_xlpm.t,MATCH(K$4,'[1]Territory Definitions'!$D$4:$M$4,0))&lt;&gt;1,"NOT IN TERRITORY",IF(COUNTIFS('[1]Blackout Brand Fam Areas (Enc)'!$B$6:$B$998,$A273,'[1]Blackout Brand Fam Areas (Enc)'!$C$6:$C$998,K$4,'[1]Blackout Brand Fam Areas (Enc)'!$D$6:$D$998,"Inactive")&gt;0,"BLOCKED","CAN SELL")))))</f>
        <v>CAN SELL</v>
      </c>
      <c r="L273" s="11" t="str">
        <f>IF($A273="","",_xlfn.LET(_xlpm.t,MATCH($B273,'[1]Territory Definitions'!$B$5:$B$14,0),IF(ISNA(_xlpm.t),"NO TERRITORY",IF(INDEX('[1]Territory Definitions'!$D$5:$M$14,_xlpm.t,MATCH(L$4,'[1]Territory Definitions'!$D$4:$M$4,0))&lt;&gt;1,"NOT IN TERRITORY",IF(COUNTIFS('[1]Blackout Brand Fam Areas (Enc)'!$B$6:$B$998,$A273,'[1]Blackout Brand Fam Areas (Enc)'!$C$6:$C$998,L$4,'[1]Blackout Brand Fam Areas (Enc)'!$D$6:$D$998,"Inactive")&gt;0,"BLOCKED","CAN SELL")))))</f>
        <v>CAN SELL</v>
      </c>
      <c r="M273" s="12">
        <f>IF($A273="","",COUNTIF($C273:$L273,"CAN SELL"))</f>
        <v>9</v>
      </c>
      <c r="N273" s="13" cm="1">
        <f t="array" ref="N273">IF($A273="","",SUMPRODUCT(($C273:$L273="CAN SELL")*$C$3:$L$3))</f>
        <v>2170</v>
      </c>
      <c r="O273" s="14" t="str">
        <f>IF($A273="","",IF(COUNTIF($A$5:$A$299,$A273)&gt;1,"DUPLICATE - two different territories assigned",IF($B273="** NO TERRITORY SET **","No territory on Brand Family Territory (Enc)","")))</f>
        <v/>
      </c>
      <c r="P273" s="18" t="str">
        <f>IF($A273="","",IFERROR(INDEX([1]Products!$H$4:$H$4801,MATCH($A273,[1]Products!$G$4:$G$4801,0)),"(no products)"))</f>
        <v>Travelers Club</v>
      </c>
      <c r="Q273" s="19">
        <f>IF($A273="","",COUNTIFS([1]Products!$G$4:$G$4801,$A273,[1]Products!$L$4:$L$4801,"Yes"))</f>
        <v>12</v>
      </c>
      <c r="R273" s="19">
        <f>IF($A273="","",COUNTIFS([1]Products!$G$4:$G$4801,$A273,[1]Products!$L$4:$L$4801,"Yes",[1]Products!$K$4:$K$4801,"Draft"))</f>
        <v>0</v>
      </c>
      <c r="S273" s="19">
        <f>IF($A273="","",COUNTIFS([1]Products!$G$4:$G$4801,$A273,[1]Products!$L$4:$L$4801,"Yes",[1]Products!$K$4:$K$4801,"Package"))</f>
        <v>0</v>
      </c>
      <c r="T273" s="20" t="str" cm="1">
        <f t="array" ref="T273">IF($A273="","",_xlfn.IFS($Q273=0,"NO ACTIVE SKUs",AND($R273&gt;0,$S273&gt;0),"Draft &amp; Package",$R273&gt;0,"Draft only",TRUE,"Package only"))</f>
        <v>Package only</v>
      </c>
    </row>
    <row r="274" spans="1:20" x14ac:dyDescent="0.2">
      <c r="A274" s="9" t="str">
        <v>Truly</v>
      </c>
      <c r="B274" s="10" t="str">
        <f>IF($A274="","",_xlfn.XLOOKUP($A274,'[1]Brand Family Territory (Enc)'!$A:$A,'[1]Brand Family Territory (Enc)'!$B:$B,"** NO TERRITORY SET **"))</f>
        <v>Core Market</v>
      </c>
      <c r="C274" s="11" t="str">
        <f>IF($A274="","",_xlfn.LET(_xlpm.t,MATCH($B274,'[1]Territory Definitions'!$B$5:$B$14,0),IF(ISNA(_xlpm.t),"NO TERRITORY",IF(INDEX('[1]Territory Definitions'!$D$5:$M$14,_xlpm.t,MATCH(C$4,'[1]Territory Definitions'!$D$4:$M$4,0))&lt;&gt;1,"NOT IN TERRITORY",IF(COUNTIFS('[1]Blackout Brand Fam Areas (Enc)'!$B$6:$B$998,$A274,'[1]Blackout Brand Fam Areas (Enc)'!$C$6:$C$998,C$4,'[1]Blackout Brand Fam Areas (Enc)'!$D$6:$D$998,"Inactive")&gt;0,"BLOCKED","CAN SELL")))))</f>
        <v>CAN SELL</v>
      </c>
      <c r="D274" s="11" t="str">
        <f>IF($A274="","",_xlfn.LET(_xlpm.t,MATCH($B274,'[1]Territory Definitions'!$B$5:$B$14,0),IF(ISNA(_xlpm.t),"NO TERRITORY",IF(INDEX('[1]Territory Definitions'!$D$5:$M$14,_xlpm.t,MATCH(D$4,'[1]Territory Definitions'!$D$4:$M$4,0))&lt;&gt;1,"NOT IN TERRITORY",IF(COUNTIFS('[1]Blackout Brand Fam Areas (Enc)'!$B$6:$B$998,$A274,'[1]Blackout Brand Fam Areas (Enc)'!$C$6:$C$998,D$4,'[1]Blackout Brand Fam Areas (Enc)'!$D$6:$D$998,"Inactive")&gt;0,"BLOCKED","CAN SELL")))))</f>
        <v>CAN SELL</v>
      </c>
      <c r="E274" s="11" t="str">
        <f>IF($A274="","",_xlfn.LET(_xlpm.t,MATCH($B274,'[1]Territory Definitions'!$B$5:$B$14,0),IF(ISNA(_xlpm.t),"NO TERRITORY",IF(INDEX('[1]Territory Definitions'!$D$5:$M$14,_xlpm.t,MATCH(E$4,'[1]Territory Definitions'!$D$4:$M$4,0))&lt;&gt;1,"NOT IN TERRITORY",IF(COUNTIFS('[1]Blackout Brand Fam Areas (Enc)'!$B$6:$B$998,$A274,'[1]Blackout Brand Fam Areas (Enc)'!$C$6:$C$998,E$4,'[1]Blackout Brand Fam Areas (Enc)'!$D$6:$D$998,"Inactive")&gt;0,"BLOCKED","CAN SELL")))))</f>
        <v>CAN SELL</v>
      </c>
      <c r="F274" s="11" t="str">
        <f>IF($A274="","",_xlfn.LET(_xlpm.t,MATCH($B274,'[1]Territory Definitions'!$B$5:$B$14,0),IF(ISNA(_xlpm.t),"NO TERRITORY",IF(INDEX('[1]Territory Definitions'!$D$5:$M$14,_xlpm.t,MATCH(F$4,'[1]Territory Definitions'!$D$4:$M$4,0))&lt;&gt;1,"NOT IN TERRITORY",IF(COUNTIFS('[1]Blackout Brand Fam Areas (Enc)'!$B$6:$B$998,$A274,'[1]Blackout Brand Fam Areas (Enc)'!$C$6:$C$998,F$4,'[1]Blackout Brand Fam Areas (Enc)'!$D$6:$D$998,"Inactive")&gt;0,"BLOCKED","CAN SELL")))))</f>
        <v>NOT IN TERRITORY</v>
      </c>
      <c r="G274" s="11" t="str">
        <f>IF($A274="","",_xlfn.LET(_xlpm.t,MATCH($B274,'[1]Territory Definitions'!$B$5:$B$14,0),IF(ISNA(_xlpm.t),"NO TERRITORY",IF(INDEX('[1]Territory Definitions'!$D$5:$M$14,_xlpm.t,MATCH(G$4,'[1]Territory Definitions'!$D$4:$M$4,0))&lt;&gt;1,"NOT IN TERRITORY",IF(COUNTIFS('[1]Blackout Brand Fam Areas (Enc)'!$B$6:$B$998,$A274,'[1]Blackout Brand Fam Areas (Enc)'!$C$6:$C$998,G$4,'[1]Blackout Brand Fam Areas (Enc)'!$D$6:$D$998,"Inactive")&gt;0,"BLOCKED","CAN SELL")))))</f>
        <v>NOT IN TERRITORY</v>
      </c>
      <c r="H274" s="11" t="str">
        <f>IF($A274="","",_xlfn.LET(_xlpm.t,MATCH($B274,'[1]Territory Definitions'!$B$5:$B$14,0),IF(ISNA(_xlpm.t),"NO TERRITORY",IF(INDEX('[1]Territory Definitions'!$D$5:$M$14,_xlpm.t,MATCH(H$4,'[1]Territory Definitions'!$D$4:$M$4,0))&lt;&gt;1,"NOT IN TERRITORY",IF(COUNTIFS('[1]Blackout Brand Fam Areas (Enc)'!$B$6:$B$998,$A274,'[1]Blackout Brand Fam Areas (Enc)'!$C$6:$C$998,H$4,'[1]Blackout Brand Fam Areas (Enc)'!$D$6:$D$998,"Inactive")&gt;0,"BLOCKED","CAN SELL")))))</f>
        <v>NOT IN TERRITORY</v>
      </c>
      <c r="I274" s="11" t="str">
        <f>IF($A274="","",_xlfn.LET(_xlpm.t,MATCH($B274,'[1]Territory Definitions'!$B$5:$B$14,0),IF(ISNA(_xlpm.t),"NO TERRITORY",IF(INDEX('[1]Territory Definitions'!$D$5:$M$14,_xlpm.t,MATCH(I$4,'[1]Territory Definitions'!$D$4:$M$4,0))&lt;&gt;1,"NOT IN TERRITORY",IF(COUNTIFS('[1]Blackout Brand Fam Areas (Enc)'!$B$6:$B$998,$A274,'[1]Blackout Brand Fam Areas (Enc)'!$C$6:$C$998,I$4,'[1]Blackout Brand Fam Areas (Enc)'!$D$6:$D$998,"Inactive")&gt;0,"BLOCKED","CAN SELL")))))</f>
        <v>CAN SELL</v>
      </c>
      <c r="J274" s="11" t="str">
        <f>IF($A274="","",_xlfn.LET(_xlpm.t,MATCH($B274,'[1]Territory Definitions'!$B$5:$B$14,0),IF(ISNA(_xlpm.t),"NO TERRITORY",IF(INDEX('[1]Territory Definitions'!$D$5:$M$14,_xlpm.t,MATCH(J$4,'[1]Territory Definitions'!$D$4:$M$4,0))&lt;&gt;1,"NOT IN TERRITORY",IF(COUNTIFS('[1]Blackout Brand Fam Areas (Enc)'!$B$6:$B$998,$A274,'[1]Blackout Brand Fam Areas (Enc)'!$C$6:$C$998,J$4,'[1]Blackout Brand Fam Areas (Enc)'!$D$6:$D$998,"Inactive")&gt;0,"BLOCKED","CAN SELL")))))</f>
        <v>CAN SELL</v>
      </c>
      <c r="K274" s="11" t="str">
        <f>IF($A274="","",_xlfn.LET(_xlpm.t,MATCH($B274,'[1]Territory Definitions'!$B$5:$B$14,0),IF(ISNA(_xlpm.t),"NO TERRITORY",IF(INDEX('[1]Territory Definitions'!$D$5:$M$14,_xlpm.t,MATCH(K$4,'[1]Territory Definitions'!$D$4:$M$4,0))&lt;&gt;1,"NOT IN TERRITORY",IF(COUNTIFS('[1]Blackout Brand Fam Areas (Enc)'!$B$6:$B$998,$A274,'[1]Blackout Brand Fam Areas (Enc)'!$C$6:$C$998,K$4,'[1]Blackout Brand Fam Areas (Enc)'!$D$6:$D$998,"Inactive")&gt;0,"BLOCKED","CAN SELL")))))</f>
        <v>NOT IN TERRITORY</v>
      </c>
      <c r="L274" s="11" t="str">
        <f>IF($A274="","",_xlfn.LET(_xlpm.t,MATCH($B274,'[1]Territory Definitions'!$B$5:$B$14,0),IF(ISNA(_xlpm.t),"NO TERRITORY",IF(INDEX('[1]Territory Definitions'!$D$5:$M$14,_xlpm.t,MATCH(L$4,'[1]Territory Definitions'!$D$4:$M$4,0))&lt;&gt;1,"NOT IN TERRITORY",IF(COUNTIFS('[1]Blackout Brand Fam Areas (Enc)'!$B$6:$B$998,$A274,'[1]Blackout Brand Fam Areas (Enc)'!$C$6:$C$998,L$4,'[1]Blackout Brand Fam Areas (Enc)'!$D$6:$D$998,"Inactive")&gt;0,"BLOCKED","CAN SELL")))))</f>
        <v>CAN SELL</v>
      </c>
      <c r="M274" s="12">
        <f>IF($A274="","",COUNTIF($C274:$L274,"CAN SELL"))</f>
        <v>6</v>
      </c>
      <c r="N274" s="13" cm="1">
        <f t="array" ref="N274">IF($A274="","",SUMPRODUCT(($C274:$L274="CAN SELL")*$C$3:$L$3))</f>
        <v>1596</v>
      </c>
      <c r="O274" s="14" t="str">
        <f>IF($A274="","",IF(COUNTIF($A$5:$A$299,$A274)&gt;1,"DUPLICATE - two different territories assigned",IF($B274="** NO TERRITORY SET **","No territory on Brand Family Territory (Enc)","")))</f>
        <v/>
      </c>
      <c r="P274" s="18" t="str">
        <f>IF($A274="","",IFERROR(INDEX([1]Products!$H$4:$H$4801,MATCH($A274,[1]Products!$G$4:$G$4801,0)),"(no products)"))</f>
        <v>Boston Beer Company</v>
      </c>
      <c r="Q274" s="19">
        <f>IF($A274="","",COUNTIFS([1]Products!$G$4:$G$4801,$A274,[1]Products!$L$4:$L$4801,"Yes"))</f>
        <v>62</v>
      </c>
      <c r="R274" s="19">
        <f>IF($A274="","",COUNTIFS([1]Products!$G$4:$G$4801,$A274,[1]Products!$L$4:$L$4801,"Yes",[1]Products!$K$4:$K$4801,"Draft"))</f>
        <v>2</v>
      </c>
      <c r="S274" s="19">
        <f>IF($A274="","",COUNTIFS([1]Products!$G$4:$G$4801,$A274,[1]Products!$L$4:$L$4801,"Yes",[1]Products!$K$4:$K$4801,"Package"))</f>
        <v>51</v>
      </c>
      <c r="T274" s="20" t="str" cm="1">
        <f t="array" ref="T274">IF($A274="","",_xlfn.IFS($Q274=0,"NO ACTIVE SKUs",AND($R274&gt;0,$S274&gt;0),"Draft &amp; Package",$R274&gt;0,"Draft only",TRUE,"Package only"))</f>
        <v>Draft &amp; Package</v>
      </c>
    </row>
    <row r="275" spans="1:20" x14ac:dyDescent="0.2">
      <c r="A275" s="9" t="str">
        <v>Tsingtao</v>
      </c>
      <c r="B275" s="10" t="str">
        <f>IF($A275="","",_xlfn.XLOOKUP($A275,'[1]Brand Family Territory (Enc)'!$A:$A,'[1]Brand Family Territory (Enc)'!$B:$B,"** NO TERRITORY SET **"))</f>
        <v>All Counties</v>
      </c>
      <c r="C275" s="11" t="str">
        <f>IF($A275="","",_xlfn.LET(_xlpm.t,MATCH($B275,'[1]Territory Definitions'!$B$5:$B$14,0),IF(ISNA(_xlpm.t),"NO TERRITORY",IF(INDEX('[1]Territory Definitions'!$D$5:$M$14,_xlpm.t,MATCH(C$4,'[1]Territory Definitions'!$D$4:$M$4,0))&lt;&gt;1,"NOT IN TERRITORY",IF(COUNTIFS('[1]Blackout Brand Fam Areas (Enc)'!$B$6:$B$998,$A275,'[1]Blackout Brand Fam Areas (Enc)'!$C$6:$C$998,C$4,'[1]Blackout Brand Fam Areas (Enc)'!$D$6:$D$998,"Inactive")&gt;0,"BLOCKED","CAN SELL")))))</f>
        <v>CAN SELL</v>
      </c>
      <c r="D275" s="11" t="str">
        <f>IF($A275="","",_xlfn.LET(_xlpm.t,MATCH($B275,'[1]Territory Definitions'!$B$5:$B$14,0),IF(ISNA(_xlpm.t),"NO TERRITORY",IF(INDEX('[1]Territory Definitions'!$D$5:$M$14,_xlpm.t,MATCH(D$4,'[1]Territory Definitions'!$D$4:$M$4,0))&lt;&gt;1,"NOT IN TERRITORY",IF(COUNTIFS('[1]Blackout Brand Fam Areas (Enc)'!$B$6:$B$998,$A275,'[1]Blackout Brand Fam Areas (Enc)'!$C$6:$C$998,D$4,'[1]Blackout Brand Fam Areas (Enc)'!$D$6:$D$998,"Inactive")&gt;0,"BLOCKED","CAN SELL")))))</f>
        <v>CAN SELL</v>
      </c>
      <c r="E275" s="11" t="str">
        <f>IF($A275="","",_xlfn.LET(_xlpm.t,MATCH($B275,'[1]Territory Definitions'!$B$5:$B$14,0),IF(ISNA(_xlpm.t),"NO TERRITORY",IF(INDEX('[1]Territory Definitions'!$D$5:$M$14,_xlpm.t,MATCH(E$4,'[1]Territory Definitions'!$D$4:$M$4,0))&lt;&gt;1,"NOT IN TERRITORY",IF(COUNTIFS('[1]Blackout Brand Fam Areas (Enc)'!$B$6:$B$998,$A275,'[1]Blackout Brand Fam Areas (Enc)'!$C$6:$C$998,E$4,'[1]Blackout Brand Fam Areas (Enc)'!$D$6:$D$998,"Inactive")&gt;0,"BLOCKED","CAN SELL")))))</f>
        <v>CAN SELL</v>
      </c>
      <c r="F275" s="11" t="str">
        <f>IF($A275="","",_xlfn.LET(_xlpm.t,MATCH($B275,'[1]Territory Definitions'!$B$5:$B$14,0),IF(ISNA(_xlpm.t),"NO TERRITORY",IF(INDEX('[1]Territory Definitions'!$D$5:$M$14,_xlpm.t,MATCH(F$4,'[1]Territory Definitions'!$D$4:$M$4,0))&lt;&gt;1,"NOT IN TERRITORY",IF(COUNTIFS('[1]Blackout Brand Fam Areas (Enc)'!$B$6:$B$998,$A275,'[1]Blackout Brand Fam Areas (Enc)'!$C$6:$C$998,F$4,'[1]Blackout Brand Fam Areas (Enc)'!$D$6:$D$998,"Inactive")&gt;0,"BLOCKED","CAN SELL")))))</f>
        <v>CAN SELL</v>
      </c>
      <c r="G275" s="11" t="str">
        <f>IF($A275="","",_xlfn.LET(_xlpm.t,MATCH($B275,'[1]Territory Definitions'!$B$5:$B$14,0),IF(ISNA(_xlpm.t),"NO TERRITORY",IF(INDEX('[1]Territory Definitions'!$D$5:$M$14,_xlpm.t,MATCH(G$4,'[1]Territory Definitions'!$D$4:$M$4,0))&lt;&gt;1,"NOT IN TERRITORY",IF(COUNTIFS('[1]Blackout Brand Fam Areas (Enc)'!$B$6:$B$998,$A275,'[1]Blackout Brand Fam Areas (Enc)'!$C$6:$C$998,G$4,'[1]Blackout Brand Fam Areas (Enc)'!$D$6:$D$998,"Inactive")&gt;0,"BLOCKED","CAN SELL")))))</f>
        <v>CAN SELL</v>
      </c>
      <c r="H275" s="11" t="str">
        <f>IF($A275="","",_xlfn.LET(_xlpm.t,MATCH($B275,'[1]Territory Definitions'!$B$5:$B$14,0),IF(ISNA(_xlpm.t),"NO TERRITORY",IF(INDEX('[1]Territory Definitions'!$D$5:$M$14,_xlpm.t,MATCH(H$4,'[1]Territory Definitions'!$D$4:$M$4,0))&lt;&gt;1,"NOT IN TERRITORY",IF(COUNTIFS('[1]Blackout Brand Fam Areas (Enc)'!$B$6:$B$998,$A275,'[1]Blackout Brand Fam Areas (Enc)'!$C$6:$C$998,H$4,'[1]Blackout Brand Fam Areas (Enc)'!$D$6:$D$998,"Inactive")&gt;0,"BLOCKED","CAN SELL")))))</f>
        <v>CAN SELL</v>
      </c>
      <c r="I275" s="11" t="str">
        <f>IF($A275="","",_xlfn.LET(_xlpm.t,MATCH($B275,'[1]Territory Definitions'!$B$5:$B$14,0),IF(ISNA(_xlpm.t),"NO TERRITORY",IF(INDEX('[1]Territory Definitions'!$D$5:$M$14,_xlpm.t,MATCH(I$4,'[1]Territory Definitions'!$D$4:$M$4,0))&lt;&gt;1,"NOT IN TERRITORY",IF(COUNTIFS('[1]Blackout Brand Fam Areas (Enc)'!$B$6:$B$998,$A275,'[1]Blackout Brand Fam Areas (Enc)'!$C$6:$C$998,I$4,'[1]Blackout Brand Fam Areas (Enc)'!$D$6:$D$998,"Inactive")&gt;0,"BLOCKED","CAN SELL")))))</f>
        <v>CAN SELL</v>
      </c>
      <c r="J275" s="11" t="str">
        <f>IF($A275="","",_xlfn.LET(_xlpm.t,MATCH($B275,'[1]Territory Definitions'!$B$5:$B$14,0),IF(ISNA(_xlpm.t),"NO TERRITORY",IF(INDEX('[1]Territory Definitions'!$D$5:$M$14,_xlpm.t,MATCH(J$4,'[1]Territory Definitions'!$D$4:$M$4,0))&lt;&gt;1,"NOT IN TERRITORY",IF(COUNTIFS('[1]Blackout Brand Fam Areas (Enc)'!$B$6:$B$998,$A275,'[1]Blackout Brand Fam Areas (Enc)'!$C$6:$C$998,J$4,'[1]Blackout Brand Fam Areas (Enc)'!$D$6:$D$998,"Inactive")&gt;0,"BLOCKED","CAN SELL")))))</f>
        <v>CAN SELL</v>
      </c>
      <c r="K275" s="11" t="str">
        <f>IF($A275="","",_xlfn.LET(_xlpm.t,MATCH($B275,'[1]Territory Definitions'!$B$5:$B$14,0),IF(ISNA(_xlpm.t),"NO TERRITORY",IF(INDEX('[1]Territory Definitions'!$D$5:$M$14,_xlpm.t,MATCH(K$4,'[1]Territory Definitions'!$D$4:$M$4,0))&lt;&gt;1,"NOT IN TERRITORY",IF(COUNTIFS('[1]Blackout Brand Fam Areas (Enc)'!$B$6:$B$998,$A275,'[1]Blackout Brand Fam Areas (Enc)'!$C$6:$C$998,K$4,'[1]Blackout Brand Fam Areas (Enc)'!$D$6:$D$998,"Inactive")&gt;0,"BLOCKED","CAN SELL")))))</f>
        <v>CAN SELL</v>
      </c>
      <c r="L275" s="11" t="str">
        <f>IF($A275="","",_xlfn.LET(_xlpm.t,MATCH($B275,'[1]Territory Definitions'!$B$5:$B$14,0),IF(ISNA(_xlpm.t),"NO TERRITORY",IF(INDEX('[1]Territory Definitions'!$D$5:$M$14,_xlpm.t,MATCH(L$4,'[1]Territory Definitions'!$D$4:$M$4,0))&lt;&gt;1,"NOT IN TERRITORY",IF(COUNTIFS('[1]Blackout Brand Fam Areas (Enc)'!$B$6:$B$998,$A275,'[1]Blackout Brand Fam Areas (Enc)'!$C$6:$C$998,L$4,'[1]Blackout Brand Fam Areas (Enc)'!$D$6:$D$998,"Inactive")&gt;0,"BLOCKED","CAN SELL")))))</f>
        <v>CAN SELL</v>
      </c>
      <c r="M275" s="12">
        <f>IF($A275="","",COUNTIF($C275:$L275,"CAN SELL"))</f>
        <v>10</v>
      </c>
      <c r="N275" s="13" cm="1">
        <f t="array" ref="N275">IF($A275="","",SUMPRODUCT(($C275:$L275="CAN SELL")*$C$3:$L$3))</f>
        <v>2306</v>
      </c>
      <c r="O275" s="14" t="str">
        <f>IF($A275="","",IF(COUNTIF($A$5:$A$299,$A275)&gt;1,"DUPLICATE - two different territories assigned",IF($B275="** NO TERRITORY SET **","No territory on Brand Family Territory (Enc)","")))</f>
        <v/>
      </c>
      <c r="P275" s="18" t="str">
        <f>IF($A275="","",IFERROR(INDEX([1]Products!$H$4:$H$4801,MATCH($A275,[1]Products!$G$4:$G$4801,0)),"(no products)"))</f>
        <v>Paulaner</v>
      </c>
      <c r="Q275" s="19">
        <f>IF($A275="","",COUNTIFS([1]Products!$G$4:$G$4801,$A275,[1]Products!$L$4:$L$4801,"Yes"))</f>
        <v>6</v>
      </c>
      <c r="R275" s="19">
        <f>IF($A275="","",COUNTIFS([1]Products!$G$4:$G$4801,$A275,[1]Products!$L$4:$L$4801,"Yes",[1]Products!$K$4:$K$4801,"Draft"))</f>
        <v>0</v>
      </c>
      <c r="S275" s="19">
        <f>IF($A275="","",COUNTIFS([1]Products!$G$4:$G$4801,$A275,[1]Products!$L$4:$L$4801,"Yes",[1]Products!$K$4:$K$4801,"Package"))</f>
        <v>6</v>
      </c>
      <c r="T275" s="20" t="str" cm="1">
        <f t="array" ref="T275">IF($A275="","",_xlfn.IFS($Q275=0,"NO ACTIVE SKUs",AND($R275&gt;0,$S275&gt;0),"Draft &amp; Package",$R275&gt;0,"Draft only",TRUE,"Package only"))</f>
        <v>Package only</v>
      </c>
    </row>
    <row r="276" spans="1:20" x14ac:dyDescent="0.2">
      <c r="A276" s="9" t="str">
        <v>Twisted Tea</v>
      </c>
      <c r="B276" s="10" t="str">
        <f>IF($A276="","",_xlfn.XLOOKUP($A276,'[1]Brand Family Territory (Enc)'!$A:$A,'[1]Brand Family Territory (Enc)'!$B:$B,"** NO TERRITORY SET **"))</f>
        <v>Core Market</v>
      </c>
      <c r="C276" s="11" t="str">
        <f>IF($A276="","",_xlfn.LET(_xlpm.t,MATCH($B276,'[1]Territory Definitions'!$B$5:$B$14,0),IF(ISNA(_xlpm.t),"NO TERRITORY",IF(INDEX('[1]Territory Definitions'!$D$5:$M$14,_xlpm.t,MATCH(C$4,'[1]Territory Definitions'!$D$4:$M$4,0))&lt;&gt;1,"NOT IN TERRITORY",IF(COUNTIFS('[1]Blackout Brand Fam Areas (Enc)'!$B$6:$B$998,$A276,'[1]Blackout Brand Fam Areas (Enc)'!$C$6:$C$998,C$4,'[1]Blackout Brand Fam Areas (Enc)'!$D$6:$D$998,"Inactive")&gt;0,"BLOCKED","CAN SELL")))))</f>
        <v>CAN SELL</v>
      </c>
      <c r="D276" s="11" t="str">
        <f>IF($A276="","",_xlfn.LET(_xlpm.t,MATCH($B276,'[1]Territory Definitions'!$B$5:$B$14,0),IF(ISNA(_xlpm.t),"NO TERRITORY",IF(INDEX('[1]Territory Definitions'!$D$5:$M$14,_xlpm.t,MATCH(D$4,'[1]Territory Definitions'!$D$4:$M$4,0))&lt;&gt;1,"NOT IN TERRITORY",IF(COUNTIFS('[1]Blackout Brand Fam Areas (Enc)'!$B$6:$B$998,$A276,'[1]Blackout Brand Fam Areas (Enc)'!$C$6:$C$998,D$4,'[1]Blackout Brand Fam Areas (Enc)'!$D$6:$D$998,"Inactive")&gt;0,"BLOCKED","CAN SELL")))))</f>
        <v>CAN SELL</v>
      </c>
      <c r="E276" s="11" t="str">
        <f>IF($A276="","",_xlfn.LET(_xlpm.t,MATCH($B276,'[1]Territory Definitions'!$B$5:$B$14,0),IF(ISNA(_xlpm.t),"NO TERRITORY",IF(INDEX('[1]Territory Definitions'!$D$5:$M$14,_xlpm.t,MATCH(E$4,'[1]Territory Definitions'!$D$4:$M$4,0))&lt;&gt;1,"NOT IN TERRITORY",IF(COUNTIFS('[1]Blackout Brand Fam Areas (Enc)'!$B$6:$B$998,$A276,'[1]Blackout Brand Fam Areas (Enc)'!$C$6:$C$998,E$4,'[1]Blackout Brand Fam Areas (Enc)'!$D$6:$D$998,"Inactive")&gt;0,"BLOCKED","CAN SELL")))))</f>
        <v>CAN SELL</v>
      </c>
      <c r="F276" s="11" t="str">
        <f>IF($A276="","",_xlfn.LET(_xlpm.t,MATCH($B276,'[1]Territory Definitions'!$B$5:$B$14,0),IF(ISNA(_xlpm.t),"NO TERRITORY",IF(INDEX('[1]Territory Definitions'!$D$5:$M$14,_xlpm.t,MATCH(F$4,'[1]Territory Definitions'!$D$4:$M$4,0))&lt;&gt;1,"NOT IN TERRITORY",IF(COUNTIFS('[1]Blackout Brand Fam Areas (Enc)'!$B$6:$B$998,$A276,'[1]Blackout Brand Fam Areas (Enc)'!$C$6:$C$998,F$4,'[1]Blackout Brand Fam Areas (Enc)'!$D$6:$D$998,"Inactive")&gt;0,"BLOCKED","CAN SELL")))))</f>
        <v>NOT IN TERRITORY</v>
      </c>
      <c r="G276" s="11" t="str">
        <f>IF($A276="","",_xlfn.LET(_xlpm.t,MATCH($B276,'[1]Territory Definitions'!$B$5:$B$14,0),IF(ISNA(_xlpm.t),"NO TERRITORY",IF(INDEX('[1]Territory Definitions'!$D$5:$M$14,_xlpm.t,MATCH(G$4,'[1]Territory Definitions'!$D$4:$M$4,0))&lt;&gt;1,"NOT IN TERRITORY",IF(COUNTIFS('[1]Blackout Brand Fam Areas (Enc)'!$B$6:$B$998,$A276,'[1]Blackout Brand Fam Areas (Enc)'!$C$6:$C$998,G$4,'[1]Blackout Brand Fam Areas (Enc)'!$D$6:$D$998,"Inactive")&gt;0,"BLOCKED","CAN SELL")))))</f>
        <v>NOT IN TERRITORY</v>
      </c>
      <c r="H276" s="11" t="str">
        <f>IF($A276="","",_xlfn.LET(_xlpm.t,MATCH($B276,'[1]Territory Definitions'!$B$5:$B$14,0),IF(ISNA(_xlpm.t),"NO TERRITORY",IF(INDEX('[1]Territory Definitions'!$D$5:$M$14,_xlpm.t,MATCH(H$4,'[1]Territory Definitions'!$D$4:$M$4,0))&lt;&gt;1,"NOT IN TERRITORY",IF(COUNTIFS('[1]Blackout Brand Fam Areas (Enc)'!$B$6:$B$998,$A276,'[1]Blackout Brand Fam Areas (Enc)'!$C$6:$C$998,H$4,'[1]Blackout Brand Fam Areas (Enc)'!$D$6:$D$998,"Inactive")&gt;0,"BLOCKED","CAN SELL")))))</f>
        <v>NOT IN TERRITORY</v>
      </c>
      <c r="I276" s="11" t="str">
        <f>IF($A276="","",_xlfn.LET(_xlpm.t,MATCH($B276,'[1]Territory Definitions'!$B$5:$B$14,0),IF(ISNA(_xlpm.t),"NO TERRITORY",IF(INDEX('[1]Territory Definitions'!$D$5:$M$14,_xlpm.t,MATCH(I$4,'[1]Territory Definitions'!$D$4:$M$4,0))&lt;&gt;1,"NOT IN TERRITORY",IF(COUNTIFS('[1]Blackout Brand Fam Areas (Enc)'!$B$6:$B$998,$A276,'[1]Blackout Brand Fam Areas (Enc)'!$C$6:$C$998,I$4,'[1]Blackout Brand Fam Areas (Enc)'!$D$6:$D$998,"Inactive")&gt;0,"BLOCKED","CAN SELL")))))</f>
        <v>CAN SELL</v>
      </c>
      <c r="J276" s="11" t="str">
        <f>IF($A276="","",_xlfn.LET(_xlpm.t,MATCH($B276,'[1]Territory Definitions'!$B$5:$B$14,0),IF(ISNA(_xlpm.t),"NO TERRITORY",IF(INDEX('[1]Territory Definitions'!$D$5:$M$14,_xlpm.t,MATCH(J$4,'[1]Territory Definitions'!$D$4:$M$4,0))&lt;&gt;1,"NOT IN TERRITORY",IF(COUNTIFS('[1]Blackout Brand Fam Areas (Enc)'!$B$6:$B$998,$A276,'[1]Blackout Brand Fam Areas (Enc)'!$C$6:$C$998,J$4,'[1]Blackout Brand Fam Areas (Enc)'!$D$6:$D$998,"Inactive")&gt;0,"BLOCKED","CAN SELL")))))</f>
        <v>CAN SELL</v>
      </c>
      <c r="K276" s="11" t="str">
        <f>IF($A276="","",_xlfn.LET(_xlpm.t,MATCH($B276,'[1]Territory Definitions'!$B$5:$B$14,0),IF(ISNA(_xlpm.t),"NO TERRITORY",IF(INDEX('[1]Territory Definitions'!$D$5:$M$14,_xlpm.t,MATCH(K$4,'[1]Territory Definitions'!$D$4:$M$4,0))&lt;&gt;1,"NOT IN TERRITORY",IF(COUNTIFS('[1]Blackout Brand Fam Areas (Enc)'!$B$6:$B$998,$A276,'[1]Blackout Brand Fam Areas (Enc)'!$C$6:$C$998,K$4,'[1]Blackout Brand Fam Areas (Enc)'!$D$6:$D$998,"Inactive")&gt;0,"BLOCKED","CAN SELL")))))</f>
        <v>NOT IN TERRITORY</v>
      </c>
      <c r="L276" s="11" t="str">
        <f>IF($A276="","",_xlfn.LET(_xlpm.t,MATCH($B276,'[1]Territory Definitions'!$B$5:$B$14,0),IF(ISNA(_xlpm.t),"NO TERRITORY",IF(INDEX('[1]Territory Definitions'!$D$5:$M$14,_xlpm.t,MATCH(L$4,'[1]Territory Definitions'!$D$4:$M$4,0))&lt;&gt;1,"NOT IN TERRITORY",IF(COUNTIFS('[1]Blackout Brand Fam Areas (Enc)'!$B$6:$B$998,$A276,'[1]Blackout Brand Fam Areas (Enc)'!$C$6:$C$998,L$4,'[1]Blackout Brand Fam Areas (Enc)'!$D$6:$D$998,"Inactive")&gt;0,"BLOCKED","CAN SELL")))))</f>
        <v>CAN SELL</v>
      </c>
      <c r="M276" s="12">
        <f>IF($A276="","",COUNTIF($C276:$L276,"CAN SELL"))</f>
        <v>6</v>
      </c>
      <c r="N276" s="13" cm="1">
        <f t="array" ref="N276">IF($A276="","",SUMPRODUCT(($C276:$L276="CAN SELL")*$C$3:$L$3))</f>
        <v>1596</v>
      </c>
      <c r="O276" s="14" t="str">
        <f>IF($A276="","",IF(COUNTIF($A$5:$A$299,$A276)&gt;1,"DUPLICATE - two different territories assigned",IF($B276="** NO TERRITORY SET **","No territory on Brand Family Territory (Enc)","")))</f>
        <v/>
      </c>
      <c r="P276" s="18" t="str">
        <f>IF($A276="","",IFERROR(INDEX([1]Products!$H$4:$H$4801,MATCH($A276,[1]Products!$G$4:$G$4801,0)),"(no products)"))</f>
        <v>Boston Beer Company</v>
      </c>
      <c r="Q276" s="19">
        <f>IF($A276="","",COUNTIFS([1]Products!$G$4:$G$4801,$A276,[1]Products!$L$4:$L$4801,"Yes"))</f>
        <v>42</v>
      </c>
      <c r="R276" s="19">
        <f>IF($A276="","",COUNTIFS([1]Products!$G$4:$G$4801,$A276,[1]Products!$L$4:$L$4801,"Yes",[1]Products!$K$4:$K$4801,"Draft"))</f>
        <v>2</v>
      </c>
      <c r="S276" s="19">
        <f>IF($A276="","",COUNTIFS([1]Products!$G$4:$G$4801,$A276,[1]Products!$L$4:$L$4801,"Yes",[1]Products!$K$4:$K$4801,"Package"))</f>
        <v>40</v>
      </c>
      <c r="T276" s="20" t="str" cm="1">
        <f t="array" ref="T276">IF($A276="","",_xlfn.IFS($Q276=0,"NO ACTIVE SKUs",AND($R276&gt;0,$S276&gt;0),"Draft &amp; Package",$R276&gt;0,"Draft only",TRUE,"Package only"))</f>
        <v>Draft &amp; Package</v>
      </c>
    </row>
    <row r="277" spans="1:20" x14ac:dyDescent="0.2">
      <c r="A277" s="9" t="str">
        <v>Tyskie Gronie</v>
      </c>
      <c r="B277" s="10" t="str">
        <f>IF($A277="","",_xlfn.XLOOKUP($A277,'[1]Brand Family Territory (Enc)'!$A:$A,'[1]Brand Family Territory (Enc)'!$B:$B,"** NO TERRITORY SET **"))</f>
        <v>Core Market</v>
      </c>
      <c r="C277" s="11" t="str">
        <f>IF($A277="","",_xlfn.LET(_xlpm.t,MATCH($B277,'[1]Territory Definitions'!$B$5:$B$14,0),IF(ISNA(_xlpm.t),"NO TERRITORY",IF(INDEX('[1]Territory Definitions'!$D$5:$M$14,_xlpm.t,MATCH(C$4,'[1]Territory Definitions'!$D$4:$M$4,0))&lt;&gt;1,"NOT IN TERRITORY",IF(COUNTIFS('[1]Blackout Brand Fam Areas (Enc)'!$B$6:$B$998,$A277,'[1]Blackout Brand Fam Areas (Enc)'!$C$6:$C$998,C$4,'[1]Blackout Brand Fam Areas (Enc)'!$D$6:$D$998,"Inactive")&gt;0,"BLOCKED","CAN SELL")))))</f>
        <v>CAN SELL</v>
      </c>
      <c r="D277" s="11" t="str">
        <f>IF($A277="","",_xlfn.LET(_xlpm.t,MATCH($B277,'[1]Territory Definitions'!$B$5:$B$14,0),IF(ISNA(_xlpm.t),"NO TERRITORY",IF(INDEX('[1]Territory Definitions'!$D$5:$M$14,_xlpm.t,MATCH(D$4,'[1]Territory Definitions'!$D$4:$M$4,0))&lt;&gt;1,"NOT IN TERRITORY",IF(COUNTIFS('[1]Blackout Brand Fam Areas (Enc)'!$B$6:$B$998,$A277,'[1]Blackout Brand Fam Areas (Enc)'!$C$6:$C$998,D$4,'[1]Blackout Brand Fam Areas (Enc)'!$D$6:$D$998,"Inactive")&gt;0,"BLOCKED","CAN SELL")))))</f>
        <v>CAN SELL</v>
      </c>
      <c r="E277" s="11" t="str">
        <f>IF($A277="","",_xlfn.LET(_xlpm.t,MATCH($B277,'[1]Territory Definitions'!$B$5:$B$14,0),IF(ISNA(_xlpm.t),"NO TERRITORY",IF(INDEX('[1]Territory Definitions'!$D$5:$M$14,_xlpm.t,MATCH(E$4,'[1]Territory Definitions'!$D$4:$M$4,0))&lt;&gt;1,"NOT IN TERRITORY",IF(COUNTIFS('[1]Blackout Brand Fam Areas (Enc)'!$B$6:$B$998,$A277,'[1]Blackout Brand Fam Areas (Enc)'!$C$6:$C$998,E$4,'[1]Blackout Brand Fam Areas (Enc)'!$D$6:$D$998,"Inactive")&gt;0,"BLOCKED","CAN SELL")))))</f>
        <v>CAN SELL</v>
      </c>
      <c r="F277" s="11" t="str">
        <f>IF($A277="","",_xlfn.LET(_xlpm.t,MATCH($B277,'[1]Territory Definitions'!$B$5:$B$14,0),IF(ISNA(_xlpm.t),"NO TERRITORY",IF(INDEX('[1]Territory Definitions'!$D$5:$M$14,_xlpm.t,MATCH(F$4,'[1]Territory Definitions'!$D$4:$M$4,0))&lt;&gt;1,"NOT IN TERRITORY",IF(COUNTIFS('[1]Blackout Brand Fam Areas (Enc)'!$B$6:$B$998,$A277,'[1]Blackout Brand Fam Areas (Enc)'!$C$6:$C$998,F$4,'[1]Blackout Brand Fam Areas (Enc)'!$D$6:$D$998,"Inactive")&gt;0,"BLOCKED","CAN SELL")))))</f>
        <v>NOT IN TERRITORY</v>
      </c>
      <c r="G277" s="11" t="str">
        <f>IF($A277="","",_xlfn.LET(_xlpm.t,MATCH($B277,'[1]Territory Definitions'!$B$5:$B$14,0),IF(ISNA(_xlpm.t),"NO TERRITORY",IF(INDEX('[1]Territory Definitions'!$D$5:$M$14,_xlpm.t,MATCH(G$4,'[1]Territory Definitions'!$D$4:$M$4,0))&lt;&gt;1,"NOT IN TERRITORY",IF(COUNTIFS('[1]Blackout Brand Fam Areas (Enc)'!$B$6:$B$998,$A277,'[1]Blackout Brand Fam Areas (Enc)'!$C$6:$C$998,G$4,'[1]Blackout Brand Fam Areas (Enc)'!$D$6:$D$998,"Inactive")&gt;0,"BLOCKED","CAN SELL")))))</f>
        <v>NOT IN TERRITORY</v>
      </c>
      <c r="H277" s="11" t="str">
        <f>IF($A277="","",_xlfn.LET(_xlpm.t,MATCH($B277,'[1]Territory Definitions'!$B$5:$B$14,0),IF(ISNA(_xlpm.t),"NO TERRITORY",IF(INDEX('[1]Territory Definitions'!$D$5:$M$14,_xlpm.t,MATCH(H$4,'[1]Territory Definitions'!$D$4:$M$4,0))&lt;&gt;1,"NOT IN TERRITORY",IF(COUNTIFS('[1]Blackout Brand Fam Areas (Enc)'!$B$6:$B$998,$A277,'[1]Blackout Brand Fam Areas (Enc)'!$C$6:$C$998,H$4,'[1]Blackout Brand Fam Areas (Enc)'!$D$6:$D$998,"Inactive")&gt;0,"BLOCKED","CAN SELL")))))</f>
        <v>NOT IN TERRITORY</v>
      </c>
      <c r="I277" s="11" t="str">
        <f>IF($A277="","",_xlfn.LET(_xlpm.t,MATCH($B277,'[1]Territory Definitions'!$B$5:$B$14,0),IF(ISNA(_xlpm.t),"NO TERRITORY",IF(INDEX('[1]Territory Definitions'!$D$5:$M$14,_xlpm.t,MATCH(I$4,'[1]Territory Definitions'!$D$4:$M$4,0))&lt;&gt;1,"NOT IN TERRITORY",IF(COUNTIFS('[1]Blackout Brand Fam Areas (Enc)'!$B$6:$B$998,$A277,'[1]Blackout Brand Fam Areas (Enc)'!$C$6:$C$998,I$4,'[1]Blackout Brand Fam Areas (Enc)'!$D$6:$D$998,"Inactive")&gt;0,"BLOCKED","CAN SELL")))))</f>
        <v>CAN SELL</v>
      </c>
      <c r="J277" s="11" t="str">
        <f>IF($A277="","",_xlfn.LET(_xlpm.t,MATCH($B277,'[1]Territory Definitions'!$B$5:$B$14,0),IF(ISNA(_xlpm.t),"NO TERRITORY",IF(INDEX('[1]Territory Definitions'!$D$5:$M$14,_xlpm.t,MATCH(J$4,'[1]Territory Definitions'!$D$4:$M$4,0))&lt;&gt;1,"NOT IN TERRITORY",IF(COUNTIFS('[1]Blackout Brand Fam Areas (Enc)'!$B$6:$B$998,$A277,'[1]Blackout Brand Fam Areas (Enc)'!$C$6:$C$998,J$4,'[1]Blackout Brand Fam Areas (Enc)'!$D$6:$D$998,"Inactive")&gt;0,"BLOCKED","CAN SELL")))))</f>
        <v>CAN SELL</v>
      </c>
      <c r="K277" s="11" t="str">
        <f>IF($A277="","",_xlfn.LET(_xlpm.t,MATCH($B277,'[1]Territory Definitions'!$B$5:$B$14,0),IF(ISNA(_xlpm.t),"NO TERRITORY",IF(INDEX('[1]Territory Definitions'!$D$5:$M$14,_xlpm.t,MATCH(K$4,'[1]Territory Definitions'!$D$4:$M$4,0))&lt;&gt;1,"NOT IN TERRITORY",IF(COUNTIFS('[1]Blackout Brand Fam Areas (Enc)'!$B$6:$B$998,$A277,'[1]Blackout Brand Fam Areas (Enc)'!$C$6:$C$998,K$4,'[1]Blackout Brand Fam Areas (Enc)'!$D$6:$D$998,"Inactive")&gt;0,"BLOCKED","CAN SELL")))))</f>
        <v>NOT IN TERRITORY</v>
      </c>
      <c r="L277" s="11" t="str">
        <f>IF($A277="","",_xlfn.LET(_xlpm.t,MATCH($B277,'[1]Territory Definitions'!$B$5:$B$14,0),IF(ISNA(_xlpm.t),"NO TERRITORY",IF(INDEX('[1]Territory Definitions'!$D$5:$M$14,_xlpm.t,MATCH(L$4,'[1]Territory Definitions'!$D$4:$M$4,0))&lt;&gt;1,"NOT IN TERRITORY",IF(COUNTIFS('[1]Blackout Brand Fam Areas (Enc)'!$B$6:$B$998,$A277,'[1]Blackout Brand Fam Areas (Enc)'!$C$6:$C$998,L$4,'[1]Blackout Brand Fam Areas (Enc)'!$D$6:$D$998,"Inactive")&gt;0,"BLOCKED","CAN SELL")))))</f>
        <v>CAN SELL</v>
      </c>
      <c r="M277" s="12">
        <f>IF($A277="","",COUNTIF($C277:$L277,"CAN SELL"))</f>
        <v>6</v>
      </c>
      <c r="N277" s="13" cm="1">
        <f t="array" ref="N277">IF($A277="","",SUMPRODUCT(($C277:$L277="CAN SELL")*$C$3:$L$3))</f>
        <v>1596</v>
      </c>
      <c r="O277" s="14" t="str">
        <f>IF($A277="","",IF(COUNTIF($A$5:$A$299,$A277)&gt;1,"DUPLICATE - two different territories assigned",IF($B277="** NO TERRITORY SET **","No territory on Brand Family Territory (Enc)","")))</f>
        <v/>
      </c>
      <c r="P277" s="18" t="str">
        <f>IF($A277="","",IFERROR(INDEX([1]Products!$H$4:$H$4801,MATCH($A277,[1]Products!$G$4:$G$4801,0)),"(no products)"))</f>
        <v>MolsonCoors Beverage Company</v>
      </c>
      <c r="Q277" s="19">
        <f>IF($A277="","",COUNTIFS([1]Products!$G$4:$G$4801,$A277,[1]Products!$L$4:$L$4801,"Yes"))</f>
        <v>4</v>
      </c>
      <c r="R277" s="19">
        <f>IF($A277="","",COUNTIFS([1]Products!$G$4:$G$4801,$A277,[1]Products!$L$4:$L$4801,"Yes",[1]Products!$K$4:$K$4801,"Draft"))</f>
        <v>0</v>
      </c>
      <c r="S277" s="19">
        <f>IF($A277="","",COUNTIFS([1]Products!$G$4:$G$4801,$A277,[1]Products!$L$4:$L$4801,"Yes",[1]Products!$K$4:$K$4801,"Package"))</f>
        <v>4</v>
      </c>
      <c r="T277" s="20" t="str" cm="1">
        <f t="array" ref="T277">IF($A277="","",_xlfn.IFS($Q277=0,"NO ACTIVE SKUs",AND($R277&gt;0,$S277&gt;0),"Draft &amp; Package",$R277&gt;0,"Draft only",TRUE,"Package only"))</f>
        <v>Package only</v>
      </c>
    </row>
    <row r="278" spans="1:20" x14ac:dyDescent="0.2">
      <c r="A278" s="9" t="str">
        <v>Ukrainian Spirit</v>
      </c>
      <c r="B278" s="10" t="str">
        <f>IF($A278="","",_xlfn.XLOOKUP($A278,'[1]Brand Family Territory (Enc)'!$A:$A,'[1]Brand Family Territory (Enc)'!$B:$B,"** NO TERRITORY SET **"))</f>
        <v>Core Market</v>
      </c>
      <c r="C278" s="11" t="str">
        <f>IF($A278="","",_xlfn.LET(_xlpm.t,MATCH($B278,'[1]Territory Definitions'!$B$5:$B$14,0),IF(ISNA(_xlpm.t),"NO TERRITORY",IF(INDEX('[1]Territory Definitions'!$D$5:$M$14,_xlpm.t,MATCH(C$4,'[1]Territory Definitions'!$D$4:$M$4,0))&lt;&gt;1,"NOT IN TERRITORY",IF(COUNTIFS('[1]Blackout Brand Fam Areas (Enc)'!$B$6:$B$998,$A278,'[1]Blackout Brand Fam Areas (Enc)'!$C$6:$C$998,C$4,'[1]Blackout Brand Fam Areas (Enc)'!$D$6:$D$998,"Inactive")&gt;0,"BLOCKED","CAN SELL")))))</f>
        <v>CAN SELL</v>
      </c>
      <c r="D278" s="11" t="str">
        <f>IF($A278="","",_xlfn.LET(_xlpm.t,MATCH($B278,'[1]Territory Definitions'!$B$5:$B$14,0),IF(ISNA(_xlpm.t),"NO TERRITORY",IF(INDEX('[1]Territory Definitions'!$D$5:$M$14,_xlpm.t,MATCH(D$4,'[1]Territory Definitions'!$D$4:$M$4,0))&lt;&gt;1,"NOT IN TERRITORY",IF(COUNTIFS('[1]Blackout Brand Fam Areas (Enc)'!$B$6:$B$998,$A278,'[1]Blackout Brand Fam Areas (Enc)'!$C$6:$C$998,D$4,'[1]Blackout Brand Fam Areas (Enc)'!$D$6:$D$998,"Inactive")&gt;0,"BLOCKED","CAN SELL")))))</f>
        <v>CAN SELL</v>
      </c>
      <c r="E278" s="11" t="str">
        <f>IF($A278="","",_xlfn.LET(_xlpm.t,MATCH($B278,'[1]Territory Definitions'!$B$5:$B$14,0),IF(ISNA(_xlpm.t),"NO TERRITORY",IF(INDEX('[1]Territory Definitions'!$D$5:$M$14,_xlpm.t,MATCH(E$4,'[1]Territory Definitions'!$D$4:$M$4,0))&lt;&gt;1,"NOT IN TERRITORY",IF(COUNTIFS('[1]Blackout Brand Fam Areas (Enc)'!$B$6:$B$998,$A278,'[1]Blackout Brand Fam Areas (Enc)'!$C$6:$C$998,E$4,'[1]Blackout Brand Fam Areas (Enc)'!$D$6:$D$998,"Inactive")&gt;0,"BLOCKED","CAN SELL")))))</f>
        <v>CAN SELL</v>
      </c>
      <c r="F278" s="11" t="str">
        <f>IF($A278="","",_xlfn.LET(_xlpm.t,MATCH($B278,'[1]Territory Definitions'!$B$5:$B$14,0),IF(ISNA(_xlpm.t),"NO TERRITORY",IF(INDEX('[1]Territory Definitions'!$D$5:$M$14,_xlpm.t,MATCH(F$4,'[1]Territory Definitions'!$D$4:$M$4,0))&lt;&gt;1,"NOT IN TERRITORY",IF(COUNTIFS('[1]Blackout Brand Fam Areas (Enc)'!$B$6:$B$998,$A278,'[1]Blackout Brand Fam Areas (Enc)'!$C$6:$C$998,F$4,'[1]Blackout Brand Fam Areas (Enc)'!$D$6:$D$998,"Inactive")&gt;0,"BLOCKED","CAN SELL")))))</f>
        <v>NOT IN TERRITORY</v>
      </c>
      <c r="G278" s="11" t="str">
        <f>IF($A278="","",_xlfn.LET(_xlpm.t,MATCH($B278,'[1]Territory Definitions'!$B$5:$B$14,0),IF(ISNA(_xlpm.t),"NO TERRITORY",IF(INDEX('[1]Territory Definitions'!$D$5:$M$14,_xlpm.t,MATCH(G$4,'[1]Territory Definitions'!$D$4:$M$4,0))&lt;&gt;1,"NOT IN TERRITORY",IF(COUNTIFS('[1]Blackout Brand Fam Areas (Enc)'!$B$6:$B$998,$A278,'[1]Blackout Brand Fam Areas (Enc)'!$C$6:$C$998,G$4,'[1]Blackout Brand Fam Areas (Enc)'!$D$6:$D$998,"Inactive")&gt;0,"BLOCKED","CAN SELL")))))</f>
        <v>NOT IN TERRITORY</v>
      </c>
      <c r="H278" s="11" t="str">
        <f>IF($A278="","",_xlfn.LET(_xlpm.t,MATCH($B278,'[1]Territory Definitions'!$B$5:$B$14,0),IF(ISNA(_xlpm.t),"NO TERRITORY",IF(INDEX('[1]Territory Definitions'!$D$5:$M$14,_xlpm.t,MATCH(H$4,'[1]Territory Definitions'!$D$4:$M$4,0))&lt;&gt;1,"NOT IN TERRITORY",IF(COUNTIFS('[1]Blackout Brand Fam Areas (Enc)'!$B$6:$B$998,$A278,'[1]Blackout Brand Fam Areas (Enc)'!$C$6:$C$998,H$4,'[1]Blackout Brand Fam Areas (Enc)'!$D$6:$D$998,"Inactive")&gt;0,"BLOCKED","CAN SELL")))))</f>
        <v>NOT IN TERRITORY</v>
      </c>
      <c r="I278" s="11" t="str">
        <f>IF($A278="","",_xlfn.LET(_xlpm.t,MATCH($B278,'[1]Territory Definitions'!$B$5:$B$14,0),IF(ISNA(_xlpm.t),"NO TERRITORY",IF(INDEX('[1]Territory Definitions'!$D$5:$M$14,_xlpm.t,MATCH(I$4,'[1]Territory Definitions'!$D$4:$M$4,0))&lt;&gt;1,"NOT IN TERRITORY",IF(COUNTIFS('[1]Blackout Brand Fam Areas (Enc)'!$B$6:$B$998,$A278,'[1]Blackout Brand Fam Areas (Enc)'!$C$6:$C$998,I$4,'[1]Blackout Brand Fam Areas (Enc)'!$D$6:$D$998,"Inactive")&gt;0,"BLOCKED","CAN SELL")))))</f>
        <v>CAN SELL</v>
      </c>
      <c r="J278" s="11" t="str">
        <f>IF($A278="","",_xlfn.LET(_xlpm.t,MATCH($B278,'[1]Territory Definitions'!$B$5:$B$14,0),IF(ISNA(_xlpm.t),"NO TERRITORY",IF(INDEX('[1]Territory Definitions'!$D$5:$M$14,_xlpm.t,MATCH(J$4,'[1]Territory Definitions'!$D$4:$M$4,0))&lt;&gt;1,"NOT IN TERRITORY",IF(COUNTIFS('[1]Blackout Brand Fam Areas (Enc)'!$B$6:$B$998,$A278,'[1]Blackout Brand Fam Areas (Enc)'!$C$6:$C$998,J$4,'[1]Blackout Brand Fam Areas (Enc)'!$D$6:$D$998,"Inactive")&gt;0,"BLOCKED","CAN SELL")))))</f>
        <v>CAN SELL</v>
      </c>
      <c r="K278" s="11" t="str">
        <f>IF($A278="","",_xlfn.LET(_xlpm.t,MATCH($B278,'[1]Territory Definitions'!$B$5:$B$14,0),IF(ISNA(_xlpm.t),"NO TERRITORY",IF(INDEX('[1]Territory Definitions'!$D$5:$M$14,_xlpm.t,MATCH(K$4,'[1]Territory Definitions'!$D$4:$M$4,0))&lt;&gt;1,"NOT IN TERRITORY",IF(COUNTIFS('[1]Blackout Brand Fam Areas (Enc)'!$B$6:$B$998,$A278,'[1]Blackout Brand Fam Areas (Enc)'!$C$6:$C$998,K$4,'[1]Blackout Brand Fam Areas (Enc)'!$D$6:$D$998,"Inactive")&gt;0,"BLOCKED","CAN SELL")))))</f>
        <v>NOT IN TERRITORY</v>
      </c>
      <c r="L278" s="11" t="str">
        <f>IF($A278="","",_xlfn.LET(_xlpm.t,MATCH($B278,'[1]Territory Definitions'!$B$5:$B$14,0),IF(ISNA(_xlpm.t),"NO TERRITORY",IF(INDEX('[1]Territory Definitions'!$D$5:$M$14,_xlpm.t,MATCH(L$4,'[1]Territory Definitions'!$D$4:$M$4,0))&lt;&gt;1,"NOT IN TERRITORY",IF(COUNTIFS('[1]Blackout Brand Fam Areas (Enc)'!$B$6:$B$998,$A278,'[1]Blackout Brand Fam Areas (Enc)'!$C$6:$C$998,L$4,'[1]Blackout Brand Fam Areas (Enc)'!$D$6:$D$998,"Inactive")&gt;0,"BLOCKED","CAN SELL")))))</f>
        <v>CAN SELL</v>
      </c>
      <c r="M278" s="12">
        <f>IF($A278="","",COUNTIF($C278:$L278,"CAN SELL"))</f>
        <v>6</v>
      </c>
      <c r="N278" s="13" cm="1">
        <f t="array" ref="N278">IF($A278="","",SUMPRODUCT(($C278:$L278="CAN SELL")*$C$3:$L$3))</f>
        <v>1596</v>
      </c>
      <c r="O278" s="14" t="str">
        <f>IF($A278="","",IF(COUNTIF($A$5:$A$299,$A278)&gt;1,"DUPLICATE - two different territories assigned",IF($B278="** NO TERRITORY SET **","No territory on Brand Family Territory (Enc)","")))</f>
        <v/>
      </c>
      <c r="P278" s="18" t="str">
        <f>IF($A278="","",IFERROR(INDEX([1]Products!$H$4:$H$4801,MATCH($A278,[1]Products!$G$4:$G$4801,0)),"(no products)"))</f>
        <v>SPYRT Worldwide</v>
      </c>
      <c r="Q278" s="19">
        <f>IF($A278="","",COUNTIFS([1]Products!$G$4:$G$4801,$A278,[1]Products!$L$4:$L$4801,"Yes"))</f>
        <v>1</v>
      </c>
      <c r="R278" s="19">
        <f>IF($A278="","",COUNTIFS([1]Products!$G$4:$G$4801,$A278,[1]Products!$L$4:$L$4801,"Yes",[1]Products!$K$4:$K$4801,"Draft"))</f>
        <v>0</v>
      </c>
      <c r="S278" s="19">
        <f>IF($A278="","",COUNTIFS([1]Products!$G$4:$G$4801,$A278,[1]Products!$L$4:$L$4801,"Yes",[1]Products!$K$4:$K$4801,"Package"))</f>
        <v>0</v>
      </c>
      <c r="T278" s="20" t="str" cm="1">
        <f t="array" ref="T278">IF($A278="","",_xlfn.IFS($Q278=0,"NO ACTIVE SKUs",AND($R278&gt;0,$S278&gt;0),"Draft &amp; Package",$R278&gt;0,"Draft only",TRUE,"Package only"))</f>
        <v>Package only</v>
      </c>
    </row>
    <row r="279" spans="1:20" x14ac:dyDescent="0.2">
      <c r="A279" s="9" t="str">
        <v>Unibroue</v>
      </c>
      <c r="B279" s="10" t="str">
        <f>IF($A279="","",_xlfn.XLOOKUP($A279,'[1]Brand Family Territory (Enc)'!$A:$A,'[1]Brand Family Territory (Enc)'!$B:$B,"** NO TERRITORY SET **"))</f>
        <v>Bergen/Passaic/Hudson/Essex</v>
      </c>
      <c r="C279" s="11" t="str">
        <f>IF($A279="","",_xlfn.LET(_xlpm.t,MATCH($B279,'[1]Territory Definitions'!$B$5:$B$14,0),IF(ISNA(_xlpm.t),"NO TERRITORY",IF(INDEX('[1]Territory Definitions'!$D$5:$M$14,_xlpm.t,MATCH(C$4,'[1]Territory Definitions'!$D$4:$M$4,0))&lt;&gt;1,"NOT IN TERRITORY",IF(COUNTIFS('[1]Blackout Brand Fam Areas (Enc)'!$B$6:$B$998,$A279,'[1]Blackout Brand Fam Areas (Enc)'!$C$6:$C$998,C$4,'[1]Blackout Brand Fam Areas (Enc)'!$D$6:$D$998,"Inactive")&gt;0,"BLOCKED","CAN SELL")))))</f>
        <v>CAN SELL</v>
      </c>
      <c r="D279" s="11" t="str">
        <f>IF($A279="","",_xlfn.LET(_xlpm.t,MATCH($B279,'[1]Territory Definitions'!$B$5:$B$14,0),IF(ISNA(_xlpm.t),"NO TERRITORY",IF(INDEX('[1]Territory Definitions'!$D$5:$M$14,_xlpm.t,MATCH(D$4,'[1]Territory Definitions'!$D$4:$M$4,0))&lt;&gt;1,"NOT IN TERRITORY",IF(COUNTIFS('[1]Blackout Brand Fam Areas (Enc)'!$B$6:$B$998,$A279,'[1]Blackout Brand Fam Areas (Enc)'!$C$6:$C$998,D$4,'[1]Blackout Brand Fam Areas (Enc)'!$D$6:$D$998,"Inactive")&gt;0,"BLOCKED","CAN SELL")))))</f>
        <v>CAN SELL</v>
      </c>
      <c r="E279" s="11" t="str">
        <f>IF($A279="","",_xlfn.LET(_xlpm.t,MATCH($B279,'[1]Territory Definitions'!$B$5:$B$14,0),IF(ISNA(_xlpm.t),"NO TERRITORY",IF(INDEX('[1]Territory Definitions'!$D$5:$M$14,_xlpm.t,MATCH(E$4,'[1]Territory Definitions'!$D$4:$M$4,0))&lt;&gt;1,"NOT IN TERRITORY",IF(COUNTIFS('[1]Blackout Brand Fam Areas (Enc)'!$B$6:$B$998,$A279,'[1]Blackout Brand Fam Areas (Enc)'!$C$6:$C$998,E$4,'[1]Blackout Brand Fam Areas (Enc)'!$D$6:$D$998,"Inactive")&gt;0,"BLOCKED","CAN SELL")))))</f>
        <v>CAN SELL</v>
      </c>
      <c r="F279" s="11" t="str">
        <f>IF($A279="","",_xlfn.LET(_xlpm.t,MATCH($B279,'[1]Territory Definitions'!$B$5:$B$14,0),IF(ISNA(_xlpm.t),"NO TERRITORY",IF(INDEX('[1]Territory Definitions'!$D$5:$M$14,_xlpm.t,MATCH(F$4,'[1]Territory Definitions'!$D$4:$M$4,0))&lt;&gt;1,"NOT IN TERRITORY",IF(COUNTIFS('[1]Blackout Brand Fam Areas (Enc)'!$B$6:$B$998,$A279,'[1]Blackout Brand Fam Areas (Enc)'!$C$6:$C$998,F$4,'[1]Blackout Brand Fam Areas (Enc)'!$D$6:$D$998,"Inactive")&gt;0,"BLOCKED","CAN SELL")))))</f>
        <v>CAN SELL</v>
      </c>
      <c r="G279" s="11" t="str">
        <f>IF($A279="","",_xlfn.LET(_xlpm.t,MATCH($B279,'[1]Territory Definitions'!$B$5:$B$14,0),IF(ISNA(_xlpm.t),"NO TERRITORY",IF(INDEX('[1]Territory Definitions'!$D$5:$M$14,_xlpm.t,MATCH(G$4,'[1]Territory Definitions'!$D$4:$M$4,0))&lt;&gt;1,"NOT IN TERRITORY",IF(COUNTIFS('[1]Blackout Brand Fam Areas (Enc)'!$B$6:$B$998,$A279,'[1]Blackout Brand Fam Areas (Enc)'!$C$6:$C$998,G$4,'[1]Blackout Brand Fam Areas (Enc)'!$D$6:$D$998,"Inactive")&gt;0,"BLOCKED","CAN SELL")))))</f>
        <v>CAN SELL</v>
      </c>
      <c r="H279" s="11" t="str">
        <f>IF($A279="","",_xlfn.LET(_xlpm.t,MATCH($B279,'[1]Territory Definitions'!$B$5:$B$14,0),IF(ISNA(_xlpm.t),"NO TERRITORY",IF(INDEX('[1]Territory Definitions'!$D$5:$M$14,_xlpm.t,MATCH(H$4,'[1]Territory Definitions'!$D$4:$M$4,0))&lt;&gt;1,"NOT IN TERRITORY",IF(COUNTIFS('[1]Blackout Brand Fam Areas (Enc)'!$B$6:$B$998,$A279,'[1]Blackout Brand Fam Areas (Enc)'!$C$6:$C$998,H$4,'[1]Blackout Brand Fam Areas (Enc)'!$D$6:$D$998,"Inactive")&gt;0,"BLOCKED","CAN SELL")))))</f>
        <v>NOT IN TERRITORY</v>
      </c>
      <c r="I279" s="11" t="str">
        <f>IF($A279="","",_xlfn.LET(_xlpm.t,MATCH($B279,'[1]Territory Definitions'!$B$5:$B$14,0),IF(ISNA(_xlpm.t),"NO TERRITORY",IF(INDEX('[1]Territory Definitions'!$D$5:$M$14,_xlpm.t,MATCH(I$4,'[1]Territory Definitions'!$D$4:$M$4,0))&lt;&gt;1,"NOT IN TERRITORY",IF(COUNTIFS('[1]Blackout Brand Fam Areas (Enc)'!$B$6:$B$998,$A279,'[1]Blackout Brand Fam Areas (Enc)'!$C$6:$C$998,I$4,'[1]Blackout Brand Fam Areas (Enc)'!$D$6:$D$998,"Inactive")&gt;0,"BLOCKED","CAN SELL")))))</f>
        <v>NOT IN TERRITORY</v>
      </c>
      <c r="J279" s="11" t="str">
        <f>IF($A279="","",_xlfn.LET(_xlpm.t,MATCH($B279,'[1]Territory Definitions'!$B$5:$B$14,0),IF(ISNA(_xlpm.t),"NO TERRITORY",IF(INDEX('[1]Territory Definitions'!$D$5:$M$14,_xlpm.t,MATCH(J$4,'[1]Territory Definitions'!$D$4:$M$4,0))&lt;&gt;1,"NOT IN TERRITORY",IF(COUNTIFS('[1]Blackout Brand Fam Areas (Enc)'!$B$6:$B$998,$A279,'[1]Blackout Brand Fam Areas (Enc)'!$C$6:$C$998,J$4,'[1]Blackout Brand Fam Areas (Enc)'!$D$6:$D$998,"Inactive")&gt;0,"BLOCKED","CAN SELL")))))</f>
        <v>NOT IN TERRITORY</v>
      </c>
      <c r="K279" s="11" t="str">
        <f>IF($A279="","",_xlfn.LET(_xlpm.t,MATCH($B279,'[1]Territory Definitions'!$B$5:$B$14,0),IF(ISNA(_xlpm.t),"NO TERRITORY",IF(INDEX('[1]Territory Definitions'!$D$5:$M$14,_xlpm.t,MATCH(K$4,'[1]Territory Definitions'!$D$4:$M$4,0))&lt;&gt;1,"NOT IN TERRITORY",IF(COUNTIFS('[1]Blackout Brand Fam Areas (Enc)'!$B$6:$B$998,$A279,'[1]Blackout Brand Fam Areas (Enc)'!$C$6:$C$998,K$4,'[1]Blackout Brand Fam Areas (Enc)'!$D$6:$D$998,"Inactive")&gt;0,"BLOCKED","CAN SELL")))))</f>
        <v>NOT IN TERRITORY</v>
      </c>
      <c r="L279" s="11" t="str">
        <f>IF($A279="","",_xlfn.LET(_xlpm.t,MATCH($B279,'[1]Territory Definitions'!$B$5:$B$14,0),IF(ISNA(_xlpm.t),"NO TERRITORY",IF(INDEX('[1]Territory Definitions'!$D$5:$M$14,_xlpm.t,MATCH(L$4,'[1]Territory Definitions'!$D$4:$M$4,0))&lt;&gt;1,"NOT IN TERRITORY",IF(COUNTIFS('[1]Blackout Brand Fam Areas (Enc)'!$B$6:$B$998,$A279,'[1]Blackout Brand Fam Areas (Enc)'!$C$6:$C$998,L$4,'[1]Blackout Brand Fam Areas (Enc)'!$D$6:$D$998,"Inactive")&gt;0,"BLOCKED","CAN SELL")))))</f>
        <v>NOT IN TERRITORY</v>
      </c>
      <c r="M279" s="12">
        <f>IF($A279="","",COUNTIF($C279:$L279,"CAN SELL"))</f>
        <v>5</v>
      </c>
      <c r="N279" s="13" cm="1">
        <f t="array" ref="N279">IF($A279="","",SUMPRODUCT(($C279:$L279="CAN SELL")*$C$3:$L$3))</f>
        <v>1859</v>
      </c>
      <c r="O279" s="14" t="str">
        <f>IF($A279="","",IF(COUNTIF($A$5:$A$299,$A279)&gt;1,"DUPLICATE - two different territories assigned",IF($B279="** NO TERRITORY SET **","No territory on Brand Family Territory (Enc)","")))</f>
        <v/>
      </c>
      <c r="P279" s="18" t="str">
        <f>IF($A279="","",IFERROR(INDEX([1]Products!$H$4:$H$4801,MATCH($A279,[1]Products!$G$4:$G$4801,0)),"(no products)"))</f>
        <v>Unibroue</v>
      </c>
      <c r="Q279" s="19">
        <f>IF($A279="","",COUNTIFS([1]Products!$G$4:$G$4801,$A279,[1]Products!$L$4:$L$4801,"Yes"))</f>
        <v>4</v>
      </c>
      <c r="R279" s="19">
        <f>IF($A279="","",COUNTIFS([1]Products!$G$4:$G$4801,$A279,[1]Products!$L$4:$L$4801,"Yes",[1]Products!$K$4:$K$4801,"Draft"))</f>
        <v>1</v>
      </c>
      <c r="S279" s="19">
        <f>IF($A279="","",COUNTIFS([1]Products!$G$4:$G$4801,$A279,[1]Products!$L$4:$L$4801,"Yes",[1]Products!$K$4:$K$4801,"Package"))</f>
        <v>3</v>
      </c>
      <c r="T279" s="20" t="str" cm="1">
        <f t="array" ref="T279">IF($A279="","",_xlfn.IFS($Q279=0,"NO ACTIVE SKUs",AND($R279&gt;0,$S279&gt;0),"Draft &amp; Package",$R279&gt;0,"Draft only",TRUE,"Package only"))</f>
        <v>Draft &amp; Package</v>
      </c>
    </row>
    <row r="280" spans="1:20" x14ac:dyDescent="0.2">
      <c r="A280" s="9" t="str">
        <v>Van Steenberge</v>
      </c>
      <c r="B280" s="10" t="str">
        <f>IF($A280="","",_xlfn.XLOOKUP($A280,'[1]Brand Family Territory (Enc)'!$A:$A,'[1]Brand Family Territory (Enc)'!$B:$B,"** NO TERRITORY SET **"))</f>
        <v>All Counties</v>
      </c>
      <c r="C280" s="11" t="str">
        <f>IF($A280="","",_xlfn.LET(_xlpm.t,MATCH($B280,'[1]Territory Definitions'!$B$5:$B$14,0),IF(ISNA(_xlpm.t),"NO TERRITORY",IF(INDEX('[1]Territory Definitions'!$D$5:$M$14,_xlpm.t,MATCH(C$4,'[1]Territory Definitions'!$D$4:$M$4,0))&lt;&gt;1,"NOT IN TERRITORY",IF(COUNTIFS('[1]Blackout Brand Fam Areas (Enc)'!$B$6:$B$998,$A280,'[1]Blackout Brand Fam Areas (Enc)'!$C$6:$C$998,C$4,'[1]Blackout Brand Fam Areas (Enc)'!$D$6:$D$998,"Inactive")&gt;0,"BLOCKED","CAN SELL")))))</f>
        <v>CAN SELL</v>
      </c>
      <c r="D280" s="11" t="str">
        <f>IF($A280="","",_xlfn.LET(_xlpm.t,MATCH($B280,'[1]Territory Definitions'!$B$5:$B$14,0),IF(ISNA(_xlpm.t),"NO TERRITORY",IF(INDEX('[1]Territory Definitions'!$D$5:$M$14,_xlpm.t,MATCH(D$4,'[1]Territory Definitions'!$D$4:$M$4,0))&lt;&gt;1,"NOT IN TERRITORY",IF(COUNTIFS('[1]Blackout Brand Fam Areas (Enc)'!$B$6:$B$998,$A280,'[1]Blackout Brand Fam Areas (Enc)'!$C$6:$C$998,D$4,'[1]Blackout Brand Fam Areas (Enc)'!$D$6:$D$998,"Inactive")&gt;0,"BLOCKED","CAN SELL")))))</f>
        <v>CAN SELL</v>
      </c>
      <c r="E280" s="11" t="str">
        <f>IF($A280="","",_xlfn.LET(_xlpm.t,MATCH($B280,'[1]Territory Definitions'!$B$5:$B$14,0),IF(ISNA(_xlpm.t),"NO TERRITORY",IF(INDEX('[1]Territory Definitions'!$D$5:$M$14,_xlpm.t,MATCH(E$4,'[1]Territory Definitions'!$D$4:$M$4,0))&lt;&gt;1,"NOT IN TERRITORY",IF(COUNTIFS('[1]Blackout Brand Fam Areas (Enc)'!$B$6:$B$998,$A280,'[1]Blackout Brand Fam Areas (Enc)'!$C$6:$C$998,E$4,'[1]Blackout Brand Fam Areas (Enc)'!$D$6:$D$998,"Inactive")&gt;0,"BLOCKED","CAN SELL")))))</f>
        <v>CAN SELL</v>
      </c>
      <c r="F280" s="11" t="str">
        <f>IF($A280="","",_xlfn.LET(_xlpm.t,MATCH($B280,'[1]Territory Definitions'!$B$5:$B$14,0),IF(ISNA(_xlpm.t),"NO TERRITORY",IF(INDEX('[1]Territory Definitions'!$D$5:$M$14,_xlpm.t,MATCH(F$4,'[1]Territory Definitions'!$D$4:$M$4,0))&lt;&gt;1,"NOT IN TERRITORY",IF(COUNTIFS('[1]Blackout Brand Fam Areas (Enc)'!$B$6:$B$998,$A280,'[1]Blackout Brand Fam Areas (Enc)'!$C$6:$C$998,F$4,'[1]Blackout Brand Fam Areas (Enc)'!$D$6:$D$998,"Inactive")&gt;0,"BLOCKED","CAN SELL")))))</f>
        <v>CAN SELL</v>
      </c>
      <c r="G280" s="11" t="str">
        <f>IF($A280="","",_xlfn.LET(_xlpm.t,MATCH($B280,'[1]Territory Definitions'!$B$5:$B$14,0),IF(ISNA(_xlpm.t),"NO TERRITORY",IF(INDEX('[1]Territory Definitions'!$D$5:$M$14,_xlpm.t,MATCH(G$4,'[1]Territory Definitions'!$D$4:$M$4,0))&lt;&gt;1,"NOT IN TERRITORY",IF(COUNTIFS('[1]Blackout Brand Fam Areas (Enc)'!$B$6:$B$998,$A280,'[1]Blackout Brand Fam Areas (Enc)'!$C$6:$C$998,G$4,'[1]Blackout Brand Fam Areas (Enc)'!$D$6:$D$998,"Inactive")&gt;0,"BLOCKED","CAN SELL")))))</f>
        <v>CAN SELL</v>
      </c>
      <c r="H280" s="11" t="str">
        <f>IF($A280="","",_xlfn.LET(_xlpm.t,MATCH($B280,'[1]Territory Definitions'!$B$5:$B$14,0),IF(ISNA(_xlpm.t),"NO TERRITORY",IF(INDEX('[1]Territory Definitions'!$D$5:$M$14,_xlpm.t,MATCH(H$4,'[1]Territory Definitions'!$D$4:$M$4,0))&lt;&gt;1,"NOT IN TERRITORY",IF(COUNTIFS('[1]Blackout Brand Fam Areas (Enc)'!$B$6:$B$998,$A280,'[1]Blackout Brand Fam Areas (Enc)'!$C$6:$C$998,H$4,'[1]Blackout Brand Fam Areas (Enc)'!$D$6:$D$998,"Inactive")&gt;0,"BLOCKED","CAN SELL")))))</f>
        <v>CAN SELL</v>
      </c>
      <c r="I280" s="11" t="str">
        <f>IF($A280="","",_xlfn.LET(_xlpm.t,MATCH($B280,'[1]Territory Definitions'!$B$5:$B$14,0),IF(ISNA(_xlpm.t),"NO TERRITORY",IF(INDEX('[1]Territory Definitions'!$D$5:$M$14,_xlpm.t,MATCH(I$4,'[1]Territory Definitions'!$D$4:$M$4,0))&lt;&gt;1,"NOT IN TERRITORY",IF(COUNTIFS('[1]Blackout Brand Fam Areas (Enc)'!$B$6:$B$998,$A280,'[1]Blackout Brand Fam Areas (Enc)'!$C$6:$C$998,I$4,'[1]Blackout Brand Fam Areas (Enc)'!$D$6:$D$998,"Inactive")&gt;0,"BLOCKED","CAN SELL")))))</f>
        <v>CAN SELL</v>
      </c>
      <c r="J280" s="11" t="str">
        <f>IF($A280="","",_xlfn.LET(_xlpm.t,MATCH($B280,'[1]Territory Definitions'!$B$5:$B$14,0),IF(ISNA(_xlpm.t),"NO TERRITORY",IF(INDEX('[1]Territory Definitions'!$D$5:$M$14,_xlpm.t,MATCH(J$4,'[1]Territory Definitions'!$D$4:$M$4,0))&lt;&gt;1,"NOT IN TERRITORY",IF(COUNTIFS('[1]Blackout Brand Fam Areas (Enc)'!$B$6:$B$998,$A280,'[1]Blackout Brand Fam Areas (Enc)'!$C$6:$C$998,J$4,'[1]Blackout Brand Fam Areas (Enc)'!$D$6:$D$998,"Inactive")&gt;0,"BLOCKED","CAN SELL")))))</f>
        <v>CAN SELL</v>
      </c>
      <c r="K280" s="11" t="str">
        <f>IF($A280="","",_xlfn.LET(_xlpm.t,MATCH($B280,'[1]Territory Definitions'!$B$5:$B$14,0),IF(ISNA(_xlpm.t),"NO TERRITORY",IF(INDEX('[1]Territory Definitions'!$D$5:$M$14,_xlpm.t,MATCH(K$4,'[1]Territory Definitions'!$D$4:$M$4,0))&lt;&gt;1,"NOT IN TERRITORY",IF(COUNTIFS('[1]Blackout Brand Fam Areas (Enc)'!$B$6:$B$998,$A280,'[1]Blackout Brand Fam Areas (Enc)'!$C$6:$C$998,K$4,'[1]Blackout Brand Fam Areas (Enc)'!$D$6:$D$998,"Inactive")&gt;0,"BLOCKED","CAN SELL")))))</f>
        <v>CAN SELL</v>
      </c>
      <c r="L280" s="11" t="str">
        <f>IF($A280="","",_xlfn.LET(_xlpm.t,MATCH($B280,'[1]Territory Definitions'!$B$5:$B$14,0),IF(ISNA(_xlpm.t),"NO TERRITORY",IF(INDEX('[1]Territory Definitions'!$D$5:$M$14,_xlpm.t,MATCH(L$4,'[1]Territory Definitions'!$D$4:$M$4,0))&lt;&gt;1,"NOT IN TERRITORY",IF(COUNTIFS('[1]Blackout Brand Fam Areas (Enc)'!$B$6:$B$998,$A280,'[1]Blackout Brand Fam Areas (Enc)'!$C$6:$C$998,L$4,'[1]Blackout Brand Fam Areas (Enc)'!$D$6:$D$998,"Inactive")&gt;0,"BLOCKED","CAN SELL")))))</f>
        <v>CAN SELL</v>
      </c>
      <c r="M280" s="12">
        <f>IF($A280="","",COUNTIF($C280:$L280,"CAN SELL"))</f>
        <v>10</v>
      </c>
      <c r="N280" s="13" cm="1">
        <f t="array" ref="N280">IF($A280="","",SUMPRODUCT(($C280:$L280="CAN SELL")*$C$3:$L$3))</f>
        <v>2306</v>
      </c>
      <c r="O280" s="14" t="str">
        <f>IF($A280="","",IF(COUNTIF($A$5:$A$299,$A280)&gt;1,"DUPLICATE - two different territories assigned",IF($B280="** NO TERRITORY SET **","No territory on Brand Family Territory (Enc)","")))</f>
        <v/>
      </c>
      <c r="P280" s="18" t="str">
        <f>IF($A280="","",IFERROR(INDEX([1]Products!$H$4:$H$4801,MATCH($A280,[1]Products!$G$4:$G$4801,0)),"(no products)"))</f>
        <v>Global Beer</v>
      </c>
      <c r="Q280" s="19">
        <f>IF($A280="","",COUNTIFS([1]Products!$G$4:$G$4801,$A280,[1]Products!$L$4:$L$4801,"Yes"))</f>
        <v>1</v>
      </c>
      <c r="R280" s="19">
        <f>IF($A280="","",COUNTIFS([1]Products!$G$4:$G$4801,$A280,[1]Products!$L$4:$L$4801,"Yes",[1]Products!$K$4:$K$4801,"Draft"))</f>
        <v>0</v>
      </c>
      <c r="S280" s="19">
        <f>IF($A280="","",COUNTIFS([1]Products!$G$4:$G$4801,$A280,[1]Products!$L$4:$L$4801,"Yes",[1]Products!$K$4:$K$4801,"Package"))</f>
        <v>1</v>
      </c>
      <c r="T280" s="20" t="str" cm="1">
        <f t="array" ref="T280">IF($A280="","",_xlfn.IFS($Q280=0,"NO ACTIVE SKUs",AND($R280&gt;0,$S280&gt;0),"Draft &amp; Package",$R280&gt;0,"Draft only",TRUE,"Package only"))</f>
        <v>Package only</v>
      </c>
    </row>
    <row r="281" spans="1:20" x14ac:dyDescent="0.2">
      <c r="A281" s="9" t="str">
        <v>Victoria</v>
      </c>
      <c r="B281" s="10" t="str">
        <f>IF($A281="","",_xlfn.XLOOKUP($A281,'[1]Brand Family Territory (Enc)'!$A:$A,'[1]Brand Family Territory (Enc)'!$B:$B,"** NO TERRITORY SET **"))</f>
        <v>Core Market</v>
      </c>
      <c r="C281" s="11" t="str">
        <f>IF($A281="","",_xlfn.LET(_xlpm.t,MATCH($B281,'[1]Territory Definitions'!$B$5:$B$14,0),IF(ISNA(_xlpm.t),"NO TERRITORY",IF(INDEX('[1]Territory Definitions'!$D$5:$M$14,_xlpm.t,MATCH(C$4,'[1]Territory Definitions'!$D$4:$M$4,0))&lt;&gt;1,"NOT IN TERRITORY",IF(COUNTIFS('[1]Blackout Brand Fam Areas (Enc)'!$B$6:$B$998,$A281,'[1]Blackout Brand Fam Areas (Enc)'!$C$6:$C$998,C$4,'[1]Blackout Brand Fam Areas (Enc)'!$D$6:$D$998,"Inactive")&gt;0,"BLOCKED","CAN SELL")))))</f>
        <v>CAN SELL</v>
      </c>
      <c r="D281" s="11" t="str">
        <f>IF($A281="","",_xlfn.LET(_xlpm.t,MATCH($B281,'[1]Territory Definitions'!$B$5:$B$14,0),IF(ISNA(_xlpm.t),"NO TERRITORY",IF(INDEX('[1]Territory Definitions'!$D$5:$M$14,_xlpm.t,MATCH(D$4,'[1]Territory Definitions'!$D$4:$M$4,0))&lt;&gt;1,"NOT IN TERRITORY",IF(COUNTIFS('[1]Blackout Brand Fam Areas (Enc)'!$B$6:$B$998,$A281,'[1]Blackout Brand Fam Areas (Enc)'!$C$6:$C$998,D$4,'[1]Blackout Brand Fam Areas (Enc)'!$D$6:$D$998,"Inactive")&gt;0,"BLOCKED","CAN SELL")))))</f>
        <v>CAN SELL</v>
      </c>
      <c r="E281" s="11" t="str">
        <f>IF($A281="","",_xlfn.LET(_xlpm.t,MATCH($B281,'[1]Territory Definitions'!$B$5:$B$14,0),IF(ISNA(_xlpm.t),"NO TERRITORY",IF(INDEX('[1]Territory Definitions'!$D$5:$M$14,_xlpm.t,MATCH(E$4,'[1]Territory Definitions'!$D$4:$M$4,0))&lt;&gt;1,"NOT IN TERRITORY",IF(COUNTIFS('[1]Blackout Brand Fam Areas (Enc)'!$B$6:$B$998,$A281,'[1]Blackout Brand Fam Areas (Enc)'!$C$6:$C$998,E$4,'[1]Blackout Brand Fam Areas (Enc)'!$D$6:$D$998,"Inactive")&gt;0,"BLOCKED","CAN SELL")))))</f>
        <v>CAN SELL</v>
      </c>
      <c r="F281" s="11" t="str">
        <f>IF($A281="","",_xlfn.LET(_xlpm.t,MATCH($B281,'[1]Territory Definitions'!$B$5:$B$14,0),IF(ISNA(_xlpm.t),"NO TERRITORY",IF(INDEX('[1]Territory Definitions'!$D$5:$M$14,_xlpm.t,MATCH(F$4,'[1]Territory Definitions'!$D$4:$M$4,0))&lt;&gt;1,"NOT IN TERRITORY",IF(COUNTIFS('[1]Blackout Brand Fam Areas (Enc)'!$B$6:$B$998,$A281,'[1]Blackout Brand Fam Areas (Enc)'!$C$6:$C$998,F$4,'[1]Blackout Brand Fam Areas (Enc)'!$D$6:$D$998,"Inactive")&gt;0,"BLOCKED","CAN SELL")))))</f>
        <v>NOT IN TERRITORY</v>
      </c>
      <c r="G281" s="11" t="str">
        <f>IF($A281="","",_xlfn.LET(_xlpm.t,MATCH($B281,'[1]Territory Definitions'!$B$5:$B$14,0),IF(ISNA(_xlpm.t),"NO TERRITORY",IF(INDEX('[1]Territory Definitions'!$D$5:$M$14,_xlpm.t,MATCH(G$4,'[1]Territory Definitions'!$D$4:$M$4,0))&lt;&gt;1,"NOT IN TERRITORY",IF(COUNTIFS('[1]Blackout Brand Fam Areas (Enc)'!$B$6:$B$998,$A281,'[1]Blackout Brand Fam Areas (Enc)'!$C$6:$C$998,G$4,'[1]Blackout Brand Fam Areas (Enc)'!$D$6:$D$998,"Inactive")&gt;0,"BLOCKED","CAN SELL")))))</f>
        <v>NOT IN TERRITORY</v>
      </c>
      <c r="H281" s="11" t="str">
        <f>IF($A281="","",_xlfn.LET(_xlpm.t,MATCH($B281,'[1]Territory Definitions'!$B$5:$B$14,0),IF(ISNA(_xlpm.t),"NO TERRITORY",IF(INDEX('[1]Territory Definitions'!$D$5:$M$14,_xlpm.t,MATCH(H$4,'[1]Territory Definitions'!$D$4:$M$4,0))&lt;&gt;1,"NOT IN TERRITORY",IF(COUNTIFS('[1]Blackout Brand Fam Areas (Enc)'!$B$6:$B$998,$A281,'[1]Blackout Brand Fam Areas (Enc)'!$C$6:$C$998,H$4,'[1]Blackout Brand Fam Areas (Enc)'!$D$6:$D$998,"Inactive")&gt;0,"BLOCKED","CAN SELL")))))</f>
        <v>NOT IN TERRITORY</v>
      </c>
      <c r="I281" s="11" t="str">
        <f>IF($A281="","",_xlfn.LET(_xlpm.t,MATCH($B281,'[1]Territory Definitions'!$B$5:$B$14,0),IF(ISNA(_xlpm.t),"NO TERRITORY",IF(INDEX('[1]Territory Definitions'!$D$5:$M$14,_xlpm.t,MATCH(I$4,'[1]Territory Definitions'!$D$4:$M$4,0))&lt;&gt;1,"NOT IN TERRITORY",IF(COUNTIFS('[1]Blackout Brand Fam Areas (Enc)'!$B$6:$B$998,$A281,'[1]Blackout Brand Fam Areas (Enc)'!$C$6:$C$998,I$4,'[1]Blackout Brand Fam Areas (Enc)'!$D$6:$D$998,"Inactive")&gt;0,"BLOCKED","CAN SELL")))))</f>
        <v>CAN SELL</v>
      </c>
      <c r="J281" s="11" t="str">
        <f>IF($A281="","",_xlfn.LET(_xlpm.t,MATCH($B281,'[1]Territory Definitions'!$B$5:$B$14,0),IF(ISNA(_xlpm.t),"NO TERRITORY",IF(INDEX('[1]Territory Definitions'!$D$5:$M$14,_xlpm.t,MATCH(J$4,'[1]Territory Definitions'!$D$4:$M$4,0))&lt;&gt;1,"NOT IN TERRITORY",IF(COUNTIFS('[1]Blackout Brand Fam Areas (Enc)'!$B$6:$B$998,$A281,'[1]Blackout Brand Fam Areas (Enc)'!$C$6:$C$998,J$4,'[1]Blackout Brand Fam Areas (Enc)'!$D$6:$D$998,"Inactive")&gt;0,"BLOCKED","CAN SELL")))))</f>
        <v>CAN SELL</v>
      </c>
      <c r="K281" s="11" t="str">
        <f>IF($A281="","",_xlfn.LET(_xlpm.t,MATCH($B281,'[1]Territory Definitions'!$B$5:$B$14,0),IF(ISNA(_xlpm.t),"NO TERRITORY",IF(INDEX('[1]Territory Definitions'!$D$5:$M$14,_xlpm.t,MATCH(K$4,'[1]Territory Definitions'!$D$4:$M$4,0))&lt;&gt;1,"NOT IN TERRITORY",IF(COUNTIFS('[1]Blackout Brand Fam Areas (Enc)'!$B$6:$B$998,$A281,'[1]Blackout Brand Fam Areas (Enc)'!$C$6:$C$998,K$4,'[1]Blackout Brand Fam Areas (Enc)'!$D$6:$D$998,"Inactive")&gt;0,"BLOCKED","CAN SELL")))))</f>
        <v>NOT IN TERRITORY</v>
      </c>
      <c r="L281" s="11" t="str">
        <f>IF($A281="","",_xlfn.LET(_xlpm.t,MATCH($B281,'[1]Territory Definitions'!$B$5:$B$14,0),IF(ISNA(_xlpm.t),"NO TERRITORY",IF(INDEX('[1]Territory Definitions'!$D$5:$M$14,_xlpm.t,MATCH(L$4,'[1]Territory Definitions'!$D$4:$M$4,0))&lt;&gt;1,"NOT IN TERRITORY",IF(COUNTIFS('[1]Blackout Brand Fam Areas (Enc)'!$B$6:$B$998,$A281,'[1]Blackout Brand Fam Areas (Enc)'!$C$6:$C$998,L$4,'[1]Blackout Brand Fam Areas (Enc)'!$D$6:$D$998,"Inactive")&gt;0,"BLOCKED","CAN SELL")))))</f>
        <v>CAN SELL</v>
      </c>
      <c r="M281" s="12">
        <f>IF($A281="","",COUNTIF($C281:$L281,"CAN SELL"))</f>
        <v>6</v>
      </c>
      <c r="N281" s="13" cm="1">
        <f t="array" ref="N281">IF($A281="","",SUMPRODUCT(($C281:$L281="CAN SELL")*$C$3:$L$3))</f>
        <v>1596</v>
      </c>
      <c r="O281" s="14" t="str">
        <f>IF($A281="","",IF(COUNTIF($A$5:$A$299,$A281)&gt;1,"DUPLICATE - two different territories assigned",IF($B281="** NO TERRITORY SET **","No territory on Brand Family Territory (Enc)","")))</f>
        <v/>
      </c>
      <c r="P281" s="18" t="str">
        <f>IF($A281="","",IFERROR(INDEX([1]Products!$H$4:$H$4801,MATCH($A281,[1]Products!$G$4:$G$4801,0)),"(no products)"))</f>
        <v>Constellation Brands</v>
      </c>
      <c r="Q281" s="19">
        <f>IF($A281="","",COUNTIFS([1]Products!$G$4:$G$4801,$A281,[1]Products!$L$4:$L$4801,"Yes"))</f>
        <v>8</v>
      </c>
      <c r="R281" s="19">
        <f>IF($A281="","",COUNTIFS([1]Products!$G$4:$G$4801,$A281,[1]Products!$L$4:$L$4801,"Yes",[1]Products!$K$4:$K$4801,"Draft"))</f>
        <v>0</v>
      </c>
      <c r="S281" s="19">
        <f>IF($A281="","",COUNTIFS([1]Products!$G$4:$G$4801,$A281,[1]Products!$L$4:$L$4801,"Yes",[1]Products!$K$4:$K$4801,"Package"))</f>
        <v>8</v>
      </c>
      <c r="T281" s="20" t="str" cm="1">
        <f t="array" ref="T281">IF($A281="","",_xlfn.IFS($Q281=0,"NO ACTIVE SKUs",AND($R281&gt;0,$S281&gt;0),"Draft &amp; Package",$R281&gt;0,"Draft only",TRUE,"Package only"))</f>
        <v>Package only</v>
      </c>
    </row>
    <row r="282" spans="1:20" x14ac:dyDescent="0.2">
      <c r="A282" s="9" t="str">
        <v>Victory</v>
      </c>
      <c r="B282" s="10" t="str">
        <f>IF($A282="","",_xlfn.XLOOKUP($A282,'[1]Brand Family Territory (Enc)'!$A:$A,'[1]Brand Family Territory (Enc)'!$B:$B,"** NO TERRITORY SET **"))</f>
        <v>Bergen/Passaic/Hudson/Essex</v>
      </c>
      <c r="C282" s="11" t="str">
        <f>IF($A282="","",_xlfn.LET(_xlpm.t,MATCH($B282,'[1]Territory Definitions'!$B$5:$B$14,0),IF(ISNA(_xlpm.t),"NO TERRITORY",IF(INDEX('[1]Territory Definitions'!$D$5:$M$14,_xlpm.t,MATCH(C$4,'[1]Territory Definitions'!$D$4:$M$4,0))&lt;&gt;1,"NOT IN TERRITORY",IF(COUNTIFS('[1]Blackout Brand Fam Areas (Enc)'!$B$6:$B$998,$A282,'[1]Blackout Brand Fam Areas (Enc)'!$C$6:$C$998,C$4,'[1]Blackout Brand Fam Areas (Enc)'!$D$6:$D$998,"Inactive")&gt;0,"BLOCKED","CAN SELL")))))</f>
        <v>CAN SELL</v>
      </c>
      <c r="D282" s="11" t="str">
        <f>IF($A282="","",_xlfn.LET(_xlpm.t,MATCH($B282,'[1]Territory Definitions'!$B$5:$B$14,0),IF(ISNA(_xlpm.t),"NO TERRITORY",IF(INDEX('[1]Territory Definitions'!$D$5:$M$14,_xlpm.t,MATCH(D$4,'[1]Territory Definitions'!$D$4:$M$4,0))&lt;&gt;1,"NOT IN TERRITORY",IF(COUNTIFS('[1]Blackout Brand Fam Areas (Enc)'!$B$6:$B$998,$A282,'[1]Blackout Brand Fam Areas (Enc)'!$C$6:$C$998,D$4,'[1]Blackout Brand Fam Areas (Enc)'!$D$6:$D$998,"Inactive")&gt;0,"BLOCKED","CAN SELL")))))</f>
        <v>CAN SELL</v>
      </c>
      <c r="E282" s="11" t="str">
        <f>IF($A282="","",_xlfn.LET(_xlpm.t,MATCH($B282,'[1]Territory Definitions'!$B$5:$B$14,0),IF(ISNA(_xlpm.t),"NO TERRITORY",IF(INDEX('[1]Territory Definitions'!$D$5:$M$14,_xlpm.t,MATCH(E$4,'[1]Territory Definitions'!$D$4:$M$4,0))&lt;&gt;1,"NOT IN TERRITORY",IF(COUNTIFS('[1]Blackout Brand Fam Areas (Enc)'!$B$6:$B$998,$A282,'[1]Blackout Brand Fam Areas (Enc)'!$C$6:$C$998,E$4,'[1]Blackout Brand Fam Areas (Enc)'!$D$6:$D$998,"Inactive")&gt;0,"BLOCKED","CAN SELL")))))</f>
        <v>CAN SELL</v>
      </c>
      <c r="F282" s="11" t="str">
        <f>IF($A282="","",_xlfn.LET(_xlpm.t,MATCH($B282,'[1]Territory Definitions'!$B$5:$B$14,0),IF(ISNA(_xlpm.t),"NO TERRITORY",IF(INDEX('[1]Territory Definitions'!$D$5:$M$14,_xlpm.t,MATCH(F$4,'[1]Territory Definitions'!$D$4:$M$4,0))&lt;&gt;1,"NOT IN TERRITORY",IF(COUNTIFS('[1]Blackout Brand Fam Areas (Enc)'!$B$6:$B$998,$A282,'[1]Blackout Brand Fam Areas (Enc)'!$C$6:$C$998,F$4,'[1]Blackout Brand Fam Areas (Enc)'!$D$6:$D$998,"Inactive")&gt;0,"BLOCKED","CAN SELL")))))</f>
        <v>CAN SELL</v>
      </c>
      <c r="G282" s="11" t="str">
        <f>IF($A282="","",_xlfn.LET(_xlpm.t,MATCH($B282,'[1]Territory Definitions'!$B$5:$B$14,0),IF(ISNA(_xlpm.t),"NO TERRITORY",IF(INDEX('[1]Territory Definitions'!$D$5:$M$14,_xlpm.t,MATCH(G$4,'[1]Territory Definitions'!$D$4:$M$4,0))&lt;&gt;1,"NOT IN TERRITORY",IF(COUNTIFS('[1]Blackout Brand Fam Areas (Enc)'!$B$6:$B$998,$A282,'[1]Blackout Brand Fam Areas (Enc)'!$C$6:$C$998,G$4,'[1]Blackout Brand Fam Areas (Enc)'!$D$6:$D$998,"Inactive")&gt;0,"BLOCKED","CAN SELL")))))</f>
        <v>CAN SELL</v>
      </c>
      <c r="H282" s="11" t="str">
        <f>IF($A282="","",_xlfn.LET(_xlpm.t,MATCH($B282,'[1]Territory Definitions'!$B$5:$B$14,0),IF(ISNA(_xlpm.t),"NO TERRITORY",IF(INDEX('[1]Territory Definitions'!$D$5:$M$14,_xlpm.t,MATCH(H$4,'[1]Territory Definitions'!$D$4:$M$4,0))&lt;&gt;1,"NOT IN TERRITORY",IF(COUNTIFS('[1]Blackout Brand Fam Areas (Enc)'!$B$6:$B$998,$A282,'[1]Blackout Brand Fam Areas (Enc)'!$C$6:$C$998,H$4,'[1]Blackout Brand Fam Areas (Enc)'!$D$6:$D$998,"Inactive")&gt;0,"BLOCKED","CAN SELL")))))</f>
        <v>NOT IN TERRITORY</v>
      </c>
      <c r="I282" s="11" t="str">
        <f>IF($A282="","",_xlfn.LET(_xlpm.t,MATCH($B282,'[1]Territory Definitions'!$B$5:$B$14,0),IF(ISNA(_xlpm.t),"NO TERRITORY",IF(INDEX('[1]Territory Definitions'!$D$5:$M$14,_xlpm.t,MATCH(I$4,'[1]Territory Definitions'!$D$4:$M$4,0))&lt;&gt;1,"NOT IN TERRITORY",IF(COUNTIFS('[1]Blackout Brand Fam Areas (Enc)'!$B$6:$B$998,$A282,'[1]Blackout Brand Fam Areas (Enc)'!$C$6:$C$998,I$4,'[1]Blackout Brand Fam Areas (Enc)'!$D$6:$D$998,"Inactive")&gt;0,"BLOCKED","CAN SELL")))))</f>
        <v>NOT IN TERRITORY</v>
      </c>
      <c r="J282" s="11" t="str">
        <f>IF($A282="","",_xlfn.LET(_xlpm.t,MATCH($B282,'[1]Territory Definitions'!$B$5:$B$14,0),IF(ISNA(_xlpm.t),"NO TERRITORY",IF(INDEX('[1]Territory Definitions'!$D$5:$M$14,_xlpm.t,MATCH(J$4,'[1]Territory Definitions'!$D$4:$M$4,0))&lt;&gt;1,"NOT IN TERRITORY",IF(COUNTIFS('[1]Blackout Brand Fam Areas (Enc)'!$B$6:$B$998,$A282,'[1]Blackout Brand Fam Areas (Enc)'!$C$6:$C$998,J$4,'[1]Blackout Brand Fam Areas (Enc)'!$D$6:$D$998,"Inactive")&gt;0,"BLOCKED","CAN SELL")))))</f>
        <v>NOT IN TERRITORY</v>
      </c>
      <c r="K282" s="11" t="str">
        <f>IF($A282="","",_xlfn.LET(_xlpm.t,MATCH($B282,'[1]Territory Definitions'!$B$5:$B$14,0),IF(ISNA(_xlpm.t),"NO TERRITORY",IF(INDEX('[1]Territory Definitions'!$D$5:$M$14,_xlpm.t,MATCH(K$4,'[1]Territory Definitions'!$D$4:$M$4,0))&lt;&gt;1,"NOT IN TERRITORY",IF(COUNTIFS('[1]Blackout Brand Fam Areas (Enc)'!$B$6:$B$998,$A282,'[1]Blackout Brand Fam Areas (Enc)'!$C$6:$C$998,K$4,'[1]Blackout Brand Fam Areas (Enc)'!$D$6:$D$998,"Inactive")&gt;0,"BLOCKED","CAN SELL")))))</f>
        <v>NOT IN TERRITORY</v>
      </c>
      <c r="L282" s="11" t="str">
        <f>IF($A282="","",_xlfn.LET(_xlpm.t,MATCH($B282,'[1]Territory Definitions'!$B$5:$B$14,0),IF(ISNA(_xlpm.t),"NO TERRITORY",IF(INDEX('[1]Territory Definitions'!$D$5:$M$14,_xlpm.t,MATCH(L$4,'[1]Territory Definitions'!$D$4:$M$4,0))&lt;&gt;1,"NOT IN TERRITORY",IF(COUNTIFS('[1]Blackout Brand Fam Areas (Enc)'!$B$6:$B$998,$A282,'[1]Blackout Brand Fam Areas (Enc)'!$C$6:$C$998,L$4,'[1]Blackout Brand Fam Areas (Enc)'!$D$6:$D$998,"Inactive")&gt;0,"BLOCKED","CAN SELL")))))</f>
        <v>NOT IN TERRITORY</v>
      </c>
      <c r="M282" s="12">
        <f>IF($A282="","",COUNTIF($C282:$L282,"CAN SELL"))</f>
        <v>5</v>
      </c>
      <c r="N282" s="13" cm="1">
        <f t="array" ref="N282">IF($A282="","",SUMPRODUCT(($C282:$L282="CAN SELL")*$C$3:$L$3))</f>
        <v>1859</v>
      </c>
      <c r="O282" s="14" t="str">
        <f>IF($A282="","",IF(COUNTIF($A$5:$A$299,$A282)&gt;1,"DUPLICATE - two different territories assigned",IF($B282="** NO TERRITORY SET **","No territory on Brand Family Territory (Enc)","")))</f>
        <v/>
      </c>
      <c r="P282" s="18" t="str">
        <f>IF($A282="","",IFERROR(INDEX([1]Products!$H$4:$H$4801,MATCH($A282,[1]Products!$G$4:$G$4801,0)),"(no products)"))</f>
        <v>Victory Brewing Company</v>
      </c>
      <c r="Q282" s="19">
        <f>IF($A282="","",COUNTIFS([1]Products!$G$4:$G$4801,$A282,[1]Products!$L$4:$L$4801,"Yes"))</f>
        <v>38</v>
      </c>
      <c r="R282" s="19">
        <f>IF($A282="","",COUNTIFS([1]Products!$G$4:$G$4801,$A282,[1]Products!$L$4:$L$4801,"Yes",[1]Products!$K$4:$K$4801,"Draft"))</f>
        <v>19</v>
      </c>
      <c r="S282" s="19">
        <f>IF($A282="","",COUNTIFS([1]Products!$G$4:$G$4801,$A282,[1]Products!$L$4:$L$4801,"Yes",[1]Products!$K$4:$K$4801,"Package"))</f>
        <v>19</v>
      </c>
      <c r="T282" s="20" t="str" cm="1">
        <f t="array" ref="T282">IF($A282="","",_xlfn.IFS($Q282=0,"NO ACTIVE SKUs",AND($R282&gt;0,$S282&gt;0),"Draft &amp; Package",$R282&gt;0,"Draft only",TRUE,"Package only"))</f>
        <v>Draft &amp; Package</v>
      </c>
    </row>
    <row r="283" spans="1:20" x14ac:dyDescent="0.2">
      <c r="A283" s="9" t="str">
        <v>Viva Tequila Seltzer</v>
      </c>
      <c r="B283" s="10" t="str">
        <f>IF($A283="","",_xlfn.XLOOKUP($A283,'[1]Brand Family Territory (Enc)'!$A:$A,'[1]Brand Family Territory (Enc)'!$B:$B,"** NO TERRITORY SET **"))</f>
        <v>All Counties</v>
      </c>
      <c r="C283" s="11" t="str">
        <f>IF($A283="","",_xlfn.LET(_xlpm.t,MATCH($B283,'[1]Territory Definitions'!$B$5:$B$14,0),IF(ISNA(_xlpm.t),"NO TERRITORY",IF(INDEX('[1]Territory Definitions'!$D$5:$M$14,_xlpm.t,MATCH(C$4,'[1]Territory Definitions'!$D$4:$M$4,0))&lt;&gt;1,"NOT IN TERRITORY",IF(COUNTIFS('[1]Blackout Brand Fam Areas (Enc)'!$B$6:$B$998,$A283,'[1]Blackout Brand Fam Areas (Enc)'!$C$6:$C$998,C$4,'[1]Blackout Brand Fam Areas (Enc)'!$D$6:$D$998,"Inactive")&gt;0,"BLOCKED","CAN SELL")))))</f>
        <v>CAN SELL</v>
      </c>
      <c r="D283" s="11" t="str">
        <f>IF($A283="","",_xlfn.LET(_xlpm.t,MATCH($B283,'[1]Territory Definitions'!$B$5:$B$14,0),IF(ISNA(_xlpm.t),"NO TERRITORY",IF(INDEX('[1]Territory Definitions'!$D$5:$M$14,_xlpm.t,MATCH(D$4,'[1]Territory Definitions'!$D$4:$M$4,0))&lt;&gt;1,"NOT IN TERRITORY",IF(COUNTIFS('[1]Blackout Brand Fam Areas (Enc)'!$B$6:$B$998,$A283,'[1]Blackout Brand Fam Areas (Enc)'!$C$6:$C$998,D$4,'[1]Blackout Brand Fam Areas (Enc)'!$D$6:$D$998,"Inactive")&gt;0,"BLOCKED","CAN SELL")))))</f>
        <v>CAN SELL</v>
      </c>
      <c r="E283" s="11" t="str">
        <f>IF($A283="","",_xlfn.LET(_xlpm.t,MATCH($B283,'[1]Territory Definitions'!$B$5:$B$14,0),IF(ISNA(_xlpm.t),"NO TERRITORY",IF(INDEX('[1]Territory Definitions'!$D$5:$M$14,_xlpm.t,MATCH(E$4,'[1]Territory Definitions'!$D$4:$M$4,0))&lt;&gt;1,"NOT IN TERRITORY",IF(COUNTIFS('[1]Blackout Brand Fam Areas (Enc)'!$B$6:$B$998,$A283,'[1]Blackout Brand Fam Areas (Enc)'!$C$6:$C$998,E$4,'[1]Blackout Brand Fam Areas (Enc)'!$D$6:$D$998,"Inactive")&gt;0,"BLOCKED","CAN SELL")))))</f>
        <v>CAN SELL</v>
      </c>
      <c r="F283" s="11" t="str">
        <f>IF($A283="","",_xlfn.LET(_xlpm.t,MATCH($B283,'[1]Territory Definitions'!$B$5:$B$14,0),IF(ISNA(_xlpm.t),"NO TERRITORY",IF(INDEX('[1]Territory Definitions'!$D$5:$M$14,_xlpm.t,MATCH(F$4,'[1]Territory Definitions'!$D$4:$M$4,0))&lt;&gt;1,"NOT IN TERRITORY",IF(COUNTIFS('[1]Blackout Brand Fam Areas (Enc)'!$B$6:$B$998,$A283,'[1]Blackout Brand Fam Areas (Enc)'!$C$6:$C$998,F$4,'[1]Blackout Brand Fam Areas (Enc)'!$D$6:$D$998,"Inactive")&gt;0,"BLOCKED","CAN SELL")))))</f>
        <v>CAN SELL</v>
      </c>
      <c r="G283" s="11" t="str">
        <f>IF($A283="","",_xlfn.LET(_xlpm.t,MATCH($B283,'[1]Territory Definitions'!$B$5:$B$14,0),IF(ISNA(_xlpm.t),"NO TERRITORY",IF(INDEX('[1]Territory Definitions'!$D$5:$M$14,_xlpm.t,MATCH(G$4,'[1]Territory Definitions'!$D$4:$M$4,0))&lt;&gt;1,"NOT IN TERRITORY",IF(COUNTIFS('[1]Blackout Brand Fam Areas (Enc)'!$B$6:$B$998,$A283,'[1]Blackout Brand Fam Areas (Enc)'!$C$6:$C$998,G$4,'[1]Blackout Brand Fam Areas (Enc)'!$D$6:$D$998,"Inactive")&gt;0,"BLOCKED","CAN SELL")))))</f>
        <v>CAN SELL</v>
      </c>
      <c r="H283" s="11" t="str">
        <f>IF($A283="","",_xlfn.LET(_xlpm.t,MATCH($B283,'[1]Territory Definitions'!$B$5:$B$14,0),IF(ISNA(_xlpm.t),"NO TERRITORY",IF(INDEX('[1]Territory Definitions'!$D$5:$M$14,_xlpm.t,MATCH(H$4,'[1]Territory Definitions'!$D$4:$M$4,0))&lt;&gt;1,"NOT IN TERRITORY",IF(COUNTIFS('[1]Blackout Brand Fam Areas (Enc)'!$B$6:$B$998,$A283,'[1]Blackout Brand Fam Areas (Enc)'!$C$6:$C$998,H$4,'[1]Blackout Brand Fam Areas (Enc)'!$D$6:$D$998,"Inactive")&gt;0,"BLOCKED","CAN SELL")))))</f>
        <v>CAN SELL</v>
      </c>
      <c r="I283" s="11" t="str">
        <f>IF($A283="","",_xlfn.LET(_xlpm.t,MATCH($B283,'[1]Territory Definitions'!$B$5:$B$14,0),IF(ISNA(_xlpm.t),"NO TERRITORY",IF(INDEX('[1]Territory Definitions'!$D$5:$M$14,_xlpm.t,MATCH(I$4,'[1]Territory Definitions'!$D$4:$M$4,0))&lt;&gt;1,"NOT IN TERRITORY",IF(COUNTIFS('[1]Blackout Brand Fam Areas (Enc)'!$B$6:$B$998,$A283,'[1]Blackout Brand Fam Areas (Enc)'!$C$6:$C$998,I$4,'[1]Blackout Brand Fam Areas (Enc)'!$D$6:$D$998,"Inactive")&gt;0,"BLOCKED","CAN SELL")))))</f>
        <v>CAN SELL</v>
      </c>
      <c r="J283" s="11" t="str">
        <f>IF($A283="","",_xlfn.LET(_xlpm.t,MATCH($B283,'[1]Territory Definitions'!$B$5:$B$14,0),IF(ISNA(_xlpm.t),"NO TERRITORY",IF(INDEX('[1]Territory Definitions'!$D$5:$M$14,_xlpm.t,MATCH(J$4,'[1]Territory Definitions'!$D$4:$M$4,0))&lt;&gt;1,"NOT IN TERRITORY",IF(COUNTIFS('[1]Blackout Brand Fam Areas (Enc)'!$B$6:$B$998,$A283,'[1]Blackout Brand Fam Areas (Enc)'!$C$6:$C$998,J$4,'[1]Blackout Brand Fam Areas (Enc)'!$D$6:$D$998,"Inactive")&gt;0,"BLOCKED","CAN SELL")))))</f>
        <v>CAN SELL</v>
      </c>
      <c r="K283" s="11" t="str">
        <f>IF($A283="","",_xlfn.LET(_xlpm.t,MATCH($B283,'[1]Territory Definitions'!$B$5:$B$14,0),IF(ISNA(_xlpm.t),"NO TERRITORY",IF(INDEX('[1]Territory Definitions'!$D$5:$M$14,_xlpm.t,MATCH(K$4,'[1]Territory Definitions'!$D$4:$M$4,0))&lt;&gt;1,"NOT IN TERRITORY",IF(COUNTIFS('[1]Blackout Brand Fam Areas (Enc)'!$B$6:$B$998,$A283,'[1]Blackout Brand Fam Areas (Enc)'!$C$6:$C$998,K$4,'[1]Blackout Brand Fam Areas (Enc)'!$D$6:$D$998,"Inactive")&gt;0,"BLOCKED","CAN SELL")))))</f>
        <v>CAN SELL</v>
      </c>
      <c r="L283" s="11" t="str">
        <f>IF($A283="","",_xlfn.LET(_xlpm.t,MATCH($B283,'[1]Territory Definitions'!$B$5:$B$14,0),IF(ISNA(_xlpm.t),"NO TERRITORY",IF(INDEX('[1]Territory Definitions'!$D$5:$M$14,_xlpm.t,MATCH(L$4,'[1]Territory Definitions'!$D$4:$M$4,0))&lt;&gt;1,"NOT IN TERRITORY",IF(COUNTIFS('[1]Blackout Brand Fam Areas (Enc)'!$B$6:$B$998,$A283,'[1]Blackout Brand Fam Areas (Enc)'!$C$6:$C$998,L$4,'[1]Blackout Brand Fam Areas (Enc)'!$D$6:$D$998,"Inactive")&gt;0,"BLOCKED","CAN SELL")))))</f>
        <v>CAN SELL</v>
      </c>
      <c r="M283" s="12">
        <f>IF($A283="","",COUNTIF($C283:$L283,"CAN SELL"))</f>
        <v>10</v>
      </c>
      <c r="N283" s="13" cm="1">
        <f t="array" ref="N283">IF($A283="","",SUMPRODUCT(($C283:$L283="CAN SELL")*$C$3:$L$3))</f>
        <v>2306</v>
      </c>
      <c r="O283" s="14" t="str">
        <f>IF($A283="","",IF(COUNTIF($A$5:$A$299,$A283)&gt;1,"DUPLICATE - two different territories assigned",IF($B283="** NO TERRITORY SET **","No territory on Brand Family Territory (Enc)","")))</f>
        <v/>
      </c>
      <c r="P283" s="18" t="str">
        <f>IF($A283="","",IFERROR(INDEX([1]Products!$H$4:$H$4801,MATCH($A283,[1]Products!$G$4:$G$4801,0)),"(no products)"))</f>
        <v>Viva Beverages Inc</v>
      </c>
      <c r="Q283" s="19">
        <f>IF($A283="","",COUNTIFS([1]Products!$G$4:$G$4801,$A283,[1]Products!$L$4:$L$4801,"Yes"))</f>
        <v>10</v>
      </c>
      <c r="R283" s="19">
        <f>IF($A283="","",COUNTIFS([1]Products!$G$4:$G$4801,$A283,[1]Products!$L$4:$L$4801,"Yes",[1]Products!$K$4:$K$4801,"Draft"))</f>
        <v>0</v>
      </c>
      <c r="S283" s="19">
        <f>IF($A283="","",COUNTIFS([1]Products!$G$4:$G$4801,$A283,[1]Products!$L$4:$L$4801,"Yes",[1]Products!$K$4:$K$4801,"Package"))</f>
        <v>0</v>
      </c>
      <c r="T283" s="20" t="str" cm="1">
        <f t="array" ref="T283">IF($A283="","",_xlfn.IFS($Q283=0,"NO ACTIVE SKUs",AND($R283&gt;0,$S283&gt;0),"Draft &amp; Package",$R283&gt;0,"Draft only",TRUE,"Package only"))</f>
        <v>Package only</v>
      </c>
    </row>
    <row r="284" spans="1:20" x14ac:dyDescent="0.2">
      <c r="A284" s="9" t="str">
        <v>Vizzy</v>
      </c>
      <c r="B284" s="10" t="str">
        <f>IF($A284="","",_xlfn.XLOOKUP($A284,'[1]Brand Family Territory (Enc)'!$A:$A,'[1]Brand Family Territory (Enc)'!$B:$B,"** NO TERRITORY SET **"))</f>
        <v>Core Market</v>
      </c>
      <c r="C284" s="11" t="str">
        <f>IF($A284="","",_xlfn.LET(_xlpm.t,MATCH($B284,'[1]Territory Definitions'!$B$5:$B$14,0),IF(ISNA(_xlpm.t),"NO TERRITORY",IF(INDEX('[1]Territory Definitions'!$D$5:$M$14,_xlpm.t,MATCH(C$4,'[1]Territory Definitions'!$D$4:$M$4,0))&lt;&gt;1,"NOT IN TERRITORY",IF(COUNTIFS('[1]Blackout Brand Fam Areas (Enc)'!$B$6:$B$998,$A284,'[1]Blackout Brand Fam Areas (Enc)'!$C$6:$C$998,C$4,'[1]Blackout Brand Fam Areas (Enc)'!$D$6:$D$998,"Inactive")&gt;0,"BLOCKED","CAN SELL")))))</f>
        <v>CAN SELL</v>
      </c>
      <c r="D284" s="11" t="str">
        <f>IF($A284="","",_xlfn.LET(_xlpm.t,MATCH($B284,'[1]Territory Definitions'!$B$5:$B$14,0),IF(ISNA(_xlpm.t),"NO TERRITORY",IF(INDEX('[1]Territory Definitions'!$D$5:$M$14,_xlpm.t,MATCH(D$4,'[1]Territory Definitions'!$D$4:$M$4,0))&lt;&gt;1,"NOT IN TERRITORY",IF(COUNTIFS('[1]Blackout Brand Fam Areas (Enc)'!$B$6:$B$998,$A284,'[1]Blackout Brand Fam Areas (Enc)'!$C$6:$C$998,D$4,'[1]Blackout Brand Fam Areas (Enc)'!$D$6:$D$998,"Inactive")&gt;0,"BLOCKED","CAN SELL")))))</f>
        <v>CAN SELL</v>
      </c>
      <c r="E284" s="11" t="str">
        <f>IF($A284="","",_xlfn.LET(_xlpm.t,MATCH($B284,'[1]Territory Definitions'!$B$5:$B$14,0),IF(ISNA(_xlpm.t),"NO TERRITORY",IF(INDEX('[1]Territory Definitions'!$D$5:$M$14,_xlpm.t,MATCH(E$4,'[1]Territory Definitions'!$D$4:$M$4,0))&lt;&gt;1,"NOT IN TERRITORY",IF(COUNTIFS('[1]Blackout Brand Fam Areas (Enc)'!$B$6:$B$998,$A284,'[1]Blackout Brand Fam Areas (Enc)'!$C$6:$C$998,E$4,'[1]Blackout Brand Fam Areas (Enc)'!$D$6:$D$998,"Inactive")&gt;0,"BLOCKED","CAN SELL")))))</f>
        <v>CAN SELL</v>
      </c>
      <c r="F284" s="11" t="str">
        <f>IF($A284="","",_xlfn.LET(_xlpm.t,MATCH($B284,'[1]Territory Definitions'!$B$5:$B$14,0),IF(ISNA(_xlpm.t),"NO TERRITORY",IF(INDEX('[1]Territory Definitions'!$D$5:$M$14,_xlpm.t,MATCH(F$4,'[1]Territory Definitions'!$D$4:$M$4,0))&lt;&gt;1,"NOT IN TERRITORY",IF(COUNTIFS('[1]Blackout Brand Fam Areas (Enc)'!$B$6:$B$998,$A284,'[1]Blackout Brand Fam Areas (Enc)'!$C$6:$C$998,F$4,'[1]Blackout Brand Fam Areas (Enc)'!$D$6:$D$998,"Inactive")&gt;0,"BLOCKED","CAN SELL")))))</f>
        <v>NOT IN TERRITORY</v>
      </c>
      <c r="G284" s="11" t="str">
        <f>IF($A284="","",_xlfn.LET(_xlpm.t,MATCH($B284,'[1]Territory Definitions'!$B$5:$B$14,0),IF(ISNA(_xlpm.t),"NO TERRITORY",IF(INDEX('[1]Territory Definitions'!$D$5:$M$14,_xlpm.t,MATCH(G$4,'[1]Territory Definitions'!$D$4:$M$4,0))&lt;&gt;1,"NOT IN TERRITORY",IF(COUNTIFS('[1]Blackout Brand Fam Areas (Enc)'!$B$6:$B$998,$A284,'[1]Blackout Brand Fam Areas (Enc)'!$C$6:$C$998,G$4,'[1]Blackout Brand Fam Areas (Enc)'!$D$6:$D$998,"Inactive")&gt;0,"BLOCKED","CAN SELL")))))</f>
        <v>NOT IN TERRITORY</v>
      </c>
      <c r="H284" s="11" t="str">
        <f>IF($A284="","",_xlfn.LET(_xlpm.t,MATCH($B284,'[1]Territory Definitions'!$B$5:$B$14,0),IF(ISNA(_xlpm.t),"NO TERRITORY",IF(INDEX('[1]Territory Definitions'!$D$5:$M$14,_xlpm.t,MATCH(H$4,'[1]Territory Definitions'!$D$4:$M$4,0))&lt;&gt;1,"NOT IN TERRITORY",IF(COUNTIFS('[1]Blackout Brand Fam Areas (Enc)'!$B$6:$B$998,$A284,'[1]Blackout Brand Fam Areas (Enc)'!$C$6:$C$998,H$4,'[1]Blackout Brand Fam Areas (Enc)'!$D$6:$D$998,"Inactive")&gt;0,"BLOCKED","CAN SELL")))))</f>
        <v>NOT IN TERRITORY</v>
      </c>
      <c r="I284" s="11" t="str">
        <f>IF($A284="","",_xlfn.LET(_xlpm.t,MATCH($B284,'[1]Territory Definitions'!$B$5:$B$14,0),IF(ISNA(_xlpm.t),"NO TERRITORY",IF(INDEX('[1]Territory Definitions'!$D$5:$M$14,_xlpm.t,MATCH(I$4,'[1]Territory Definitions'!$D$4:$M$4,0))&lt;&gt;1,"NOT IN TERRITORY",IF(COUNTIFS('[1]Blackout Brand Fam Areas (Enc)'!$B$6:$B$998,$A284,'[1]Blackout Brand Fam Areas (Enc)'!$C$6:$C$998,I$4,'[1]Blackout Brand Fam Areas (Enc)'!$D$6:$D$998,"Inactive")&gt;0,"BLOCKED","CAN SELL")))))</f>
        <v>CAN SELL</v>
      </c>
      <c r="J284" s="11" t="str">
        <f>IF($A284="","",_xlfn.LET(_xlpm.t,MATCH($B284,'[1]Territory Definitions'!$B$5:$B$14,0),IF(ISNA(_xlpm.t),"NO TERRITORY",IF(INDEX('[1]Territory Definitions'!$D$5:$M$14,_xlpm.t,MATCH(J$4,'[1]Territory Definitions'!$D$4:$M$4,0))&lt;&gt;1,"NOT IN TERRITORY",IF(COUNTIFS('[1]Blackout Brand Fam Areas (Enc)'!$B$6:$B$998,$A284,'[1]Blackout Brand Fam Areas (Enc)'!$C$6:$C$998,J$4,'[1]Blackout Brand Fam Areas (Enc)'!$D$6:$D$998,"Inactive")&gt;0,"BLOCKED","CAN SELL")))))</f>
        <v>CAN SELL</v>
      </c>
      <c r="K284" s="11" t="str">
        <f>IF($A284="","",_xlfn.LET(_xlpm.t,MATCH($B284,'[1]Territory Definitions'!$B$5:$B$14,0),IF(ISNA(_xlpm.t),"NO TERRITORY",IF(INDEX('[1]Territory Definitions'!$D$5:$M$14,_xlpm.t,MATCH(K$4,'[1]Territory Definitions'!$D$4:$M$4,0))&lt;&gt;1,"NOT IN TERRITORY",IF(COUNTIFS('[1]Blackout Brand Fam Areas (Enc)'!$B$6:$B$998,$A284,'[1]Blackout Brand Fam Areas (Enc)'!$C$6:$C$998,K$4,'[1]Blackout Brand Fam Areas (Enc)'!$D$6:$D$998,"Inactive")&gt;0,"BLOCKED","CAN SELL")))))</f>
        <v>NOT IN TERRITORY</v>
      </c>
      <c r="L284" s="11" t="str">
        <f>IF($A284="","",_xlfn.LET(_xlpm.t,MATCH($B284,'[1]Territory Definitions'!$B$5:$B$14,0),IF(ISNA(_xlpm.t),"NO TERRITORY",IF(INDEX('[1]Territory Definitions'!$D$5:$M$14,_xlpm.t,MATCH(L$4,'[1]Territory Definitions'!$D$4:$M$4,0))&lt;&gt;1,"NOT IN TERRITORY",IF(COUNTIFS('[1]Blackout Brand Fam Areas (Enc)'!$B$6:$B$998,$A284,'[1]Blackout Brand Fam Areas (Enc)'!$C$6:$C$998,L$4,'[1]Blackout Brand Fam Areas (Enc)'!$D$6:$D$998,"Inactive")&gt;0,"BLOCKED","CAN SELL")))))</f>
        <v>CAN SELL</v>
      </c>
      <c r="M284" s="12">
        <f>IF($A284="","",COUNTIF($C284:$L284,"CAN SELL"))</f>
        <v>6</v>
      </c>
      <c r="N284" s="13" cm="1">
        <f t="array" ref="N284">IF($A284="","",SUMPRODUCT(($C284:$L284="CAN SELL")*$C$3:$L$3))</f>
        <v>1596</v>
      </c>
      <c r="O284" s="14" t="str">
        <f>IF($A284="","",IF(COUNTIF($A$5:$A$299,$A284)&gt;1,"DUPLICATE - two different territories assigned",IF($B284="** NO TERRITORY SET **","No territory on Brand Family Territory (Enc)","")))</f>
        <v/>
      </c>
      <c r="P284" s="18" t="str">
        <f>IF($A284="","",IFERROR(INDEX([1]Products!$H$4:$H$4801,MATCH($A284,[1]Products!$G$4:$G$4801,0)),"(no products)"))</f>
        <v>MolsonCoors Beverage Company</v>
      </c>
      <c r="Q284" s="19">
        <f>IF($A284="","",COUNTIFS([1]Products!$G$4:$G$4801,$A284,[1]Products!$L$4:$L$4801,"Yes"))</f>
        <v>3</v>
      </c>
      <c r="R284" s="19">
        <f>IF($A284="","",COUNTIFS([1]Products!$G$4:$G$4801,$A284,[1]Products!$L$4:$L$4801,"Yes",[1]Products!$K$4:$K$4801,"Draft"))</f>
        <v>0</v>
      </c>
      <c r="S284" s="19">
        <f>IF($A284="","",COUNTIFS([1]Products!$G$4:$G$4801,$A284,[1]Products!$L$4:$L$4801,"Yes",[1]Products!$K$4:$K$4801,"Package"))</f>
        <v>3</v>
      </c>
      <c r="T284" s="20" t="str" cm="1">
        <f t="array" ref="T284">IF($A284="","",_xlfn.IFS($Q284=0,"NO ACTIVE SKUs",AND($R284&gt;0,$S284&gt;0),"Draft &amp; Package",$R284&gt;0,"Draft only",TRUE,"Package only"))</f>
        <v>Package only</v>
      </c>
    </row>
    <row r="285" spans="1:20" x14ac:dyDescent="0.2">
      <c r="A285" s="9" t="str">
        <v>Vodka Hog</v>
      </c>
      <c r="B285" s="10" t="str">
        <f>IF($A285="","",_xlfn.XLOOKUP($A285,'[1]Brand Family Territory (Enc)'!$A:$A,'[1]Brand Family Territory (Enc)'!$B:$B,"** NO TERRITORY SET **"))</f>
        <v>All Counties</v>
      </c>
      <c r="C285" s="11" t="str">
        <f>IF($A285="","",_xlfn.LET(_xlpm.t,MATCH($B285,'[1]Territory Definitions'!$B$5:$B$14,0),IF(ISNA(_xlpm.t),"NO TERRITORY",IF(INDEX('[1]Territory Definitions'!$D$5:$M$14,_xlpm.t,MATCH(C$4,'[1]Territory Definitions'!$D$4:$M$4,0))&lt;&gt;1,"NOT IN TERRITORY",IF(COUNTIFS('[1]Blackout Brand Fam Areas (Enc)'!$B$6:$B$998,$A285,'[1]Blackout Brand Fam Areas (Enc)'!$C$6:$C$998,C$4,'[1]Blackout Brand Fam Areas (Enc)'!$D$6:$D$998,"Inactive")&gt;0,"BLOCKED","CAN SELL")))))</f>
        <v>CAN SELL</v>
      </c>
      <c r="D285" s="11" t="str">
        <f>IF($A285="","",_xlfn.LET(_xlpm.t,MATCH($B285,'[1]Territory Definitions'!$B$5:$B$14,0),IF(ISNA(_xlpm.t),"NO TERRITORY",IF(INDEX('[1]Territory Definitions'!$D$5:$M$14,_xlpm.t,MATCH(D$4,'[1]Territory Definitions'!$D$4:$M$4,0))&lt;&gt;1,"NOT IN TERRITORY",IF(COUNTIFS('[1]Blackout Brand Fam Areas (Enc)'!$B$6:$B$998,$A285,'[1]Blackout Brand Fam Areas (Enc)'!$C$6:$C$998,D$4,'[1]Blackout Brand Fam Areas (Enc)'!$D$6:$D$998,"Inactive")&gt;0,"BLOCKED","CAN SELL")))))</f>
        <v>CAN SELL</v>
      </c>
      <c r="E285" s="11" t="str">
        <f>IF($A285="","",_xlfn.LET(_xlpm.t,MATCH($B285,'[1]Territory Definitions'!$B$5:$B$14,0),IF(ISNA(_xlpm.t),"NO TERRITORY",IF(INDEX('[1]Territory Definitions'!$D$5:$M$14,_xlpm.t,MATCH(E$4,'[1]Territory Definitions'!$D$4:$M$4,0))&lt;&gt;1,"NOT IN TERRITORY",IF(COUNTIFS('[1]Blackout Brand Fam Areas (Enc)'!$B$6:$B$998,$A285,'[1]Blackout Brand Fam Areas (Enc)'!$C$6:$C$998,E$4,'[1]Blackout Brand Fam Areas (Enc)'!$D$6:$D$998,"Inactive")&gt;0,"BLOCKED","CAN SELL")))))</f>
        <v>CAN SELL</v>
      </c>
      <c r="F285" s="11" t="str">
        <f>IF($A285="","",_xlfn.LET(_xlpm.t,MATCH($B285,'[1]Territory Definitions'!$B$5:$B$14,0),IF(ISNA(_xlpm.t),"NO TERRITORY",IF(INDEX('[1]Territory Definitions'!$D$5:$M$14,_xlpm.t,MATCH(F$4,'[1]Territory Definitions'!$D$4:$M$4,0))&lt;&gt;1,"NOT IN TERRITORY",IF(COUNTIFS('[1]Blackout Brand Fam Areas (Enc)'!$B$6:$B$998,$A285,'[1]Blackout Brand Fam Areas (Enc)'!$C$6:$C$998,F$4,'[1]Blackout Brand Fam Areas (Enc)'!$D$6:$D$998,"Inactive")&gt;0,"BLOCKED","CAN SELL")))))</f>
        <v>CAN SELL</v>
      </c>
      <c r="G285" s="11" t="str">
        <f>IF($A285="","",_xlfn.LET(_xlpm.t,MATCH($B285,'[1]Territory Definitions'!$B$5:$B$14,0),IF(ISNA(_xlpm.t),"NO TERRITORY",IF(INDEX('[1]Territory Definitions'!$D$5:$M$14,_xlpm.t,MATCH(G$4,'[1]Territory Definitions'!$D$4:$M$4,0))&lt;&gt;1,"NOT IN TERRITORY",IF(COUNTIFS('[1]Blackout Brand Fam Areas (Enc)'!$B$6:$B$998,$A285,'[1]Blackout Brand Fam Areas (Enc)'!$C$6:$C$998,G$4,'[1]Blackout Brand Fam Areas (Enc)'!$D$6:$D$998,"Inactive")&gt;0,"BLOCKED","CAN SELL")))))</f>
        <v>CAN SELL</v>
      </c>
      <c r="H285" s="11" t="str">
        <f>IF($A285="","",_xlfn.LET(_xlpm.t,MATCH($B285,'[1]Territory Definitions'!$B$5:$B$14,0),IF(ISNA(_xlpm.t),"NO TERRITORY",IF(INDEX('[1]Territory Definitions'!$D$5:$M$14,_xlpm.t,MATCH(H$4,'[1]Territory Definitions'!$D$4:$M$4,0))&lt;&gt;1,"NOT IN TERRITORY",IF(COUNTIFS('[1]Blackout Brand Fam Areas (Enc)'!$B$6:$B$998,$A285,'[1]Blackout Brand Fam Areas (Enc)'!$C$6:$C$998,H$4,'[1]Blackout Brand Fam Areas (Enc)'!$D$6:$D$998,"Inactive")&gt;0,"BLOCKED","CAN SELL")))))</f>
        <v>CAN SELL</v>
      </c>
      <c r="I285" s="11" t="str">
        <f>IF($A285="","",_xlfn.LET(_xlpm.t,MATCH($B285,'[1]Territory Definitions'!$B$5:$B$14,0),IF(ISNA(_xlpm.t),"NO TERRITORY",IF(INDEX('[1]Territory Definitions'!$D$5:$M$14,_xlpm.t,MATCH(I$4,'[1]Territory Definitions'!$D$4:$M$4,0))&lt;&gt;1,"NOT IN TERRITORY",IF(COUNTIFS('[1]Blackout Brand Fam Areas (Enc)'!$B$6:$B$998,$A285,'[1]Blackout Brand Fam Areas (Enc)'!$C$6:$C$998,I$4,'[1]Blackout Brand Fam Areas (Enc)'!$D$6:$D$998,"Inactive")&gt;0,"BLOCKED","CAN SELL")))))</f>
        <v>CAN SELL</v>
      </c>
      <c r="J285" s="11" t="str">
        <f>IF($A285="","",_xlfn.LET(_xlpm.t,MATCH($B285,'[1]Territory Definitions'!$B$5:$B$14,0),IF(ISNA(_xlpm.t),"NO TERRITORY",IF(INDEX('[1]Territory Definitions'!$D$5:$M$14,_xlpm.t,MATCH(J$4,'[1]Territory Definitions'!$D$4:$M$4,0))&lt;&gt;1,"NOT IN TERRITORY",IF(COUNTIFS('[1]Blackout Brand Fam Areas (Enc)'!$B$6:$B$998,$A285,'[1]Blackout Brand Fam Areas (Enc)'!$C$6:$C$998,J$4,'[1]Blackout Brand Fam Areas (Enc)'!$D$6:$D$998,"Inactive")&gt;0,"BLOCKED","CAN SELL")))))</f>
        <v>CAN SELL</v>
      </c>
      <c r="K285" s="11" t="str">
        <f>IF($A285="","",_xlfn.LET(_xlpm.t,MATCH($B285,'[1]Territory Definitions'!$B$5:$B$14,0),IF(ISNA(_xlpm.t),"NO TERRITORY",IF(INDEX('[1]Territory Definitions'!$D$5:$M$14,_xlpm.t,MATCH(K$4,'[1]Territory Definitions'!$D$4:$M$4,0))&lt;&gt;1,"NOT IN TERRITORY",IF(COUNTIFS('[1]Blackout Brand Fam Areas (Enc)'!$B$6:$B$998,$A285,'[1]Blackout Brand Fam Areas (Enc)'!$C$6:$C$998,K$4,'[1]Blackout Brand Fam Areas (Enc)'!$D$6:$D$998,"Inactive")&gt;0,"BLOCKED","CAN SELL")))))</f>
        <v>CAN SELL</v>
      </c>
      <c r="L285" s="11" t="str">
        <f>IF($A285="","",_xlfn.LET(_xlpm.t,MATCH($B285,'[1]Territory Definitions'!$B$5:$B$14,0),IF(ISNA(_xlpm.t),"NO TERRITORY",IF(INDEX('[1]Territory Definitions'!$D$5:$M$14,_xlpm.t,MATCH(L$4,'[1]Territory Definitions'!$D$4:$M$4,0))&lt;&gt;1,"NOT IN TERRITORY",IF(COUNTIFS('[1]Blackout Brand Fam Areas (Enc)'!$B$6:$B$998,$A285,'[1]Blackout Brand Fam Areas (Enc)'!$C$6:$C$998,L$4,'[1]Blackout Brand Fam Areas (Enc)'!$D$6:$D$998,"Inactive")&gt;0,"BLOCKED","CAN SELL")))))</f>
        <v>CAN SELL</v>
      </c>
      <c r="M285" s="12">
        <f>IF($A285="","",COUNTIF($C285:$L285,"CAN SELL"))</f>
        <v>10</v>
      </c>
      <c r="N285" s="13" cm="1">
        <f t="array" ref="N285">IF($A285="","",SUMPRODUCT(($C285:$L285="CAN SELL")*$C$3:$L$3))</f>
        <v>2306</v>
      </c>
      <c r="O285" s="14" t="str">
        <f>IF($A285="","",IF(COUNTIF($A$5:$A$299,$A285)&gt;1,"DUPLICATE - two different territories assigned",IF($B285="** NO TERRITORY SET **","No territory on Brand Family Territory (Enc)","")))</f>
        <v/>
      </c>
      <c r="P285" s="18" t="str">
        <f>IF($A285="","",IFERROR(INDEX([1]Products!$H$4:$H$4801,MATCH($A285,[1]Products!$G$4:$G$4801,0)),"(no products)"))</f>
        <v>Warwick Valley</v>
      </c>
      <c r="Q285" s="19">
        <f>IF($A285="","",COUNTIFS([1]Products!$G$4:$G$4801,$A285,[1]Products!$L$4:$L$4801,"Yes"))</f>
        <v>1</v>
      </c>
      <c r="R285" s="19">
        <f>IF($A285="","",COUNTIFS([1]Products!$G$4:$G$4801,$A285,[1]Products!$L$4:$L$4801,"Yes",[1]Products!$K$4:$K$4801,"Draft"))</f>
        <v>0</v>
      </c>
      <c r="S285" s="19">
        <f>IF($A285="","",COUNTIFS([1]Products!$G$4:$G$4801,$A285,[1]Products!$L$4:$L$4801,"Yes",[1]Products!$K$4:$K$4801,"Package"))</f>
        <v>0</v>
      </c>
      <c r="T285" s="20" t="str" cm="1">
        <f t="array" ref="T285">IF($A285="","",_xlfn.IFS($Q285=0,"NO ACTIVE SKUs",AND($R285&gt;0,$S285&gt;0),"Draft &amp; Package",$R285&gt;0,"Draft only",TRUE,"Package only"))</f>
        <v>Package only</v>
      </c>
    </row>
    <row r="286" spans="1:20" x14ac:dyDescent="0.2">
      <c r="A286" s="9" t="str">
        <v>Voodoo Family</v>
      </c>
      <c r="B286" s="10" t="str">
        <f>IF($A286="","",_xlfn.XLOOKUP($A286,'[1]Brand Family Territory (Enc)'!$A:$A,'[1]Brand Family Territory (Enc)'!$B:$B,"** NO TERRITORY SET **"))</f>
        <v>Core Market</v>
      </c>
      <c r="C286" s="11" t="str">
        <f>IF($A286="","",_xlfn.LET(_xlpm.t,MATCH($B286,'[1]Territory Definitions'!$B$5:$B$14,0),IF(ISNA(_xlpm.t),"NO TERRITORY",IF(INDEX('[1]Territory Definitions'!$D$5:$M$14,_xlpm.t,MATCH(C$4,'[1]Territory Definitions'!$D$4:$M$4,0))&lt;&gt;1,"NOT IN TERRITORY",IF(COUNTIFS('[1]Blackout Brand Fam Areas (Enc)'!$B$6:$B$998,$A286,'[1]Blackout Brand Fam Areas (Enc)'!$C$6:$C$998,C$4,'[1]Blackout Brand Fam Areas (Enc)'!$D$6:$D$998,"Inactive")&gt;0,"BLOCKED","CAN SELL")))))</f>
        <v>CAN SELL</v>
      </c>
      <c r="D286" s="11" t="str">
        <f>IF($A286="","",_xlfn.LET(_xlpm.t,MATCH($B286,'[1]Territory Definitions'!$B$5:$B$14,0),IF(ISNA(_xlpm.t),"NO TERRITORY",IF(INDEX('[1]Territory Definitions'!$D$5:$M$14,_xlpm.t,MATCH(D$4,'[1]Territory Definitions'!$D$4:$M$4,0))&lt;&gt;1,"NOT IN TERRITORY",IF(COUNTIFS('[1]Blackout Brand Fam Areas (Enc)'!$B$6:$B$998,$A286,'[1]Blackout Brand Fam Areas (Enc)'!$C$6:$C$998,D$4,'[1]Blackout Brand Fam Areas (Enc)'!$D$6:$D$998,"Inactive")&gt;0,"BLOCKED","CAN SELL")))))</f>
        <v>CAN SELL</v>
      </c>
      <c r="E286" s="11" t="str">
        <f>IF($A286="","",_xlfn.LET(_xlpm.t,MATCH($B286,'[1]Territory Definitions'!$B$5:$B$14,0),IF(ISNA(_xlpm.t),"NO TERRITORY",IF(INDEX('[1]Territory Definitions'!$D$5:$M$14,_xlpm.t,MATCH(E$4,'[1]Territory Definitions'!$D$4:$M$4,0))&lt;&gt;1,"NOT IN TERRITORY",IF(COUNTIFS('[1]Blackout Brand Fam Areas (Enc)'!$B$6:$B$998,$A286,'[1]Blackout Brand Fam Areas (Enc)'!$C$6:$C$998,E$4,'[1]Blackout Brand Fam Areas (Enc)'!$D$6:$D$998,"Inactive")&gt;0,"BLOCKED","CAN SELL")))))</f>
        <v>CAN SELL</v>
      </c>
      <c r="F286" s="11" t="str">
        <f>IF($A286="","",_xlfn.LET(_xlpm.t,MATCH($B286,'[1]Territory Definitions'!$B$5:$B$14,0),IF(ISNA(_xlpm.t),"NO TERRITORY",IF(INDEX('[1]Territory Definitions'!$D$5:$M$14,_xlpm.t,MATCH(F$4,'[1]Territory Definitions'!$D$4:$M$4,0))&lt;&gt;1,"NOT IN TERRITORY",IF(COUNTIFS('[1]Blackout Brand Fam Areas (Enc)'!$B$6:$B$998,$A286,'[1]Blackout Brand Fam Areas (Enc)'!$C$6:$C$998,F$4,'[1]Blackout Brand Fam Areas (Enc)'!$D$6:$D$998,"Inactive")&gt;0,"BLOCKED","CAN SELL")))))</f>
        <v>NOT IN TERRITORY</v>
      </c>
      <c r="G286" s="11" t="str">
        <f>IF($A286="","",_xlfn.LET(_xlpm.t,MATCH($B286,'[1]Territory Definitions'!$B$5:$B$14,0),IF(ISNA(_xlpm.t),"NO TERRITORY",IF(INDEX('[1]Territory Definitions'!$D$5:$M$14,_xlpm.t,MATCH(G$4,'[1]Territory Definitions'!$D$4:$M$4,0))&lt;&gt;1,"NOT IN TERRITORY",IF(COUNTIFS('[1]Blackout Brand Fam Areas (Enc)'!$B$6:$B$998,$A286,'[1]Blackout Brand Fam Areas (Enc)'!$C$6:$C$998,G$4,'[1]Blackout Brand Fam Areas (Enc)'!$D$6:$D$998,"Inactive")&gt;0,"BLOCKED","CAN SELL")))))</f>
        <v>NOT IN TERRITORY</v>
      </c>
      <c r="H286" s="11" t="str">
        <f>IF($A286="","",_xlfn.LET(_xlpm.t,MATCH($B286,'[1]Territory Definitions'!$B$5:$B$14,0),IF(ISNA(_xlpm.t),"NO TERRITORY",IF(INDEX('[1]Territory Definitions'!$D$5:$M$14,_xlpm.t,MATCH(H$4,'[1]Territory Definitions'!$D$4:$M$4,0))&lt;&gt;1,"NOT IN TERRITORY",IF(COUNTIFS('[1]Blackout Brand Fam Areas (Enc)'!$B$6:$B$998,$A286,'[1]Blackout Brand Fam Areas (Enc)'!$C$6:$C$998,H$4,'[1]Blackout Brand Fam Areas (Enc)'!$D$6:$D$998,"Inactive")&gt;0,"BLOCKED","CAN SELL")))))</f>
        <v>NOT IN TERRITORY</v>
      </c>
      <c r="I286" s="11" t="str">
        <f>IF($A286="","",_xlfn.LET(_xlpm.t,MATCH($B286,'[1]Territory Definitions'!$B$5:$B$14,0),IF(ISNA(_xlpm.t),"NO TERRITORY",IF(INDEX('[1]Territory Definitions'!$D$5:$M$14,_xlpm.t,MATCH(I$4,'[1]Territory Definitions'!$D$4:$M$4,0))&lt;&gt;1,"NOT IN TERRITORY",IF(COUNTIFS('[1]Blackout Brand Fam Areas (Enc)'!$B$6:$B$998,$A286,'[1]Blackout Brand Fam Areas (Enc)'!$C$6:$C$998,I$4,'[1]Blackout Brand Fam Areas (Enc)'!$D$6:$D$998,"Inactive")&gt;0,"BLOCKED","CAN SELL")))))</f>
        <v>CAN SELL</v>
      </c>
      <c r="J286" s="11" t="str">
        <f>IF($A286="","",_xlfn.LET(_xlpm.t,MATCH($B286,'[1]Territory Definitions'!$B$5:$B$14,0),IF(ISNA(_xlpm.t),"NO TERRITORY",IF(INDEX('[1]Territory Definitions'!$D$5:$M$14,_xlpm.t,MATCH(J$4,'[1]Territory Definitions'!$D$4:$M$4,0))&lt;&gt;1,"NOT IN TERRITORY",IF(COUNTIFS('[1]Blackout Brand Fam Areas (Enc)'!$B$6:$B$998,$A286,'[1]Blackout Brand Fam Areas (Enc)'!$C$6:$C$998,J$4,'[1]Blackout Brand Fam Areas (Enc)'!$D$6:$D$998,"Inactive")&gt;0,"BLOCKED","CAN SELL")))))</f>
        <v>CAN SELL</v>
      </c>
      <c r="K286" s="11" t="str">
        <f>IF($A286="","",_xlfn.LET(_xlpm.t,MATCH($B286,'[1]Territory Definitions'!$B$5:$B$14,0),IF(ISNA(_xlpm.t),"NO TERRITORY",IF(INDEX('[1]Territory Definitions'!$D$5:$M$14,_xlpm.t,MATCH(K$4,'[1]Territory Definitions'!$D$4:$M$4,0))&lt;&gt;1,"NOT IN TERRITORY",IF(COUNTIFS('[1]Blackout Brand Fam Areas (Enc)'!$B$6:$B$998,$A286,'[1]Blackout Brand Fam Areas (Enc)'!$C$6:$C$998,K$4,'[1]Blackout Brand Fam Areas (Enc)'!$D$6:$D$998,"Inactive")&gt;0,"BLOCKED","CAN SELL")))))</f>
        <v>NOT IN TERRITORY</v>
      </c>
      <c r="L286" s="11" t="str">
        <f>IF($A286="","",_xlfn.LET(_xlpm.t,MATCH($B286,'[1]Territory Definitions'!$B$5:$B$14,0),IF(ISNA(_xlpm.t),"NO TERRITORY",IF(INDEX('[1]Territory Definitions'!$D$5:$M$14,_xlpm.t,MATCH(L$4,'[1]Territory Definitions'!$D$4:$M$4,0))&lt;&gt;1,"NOT IN TERRITORY",IF(COUNTIFS('[1]Blackout Brand Fam Areas (Enc)'!$B$6:$B$998,$A286,'[1]Blackout Brand Fam Areas (Enc)'!$C$6:$C$998,L$4,'[1]Blackout Brand Fam Areas (Enc)'!$D$6:$D$998,"Inactive")&gt;0,"BLOCKED","CAN SELL")))))</f>
        <v>CAN SELL</v>
      </c>
      <c r="M286" s="12">
        <f>IF($A286="","",COUNTIF($C286:$L286,"CAN SELL"))</f>
        <v>6</v>
      </c>
      <c r="N286" s="13" cm="1">
        <f t="array" ref="N286">IF($A286="","",SUMPRODUCT(($C286:$L286="CAN SELL")*$C$3:$L$3))</f>
        <v>1596</v>
      </c>
      <c r="O286" s="14" t="str">
        <f>IF($A286="","",IF(COUNTIF($A$5:$A$299,$A286)&gt;1,"DUPLICATE - two different territories assigned",IF($B286="** NO TERRITORY SET **","No territory on Brand Family Territory (Enc)","")))</f>
        <v/>
      </c>
      <c r="P286" s="18" t="str">
        <f>IF($A286="","",IFERROR(INDEX([1]Products!$H$4:$H$4801,MATCH($A286,[1]Products!$G$4:$G$4801,0)),"(no products)"))</f>
        <v>New Belgium Brewing Company</v>
      </c>
      <c r="Q286" s="19">
        <f>IF($A286="","",COUNTIFS([1]Products!$G$4:$G$4801,$A286,[1]Products!$L$4:$L$4801,"Yes"))</f>
        <v>43</v>
      </c>
      <c r="R286" s="19">
        <f>IF($A286="","",COUNTIFS([1]Products!$G$4:$G$4801,$A286,[1]Products!$L$4:$L$4801,"Yes",[1]Products!$K$4:$K$4801,"Draft"))</f>
        <v>13</v>
      </c>
      <c r="S286" s="19">
        <f>IF($A286="","",COUNTIFS([1]Products!$G$4:$G$4801,$A286,[1]Products!$L$4:$L$4801,"Yes",[1]Products!$K$4:$K$4801,"Package"))</f>
        <v>30</v>
      </c>
      <c r="T286" s="20" t="str" cm="1">
        <f t="array" ref="T286">IF($A286="","",_xlfn.IFS($Q286=0,"NO ACTIVE SKUs",AND($R286&gt;0,$S286&gt;0),"Draft &amp; Package",$R286&gt;0,"Draft only",TRUE,"Package only"))</f>
        <v>Draft &amp; Package</v>
      </c>
    </row>
    <row r="287" spans="1:20" x14ac:dyDescent="0.2">
      <c r="A287" s="9" t="str">
        <v>Voodoo Hardcharged</v>
      </c>
      <c r="B287" s="10" t="str">
        <f>IF($A287="","",_xlfn.XLOOKUP($A287,'[1]Brand Family Territory (Enc)'!$A:$A,'[1]Brand Family Territory (Enc)'!$B:$B,"** NO TERRITORY SET **"))</f>
        <v>Core Market</v>
      </c>
      <c r="C287" s="11" t="str">
        <f>IF($A287="","",_xlfn.LET(_xlpm.t,MATCH($B287,'[1]Territory Definitions'!$B$5:$B$14,0),IF(ISNA(_xlpm.t),"NO TERRITORY",IF(INDEX('[1]Territory Definitions'!$D$5:$M$14,_xlpm.t,MATCH(C$4,'[1]Territory Definitions'!$D$4:$M$4,0))&lt;&gt;1,"NOT IN TERRITORY",IF(COUNTIFS('[1]Blackout Brand Fam Areas (Enc)'!$B$6:$B$998,$A287,'[1]Blackout Brand Fam Areas (Enc)'!$C$6:$C$998,C$4,'[1]Blackout Brand Fam Areas (Enc)'!$D$6:$D$998,"Inactive")&gt;0,"BLOCKED","CAN SELL")))))</f>
        <v>CAN SELL</v>
      </c>
      <c r="D287" s="11" t="str">
        <f>IF($A287="","",_xlfn.LET(_xlpm.t,MATCH($B287,'[1]Territory Definitions'!$B$5:$B$14,0),IF(ISNA(_xlpm.t),"NO TERRITORY",IF(INDEX('[1]Territory Definitions'!$D$5:$M$14,_xlpm.t,MATCH(D$4,'[1]Territory Definitions'!$D$4:$M$4,0))&lt;&gt;1,"NOT IN TERRITORY",IF(COUNTIFS('[1]Blackout Brand Fam Areas (Enc)'!$B$6:$B$998,$A287,'[1]Blackout Brand Fam Areas (Enc)'!$C$6:$C$998,D$4,'[1]Blackout Brand Fam Areas (Enc)'!$D$6:$D$998,"Inactive")&gt;0,"BLOCKED","CAN SELL")))))</f>
        <v>CAN SELL</v>
      </c>
      <c r="E287" s="11" t="str">
        <f>IF($A287="","",_xlfn.LET(_xlpm.t,MATCH($B287,'[1]Territory Definitions'!$B$5:$B$14,0),IF(ISNA(_xlpm.t),"NO TERRITORY",IF(INDEX('[1]Territory Definitions'!$D$5:$M$14,_xlpm.t,MATCH(E$4,'[1]Territory Definitions'!$D$4:$M$4,0))&lt;&gt;1,"NOT IN TERRITORY",IF(COUNTIFS('[1]Blackout Brand Fam Areas (Enc)'!$B$6:$B$998,$A287,'[1]Blackout Brand Fam Areas (Enc)'!$C$6:$C$998,E$4,'[1]Blackout Brand Fam Areas (Enc)'!$D$6:$D$998,"Inactive")&gt;0,"BLOCKED","CAN SELL")))))</f>
        <v>CAN SELL</v>
      </c>
      <c r="F287" s="11" t="str">
        <f>IF($A287="","",_xlfn.LET(_xlpm.t,MATCH($B287,'[1]Territory Definitions'!$B$5:$B$14,0),IF(ISNA(_xlpm.t),"NO TERRITORY",IF(INDEX('[1]Territory Definitions'!$D$5:$M$14,_xlpm.t,MATCH(F$4,'[1]Territory Definitions'!$D$4:$M$4,0))&lt;&gt;1,"NOT IN TERRITORY",IF(COUNTIFS('[1]Blackout Brand Fam Areas (Enc)'!$B$6:$B$998,$A287,'[1]Blackout Brand Fam Areas (Enc)'!$C$6:$C$998,F$4,'[1]Blackout Brand Fam Areas (Enc)'!$D$6:$D$998,"Inactive")&gt;0,"BLOCKED","CAN SELL")))))</f>
        <v>NOT IN TERRITORY</v>
      </c>
      <c r="G287" s="11" t="str">
        <f>IF($A287="","",_xlfn.LET(_xlpm.t,MATCH($B287,'[1]Territory Definitions'!$B$5:$B$14,0),IF(ISNA(_xlpm.t),"NO TERRITORY",IF(INDEX('[1]Territory Definitions'!$D$5:$M$14,_xlpm.t,MATCH(G$4,'[1]Territory Definitions'!$D$4:$M$4,0))&lt;&gt;1,"NOT IN TERRITORY",IF(COUNTIFS('[1]Blackout Brand Fam Areas (Enc)'!$B$6:$B$998,$A287,'[1]Blackout Brand Fam Areas (Enc)'!$C$6:$C$998,G$4,'[1]Blackout Brand Fam Areas (Enc)'!$D$6:$D$998,"Inactive")&gt;0,"BLOCKED","CAN SELL")))))</f>
        <v>NOT IN TERRITORY</v>
      </c>
      <c r="H287" s="11" t="str">
        <f>IF($A287="","",_xlfn.LET(_xlpm.t,MATCH($B287,'[1]Territory Definitions'!$B$5:$B$14,0),IF(ISNA(_xlpm.t),"NO TERRITORY",IF(INDEX('[1]Territory Definitions'!$D$5:$M$14,_xlpm.t,MATCH(H$4,'[1]Territory Definitions'!$D$4:$M$4,0))&lt;&gt;1,"NOT IN TERRITORY",IF(COUNTIFS('[1]Blackout Brand Fam Areas (Enc)'!$B$6:$B$998,$A287,'[1]Blackout Brand Fam Areas (Enc)'!$C$6:$C$998,H$4,'[1]Blackout Brand Fam Areas (Enc)'!$D$6:$D$998,"Inactive")&gt;0,"BLOCKED","CAN SELL")))))</f>
        <v>NOT IN TERRITORY</v>
      </c>
      <c r="I287" s="11" t="str">
        <f>IF($A287="","",_xlfn.LET(_xlpm.t,MATCH($B287,'[1]Territory Definitions'!$B$5:$B$14,0),IF(ISNA(_xlpm.t),"NO TERRITORY",IF(INDEX('[1]Territory Definitions'!$D$5:$M$14,_xlpm.t,MATCH(I$4,'[1]Territory Definitions'!$D$4:$M$4,0))&lt;&gt;1,"NOT IN TERRITORY",IF(COUNTIFS('[1]Blackout Brand Fam Areas (Enc)'!$B$6:$B$998,$A287,'[1]Blackout Brand Fam Areas (Enc)'!$C$6:$C$998,I$4,'[1]Blackout Brand Fam Areas (Enc)'!$D$6:$D$998,"Inactive")&gt;0,"BLOCKED","CAN SELL")))))</f>
        <v>CAN SELL</v>
      </c>
      <c r="J287" s="11" t="str">
        <f>IF($A287="","",_xlfn.LET(_xlpm.t,MATCH($B287,'[1]Territory Definitions'!$B$5:$B$14,0),IF(ISNA(_xlpm.t),"NO TERRITORY",IF(INDEX('[1]Territory Definitions'!$D$5:$M$14,_xlpm.t,MATCH(J$4,'[1]Territory Definitions'!$D$4:$M$4,0))&lt;&gt;1,"NOT IN TERRITORY",IF(COUNTIFS('[1]Blackout Brand Fam Areas (Enc)'!$B$6:$B$998,$A287,'[1]Blackout Brand Fam Areas (Enc)'!$C$6:$C$998,J$4,'[1]Blackout Brand Fam Areas (Enc)'!$D$6:$D$998,"Inactive")&gt;0,"BLOCKED","CAN SELL")))))</f>
        <v>CAN SELL</v>
      </c>
      <c r="K287" s="11" t="str">
        <f>IF($A287="","",_xlfn.LET(_xlpm.t,MATCH($B287,'[1]Territory Definitions'!$B$5:$B$14,0),IF(ISNA(_xlpm.t),"NO TERRITORY",IF(INDEX('[1]Territory Definitions'!$D$5:$M$14,_xlpm.t,MATCH(K$4,'[1]Territory Definitions'!$D$4:$M$4,0))&lt;&gt;1,"NOT IN TERRITORY",IF(COUNTIFS('[1]Blackout Brand Fam Areas (Enc)'!$B$6:$B$998,$A287,'[1]Blackout Brand Fam Areas (Enc)'!$C$6:$C$998,K$4,'[1]Blackout Brand Fam Areas (Enc)'!$D$6:$D$998,"Inactive")&gt;0,"BLOCKED","CAN SELL")))))</f>
        <v>NOT IN TERRITORY</v>
      </c>
      <c r="L287" s="11" t="str">
        <f>IF($A287="","",_xlfn.LET(_xlpm.t,MATCH($B287,'[1]Territory Definitions'!$B$5:$B$14,0),IF(ISNA(_xlpm.t),"NO TERRITORY",IF(INDEX('[1]Territory Definitions'!$D$5:$M$14,_xlpm.t,MATCH(L$4,'[1]Territory Definitions'!$D$4:$M$4,0))&lt;&gt;1,"NOT IN TERRITORY",IF(COUNTIFS('[1]Blackout Brand Fam Areas (Enc)'!$B$6:$B$998,$A287,'[1]Blackout Brand Fam Areas (Enc)'!$C$6:$C$998,L$4,'[1]Blackout Brand Fam Areas (Enc)'!$D$6:$D$998,"Inactive")&gt;0,"BLOCKED","CAN SELL")))))</f>
        <v>CAN SELL</v>
      </c>
      <c r="M287" s="12">
        <f>IF($A287="","",COUNTIF($C287:$L287,"CAN SELL"))</f>
        <v>6</v>
      </c>
      <c r="N287" s="13" cm="1">
        <f t="array" ref="N287">IF($A287="","",SUMPRODUCT(($C287:$L287="CAN SELL")*$C$3:$L$3))</f>
        <v>1596</v>
      </c>
      <c r="O287" s="14" t="str">
        <f>IF($A287="","",IF(COUNTIF($A$5:$A$299,$A287)&gt;1,"DUPLICATE - two different territories assigned",IF($B287="** NO TERRITORY SET **","No territory on Brand Family Territory (Enc)","")))</f>
        <v/>
      </c>
      <c r="P287" s="18" t="str">
        <f>IF($A287="","",IFERROR(INDEX([1]Products!$H$4:$H$4801,MATCH($A287,[1]Products!$G$4:$G$4801,0)),"(no products)"))</f>
        <v>New Belgium Brewing Company</v>
      </c>
      <c r="Q287" s="19">
        <f>IF($A287="","",COUNTIFS([1]Products!$G$4:$G$4801,$A287,[1]Products!$L$4:$L$4801,"Yes"))</f>
        <v>5</v>
      </c>
      <c r="R287" s="19">
        <f>IF($A287="","",COUNTIFS([1]Products!$G$4:$G$4801,$A287,[1]Products!$L$4:$L$4801,"Yes",[1]Products!$K$4:$K$4801,"Draft"))</f>
        <v>0</v>
      </c>
      <c r="S287" s="19">
        <f>IF($A287="","",COUNTIFS([1]Products!$G$4:$G$4801,$A287,[1]Products!$L$4:$L$4801,"Yes",[1]Products!$K$4:$K$4801,"Package"))</f>
        <v>5</v>
      </c>
      <c r="T287" s="20" t="str" cm="1">
        <f t="array" ref="T287">IF($A287="","",_xlfn.IFS($Q287=0,"NO ACTIVE SKUs",AND($R287&gt;0,$S287&gt;0),"Draft &amp; Package",$R287&gt;0,"Draft only",TRUE,"Package only"))</f>
        <v>Package only</v>
      </c>
    </row>
    <row r="288" spans="1:20" x14ac:dyDescent="0.2">
      <c r="A288" s="9" t="str">
        <v>Warwick Gin</v>
      </c>
      <c r="B288" s="10" t="str">
        <f>IF($A288="","",_xlfn.XLOOKUP($A288,'[1]Brand Family Territory (Enc)'!$A:$A,'[1]Brand Family Territory (Enc)'!$B:$B,"** NO TERRITORY SET **"))</f>
        <v>All Counties</v>
      </c>
      <c r="C288" s="11" t="str">
        <f>IF($A288="","",_xlfn.LET(_xlpm.t,MATCH($B288,'[1]Territory Definitions'!$B$5:$B$14,0),IF(ISNA(_xlpm.t),"NO TERRITORY",IF(INDEX('[1]Territory Definitions'!$D$5:$M$14,_xlpm.t,MATCH(C$4,'[1]Territory Definitions'!$D$4:$M$4,0))&lt;&gt;1,"NOT IN TERRITORY",IF(COUNTIFS('[1]Blackout Brand Fam Areas (Enc)'!$B$6:$B$998,$A288,'[1]Blackout Brand Fam Areas (Enc)'!$C$6:$C$998,C$4,'[1]Blackout Brand Fam Areas (Enc)'!$D$6:$D$998,"Inactive")&gt;0,"BLOCKED","CAN SELL")))))</f>
        <v>CAN SELL</v>
      </c>
      <c r="D288" s="11" t="str">
        <f>IF($A288="","",_xlfn.LET(_xlpm.t,MATCH($B288,'[1]Territory Definitions'!$B$5:$B$14,0),IF(ISNA(_xlpm.t),"NO TERRITORY",IF(INDEX('[1]Territory Definitions'!$D$5:$M$14,_xlpm.t,MATCH(D$4,'[1]Territory Definitions'!$D$4:$M$4,0))&lt;&gt;1,"NOT IN TERRITORY",IF(COUNTIFS('[1]Blackout Brand Fam Areas (Enc)'!$B$6:$B$998,$A288,'[1]Blackout Brand Fam Areas (Enc)'!$C$6:$C$998,D$4,'[1]Blackout Brand Fam Areas (Enc)'!$D$6:$D$998,"Inactive")&gt;0,"BLOCKED","CAN SELL")))))</f>
        <v>CAN SELL</v>
      </c>
      <c r="E288" s="11" t="str">
        <f>IF($A288="","",_xlfn.LET(_xlpm.t,MATCH($B288,'[1]Territory Definitions'!$B$5:$B$14,0),IF(ISNA(_xlpm.t),"NO TERRITORY",IF(INDEX('[1]Territory Definitions'!$D$5:$M$14,_xlpm.t,MATCH(E$4,'[1]Territory Definitions'!$D$4:$M$4,0))&lt;&gt;1,"NOT IN TERRITORY",IF(COUNTIFS('[1]Blackout Brand Fam Areas (Enc)'!$B$6:$B$998,$A288,'[1]Blackout Brand Fam Areas (Enc)'!$C$6:$C$998,E$4,'[1]Blackout Brand Fam Areas (Enc)'!$D$6:$D$998,"Inactive")&gt;0,"BLOCKED","CAN SELL")))))</f>
        <v>CAN SELL</v>
      </c>
      <c r="F288" s="11" t="str">
        <f>IF($A288="","",_xlfn.LET(_xlpm.t,MATCH($B288,'[1]Territory Definitions'!$B$5:$B$14,0),IF(ISNA(_xlpm.t),"NO TERRITORY",IF(INDEX('[1]Territory Definitions'!$D$5:$M$14,_xlpm.t,MATCH(F$4,'[1]Territory Definitions'!$D$4:$M$4,0))&lt;&gt;1,"NOT IN TERRITORY",IF(COUNTIFS('[1]Blackout Brand Fam Areas (Enc)'!$B$6:$B$998,$A288,'[1]Blackout Brand Fam Areas (Enc)'!$C$6:$C$998,F$4,'[1]Blackout Brand Fam Areas (Enc)'!$D$6:$D$998,"Inactive")&gt;0,"BLOCKED","CAN SELL")))))</f>
        <v>CAN SELL</v>
      </c>
      <c r="G288" s="11" t="str">
        <f>IF($A288="","",_xlfn.LET(_xlpm.t,MATCH($B288,'[1]Territory Definitions'!$B$5:$B$14,0),IF(ISNA(_xlpm.t),"NO TERRITORY",IF(INDEX('[1]Territory Definitions'!$D$5:$M$14,_xlpm.t,MATCH(G$4,'[1]Territory Definitions'!$D$4:$M$4,0))&lt;&gt;1,"NOT IN TERRITORY",IF(COUNTIFS('[1]Blackout Brand Fam Areas (Enc)'!$B$6:$B$998,$A288,'[1]Blackout Brand Fam Areas (Enc)'!$C$6:$C$998,G$4,'[1]Blackout Brand Fam Areas (Enc)'!$D$6:$D$998,"Inactive")&gt;0,"BLOCKED","CAN SELL")))))</f>
        <v>CAN SELL</v>
      </c>
      <c r="H288" s="11" t="str">
        <f>IF($A288="","",_xlfn.LET(_xlpm.t,MATCH($B288,'[1]Territory Definitions'!$B$5:$B$14,0),IF(ISNA(_xlpm.t),"NO TERRITORY",IF(INDEX('[1]Territory Definitions'!$D$5:$M$14,_xlpm.t,MATCH(H$4,'[1]Territory Definitions'!$D$4:$M$4,0))&lt;&gt;1,"NOT IN TERRITORY",IF(COUNTIFS('[1]Blackout Brand Fam Areas (Enc)'!$B$6:$B$998,$A288,'[1]Blackout Brand Fam Areas (Enc)'!$C$6:$C$998,H$4,'[1]Blackout Brand Fam Areas (Enc)'!$D$6:$D$998,"Inactive")&gt;0,"BLOCKED","CAN SELL")))))</f>
        <v>CAN SELL</v>
      </c>
      <c r="I288" s="11" t="str">
        <f>IF($A288="","",_xlfn.LET(_xlpm.t,MATCH($B288,'[1]Territory Definitions'!$B$5:$B$14,0),IF(ISNA(_xlpm.t),"NO TERRITORY",IF(INDEX('[1]Territory Definitions'!$D$5:$M$14,_xlpm.t,MATCH(I$4,'[1]Territory Definitions'!$D$4:$M$4,0))&lt;&gt;1,"NOT IN TERRITORY",IF(COUNTIFS('[1]Blackout Brand Fam Areas (Enc)'!$B$6:$B$998,$A288,'[1]Blackout Brand Fam Areas (Enc)'!$C$6:$C$998,I$4,'[1]Blackout Brand Fam Areas (Enc)'!$D$6:$D$998,"Inactive")&gt;0,"BLOCKED","CAN SELL")))))</f>
        <v>CAN SELL</v>
      </c>
      <c r="J288" s="11" t="str">
        <f>IF($A288="","",_xlfn.LET(_xlpm.t,MATCH($B288,'[1]Territory Definitions'!$B$5:$B$14,0),IF(ISNA(_xlpm.t),"NO TERRITORY",IF(INDEX('[1]Territory Definitions'!$D$5:$M$14,_xlpm.t,MATCH(J$4,'[1]Territory Definitions'!$D$4:$M$4,0))&lt;&gt;1,"NOT IN TERRITORY",IF(COUNTIFS('[1]Blackout Brand Fam Areas (Enc)'!$B$6:$B$998,$A288,'[1]Blackout Brand Fam Areas (Enc)'!$C$6:$C$998,J$4,'[1]Blackout Brand Fam Areas (Enc)'!$D$6:$D$998,"Inactive")&gt;0,"BLOCKED","CAN SELL")))))</f>
        <v>CAN SELL</v>
      </c>
      <c r="K288" s="11" t="str">
        <f>IF($A288="","",_xlfn.LET(_xlpm.t,MATCH($B288,'[1]Territory Definitions'!$B$5:$B$14,0),IF(ISNA(_xlpm.t),"NO TERRITORY",IF(INDEX('[1]Territory Definitions'!$D$5:$M$14,_xlpm.t,MATCH(K$4,'[1]Territory Definitions'!$D$4:$M$4,0))&lt;&gt;1,"NOT IN TERRITORY",IF(COUNTIFS('[1]Blackout Brand Fam Areas (Enc)'!$B$6:$B$998,$A288,'[1]Blackout Brand Fam Areas (Enc)'!$C$6:$C$998,K$4,'[1]Blackout Brand Fam Areas (Enc)'!$D$6:$D$998,"Inactive")&gt;0,"BLOCKED","CAN SELL")))))</f>
        <v>CAN SELL</v>
      </c>
      <c r="L288" s="11" t="str">
        <f>IF($A288="","",_xlfn.LET(_xlpm.t,MATCH($B288,'[1]Territory Definitions'!$B$5:$B$14,0),IF(ISNA(_xlpm.t),"NO TERRITORY",IF(INDEX('[1]Territory Definitions'!$D$5:$M$14,_xlpm.t,MATCH(L$4,'[1]Territory Definitions'!$D$4:$M$4,0))&lt;&gt;1,"NOT IN TERRITORY",IF(COUNTIFS('[1]Blackout Brand Fam Areas (Enc)'!$B$6:$B$998,$A288,'[1]Blackout Brand Fam Areas (Enc)'!$C$6:$C$998,L$4,'[1]Blackout Brand Fam Areas (Enc)'!$D$6:$D$998,"Inactive")&gt;0,"BLOCKED","CAN SELL")))))</f>
        <v>CAN SELL</v>
      </c>
      <c r="M288" s="12">
        <f>IF($A288="","",COUNTIF($C288:$L288,"CAN SELL"))</f>
        <v>10</v>
      </c>
      <c r="N288" s="13" cm="1">
        <f t="array" ref="N288">IF($A288="","",SUMPRODUCT(($C288:$L288="CAN SELL")*$C$3:$L$3))</f>
        <v>2306</v>
      </c>
      <c r="O288" s="14" t="str">
        <f>IF($A288="","",IF(COUNTIF($A$5:$A$299,$A288)&gt;1,"DUPLICATE - two different territories assigned",IF($B288="** NO TERRITORY SET **","No territory on Brand Family Territory (Enc)","")))</f>
        <v/>
      </c>
      <c r="P288" s="18" t="str">
        <f>IF($A288="","",IFERROR(INDEX([1]Products!$H$4:$H$4801,MATCH($A288,[1]Products!$G$4:$G$4801,0)),"(no products)"))</f>
        <v>Warwick Valley</v>
      </c>
      <c r="Q288" s="19">
        <f>IF($A288="","",COUNTIFS([1]Products!$G$4:$G$4801,$A288,[1]Products!$L$4:$L$4801,"Yes"))</f>
        <v>1</v>
      </c>
      <c r="R288" s="19">
        <f>IF($A288="","",COUNTIFS([1]Products!$G$4:$G$4801,$A288,[1]Products!$L$4:$L$4801,"Yes",[1]Products!$K$4:$K$4801,"Draft"))</f>
        <v>0</v>
      </c>
      <c r="S288" s="19">
        <f>IF($A288="","",COUNTIFS([1]Products!$G$4:$G$4801,$A288,[1]Products!$L$4:$L$4801,"Yes",[1]Products!$K$4:$K$4801,"Package"))</f>
        <v>0</v>
      </c>
      <c r="T288" s="20" t="str" cm="1">
        <f t="array" ref="T288">IF($A288="","",_xlfn.IFS($Q288=0,"NO ACTIVE SKUs",AND($R288&gt;0,$S288&gt;0),"Draft &amp; Package",$R288&gt;0,"Draft only",TRUE,"Package only"))</f>
        <v>Package only</v>
      </c>
    </row>
    <row r="289" spans="1:20" x14ac:dyDescent="0.2">
      <c r="A289" s="9" t="str">
        <v>Waterloo Gin</v>
      </c>
      <c r="B289" s="10" t="str">
        <f>IF($A289="","",_xlfn.XLOOKUP($A289,'[1]Brand Family Territory (Enc)'!$A:$A,'[1]Brand Family Territory (Enc)'!$B:$B,"** NO TERRITORY SET **"))</f>
        <v>All Counties</v>
      </c>
      <c r="C289" s="11" t="str">
        <f>IF($A289="","",_xlfn.LET(_xlpm.t,MATCH($B289,'[1]Territory Definitions'!$B$5:$B$14,0),IF(ISNA(_xlpm.t),"NO TERRITORY",IF(INDEX('[1]Territory Definitions'!$D$5:$M$14,_xlpm.t,MATCH(C$4,'[1]Territory Definitions'!$D$4:$M$4,0))&lt;&gt;1,"NOT IN TERRITORY",IF(COUNTIFS('[1]Blackout Brand Fam Areas (Enc)'!$B$6:$B$998,$A289,'[1]Blackout Brand Fam Areas (Enc)'!$C$6:$C$998,C$4,'[1]Blackout Brand Fam Areas (Enc)'!$D$6:$D$998,"Inactive")&gt;0,"BLOCKED","CAN SELL")))))</f>
        <v>CAN SELL</v>
      </c>
      <c r="D289" s="11" t="str">
        <f>IF($A289="","",_xlfn.LET(_xlpm.t,MATCH($B289,'[1]Territory Definitions'!$B$5:$B$14,0),IF(ISNA(_xlpm.t),"NO TERRITORY",IF(INDEX('[1]Territory Definitions'!$D$5:$M$14,_xlpm.t,MATCH(D$4,'[1]Territory Definitions'!$D$4:$M$4,0))&lt;&gt;1,"NOT IN TERRITORY",IF(COUNTIFS('[1]Blackout Brand Fam Areas (Enc)'!$B$6:$B$998,$A289,'[1]Blackout Brand Fam Areas (Enc)'!$C$6:$C$998,D$4,'[1]Blackout Brand Fam Areas (Enc)'!$D$6:$D$998,"Inactive")&gt;0,"BLOCKED","CAN SELL")))))</f>
        <v>CAN SELL</v>
      </c>
      <c r="E289" s="11" t="str">
        <f>IF($A289="","",_xlfn.LET(_xlpm.t,MATCH($B289,'[1]Territory Definitions'!$B$5:$B$14,0),IF(ISNA(_xlpm.t),"NO TERRITORY",IF(INDEX('[1]Territory Definitions'!$D$5:$M$14,_xlpm.t,MATCH(E$4,'[1]Territory Definitions'!$D$4:$M$4,0))&lt;&gt;1,"NOT IN TERRITORY",IF(COUNTIFS('[1]Blackout Brand Fam Areas (Enc)'!$B$6:$B$998,$A289,'[1]Blackout Brand Fam Areas (Enc)'!$C$6:$C$998,E$4,'[1]Blackout Brand Fam Areas (Enc)'!$D$6:$D$998,"Inactive")&gt;0,"BLOCKED","CAN SELL")))))</f>
        <v>CAN SELL</v>
      </c>
      <c r="F289" s="11" t="str">
        <f>IF($A289="","",_xlfn.LET(_xlpm.t,MATCH($B289,'[1]Territory Definitions'!$B$5:$B$14,0),IF(ISNA(_xlpm.t),"NO TERRITORY",IF(INDEX('[1]Territory Definitions'!$D$5:$M$14,_xlpm.t,MATCH(F$4,'[1]Territory Definitions'!$D$4:$M$4,0))&lt;&gt;1,"NOT IN TERRITORY",IF(COUNTIFS('[1]Blackout Brand Fam Areas (Enc)'!$B$6:$B$998,$A289,'[1]Blackout Brand Fam Areas (Enc)'!$C$6:$C$998,F$4,'[1]Blackout Brand Fam Areas (Enc)'!$D$6:$D$998,"Inactive")&gt;0,"BLOCKED","CAN SELL")))))</f>
        <v>CAN SELL</v>
      </c>
      <c r="G289" s="11" t="str">
        <f>IF($A289="","",_xlfn.LET(_xlpm.t,MATCH($B289,'[1]Territory Definitions'!$B$5:$B$14,0),IF(ISNA(_xlpm.t),"NO TERRITORY",IF(INDEX('[1]Territory Definitions'!$D$5:$M$14,_xlpm.t,MATCH(G$4,'[1]Territory Definitions'!$D$4:$M$4,0))&lt;&gt;1,"NOT IN TERRITORY",IF(COUNTIFS('[1]Blackout Brand Fam Areas (Enc)'!$B$6:$B$998,$A289,'[1]Blackout Brand Fam Areas (Enc)'!$C$6:$C$998,G$4,'[1]Blackout Brand Fam Areas (Enc)'!$D$6:$D$998,"Inactive")&gt;0,"BLOCKED","CAN SELL")))))</f>
        <v>CAN SELL</v>
      </c>
      <c r="H289" s="11" t="str">
        <f>IF($A289="","",_xlfn.LET(_xlpm.t,MATCH($B289,'[1]Territory Definitions'!$B$5:$B$14,0),IF(ISNA(_xlpm.t),"NO TERRITORY",IF(INDEX('[1]Territory Definitions'!$D$5:$M$14,_xlpm.t,MATCH(H$4,'[1]Territory Definitions'!$D$4:$M$4,0))&lt;&gt;1,"NOT IN TERRITORY",IF(COUNTIFS('[1]Blackout Brand Fam Areas (Enc)'!$B$6:$B$998,$A289,'[1]Blackout Brand Fam Areas (Enc)'!$C$6:$C$998,H$4,'[1]Blackout Brand Fam Areas (Enc)'!$D$6:$D$998,"Inactive")&gt;0,"BLOCKED","CAN SELL")))))</f>
        <v>CAN SELL</v>
      </c>
      <c r="I289" s="11" t="str">
        <f>IF($A289="","",_xlfn.LET(_xlpm.t,MATCH($B289,'[1]Territory Definitions'!$B$5:$B$14,0),IF(ISNA(_xlpm.t),"NO TERRITORY",IF(INDEX('[1]Territory Definitions'!$D$5:$M$14,_xlpm.t,MATCH(I$4,'[1]Territory Definitions'!$D$4:$M$4,0))&lt;&gt;1,"NOT IN TERRITORY",IF(COUNTIFS('[1]Blackout Brand Fam Areas (Enc)'!$B$6:$B$998,$A289,'[1]Blackout Brand Fam Areas (Enc)'!$C$6:$C$998,I$4,'[1]Blackout Brand Fam Areas (Enc)'!$D$6:$D$998,"Inactive")&gt;0,"BLOCKED","CAN SELL")))))</f>
        <v>CAN SELL</v>
      </c>
      <c r="J289" s="11" t="str">
        <f>IF($A289="","",_xlfn.LET(_xlpm.t,MATCH($B289,'[1]Territory Definitions'!$B$5:$B$14,0),IF(ISNA(_xlpm.t),"NO TERRITORY",IF(INDEX('[1]Territory Definitions'!$D$5:$M$14,_xlpm.t,MATCH(J$4,'[1]Territory Definitions'!$D$4:$M$4,0))&lt;&gt;1,"NOT IN TERRITORY",IF(COUNTIFS('[1]Blackout Brand Fam Areas (Enc)'!$B$6:$B$998,$A289,'[1]Blackout Brand Fam Areas (Enc)'!$C$6:$C$998,J$4,'[1]Blackout Brand Fam Areas (Enc)'!$D$6:$D$998,"Inactive")&gt;0,"BLOCKED","CAN SELL")))))</f>
        <v>CAN SELL</v>
      </c>
      <c r="K289" s="11" t="str">
        <f>IF($A289="","",_xlfn.LET(_xlpm.t,MATCH($B289,'[1]Territory Definitions'!$B$5:$B$14,0),IF(ISNA(_xlpm.t),"NO TERRITORY",IF(INDEX('[1]Territory Definitions'!$D$5:$M$14,_xlpm.t,MATCH(K$4,'[1]Territory Definitions'!$D$4:$M$4,0))&lt;&gt;1,"NOT IN TERRITORY",IF(COUNTIFS('[1]Blackout Brand Fam Areas (Enc)'!$B$6:$B$998,$A289,'[1]Blackout Brand Fam Areas (Enc)'!$C$6:$C$998,K$4,'[1]Blackout Brand Fam Areas (Enc)'!$D$6:$D$998,"Inactive")&gt;0,"BLOCKED","CAN SELL")))))</f>
        <v>CAN SELL</v>
      </c>
      <c r="L289" s="11" t="str">
        <f>IF($A289="","",_xlfn.LET(_xlpm.t,MATCH($B289,'[1]Territory Definitions'!$B$5:$B$14,0),IF(ISNA(_xlpm.t),"NO TERRITORY",IF(INDEX('[1]Territory Definitions'!$D$5:$M$14,_xlpm.t,MATCH(L$4,'[1]Territory Definitions'!$D$4:$M$4,0))&lt;&gt;1,"NOT IN TERRITORY",IF(COUNTIFS('[1]Blackout Brand Fam Areas (Enc)'!$B$6:$B$998,$A289,'[1]Blackout Brand Fam Areas (Enc)'!$C$6:$C$998,L$4,'[1]Blackout Brand Fam Areas (Enc)'!$D$6:$D$998,"Inactive")&gt;0,"BLOCKED","CAN SELL")))))</f>
        <v>CAN SELL</v>
      </c>
      <c r="M289" s="12">
        <f>IF($A289="","",COUNTIF($C289:$L289,"CAN SELL"))</f>
        <v>10</v>
      </c>
      <c r="N289" s="13" cm="1">
        <f t="array" ref="N289">IF($A289="","",SUMPRODUCT(($C289:$L289="CAN SELL")*$C$3:$L$3))</f>
        <v>2306</v>
      </c>
      <c r="O289" s="14" t="str">
        <f>IF($A289="","",IF(COUNTIF($A$5:$A$299,$A289)&gt;1,"DUPLICATE - two different territories assigned",IF($B289="** NO TERRITORY SET **","No territory on Brand Family Territory (Enc)","")))</f>
        <v/>
      </c>
      <c r="P289" s="18" t="str">
        <f>IF($A289="","",IFERROR(INDEX([1]Products!$H$4:$H$4801,MATCH($A289,[1]Products!$G$4:$G$4801,0)),"(no products)"))</f>
        <v>Waterloo Gin</v>
      </c>
      <c r="Q289" s="19">
        <f>IF($A289="","",COUNTIFS([1]Products!$G$4:$G$4801,$A289,[1]Products!$L$4:$L$4801,"Yes"))</f>
        <v>3</v>
      </c>
      <c r="R289" s="19">
        <f>IF($A289="","",COUNTIFS([1]Products!$G$4:$G$4801,$A289,[1]Products!$L$4:$L$4801,"Yes",[1]Products!$K$4:$K$4801,"Draft"))</f>
        <v>0</v>
      </c>
      <c r="S289" s="19">
        <f>IF($A289="","",COUNTIFS([1]Products!$G$4:$G$4801,$A289,[1]Products!$L$4:$L$4801,"Yes",[1]Products!$K$4:$K$4801,"Package"))</f>
        <v>0</v>
      </c>
      <c r="T289" s="20" t="str" cm="1">
        <f t="array" ref="T289">IF($A289="","",_xlfn.IFS($Q289=0,"NO ACTIVE SKUs",AND($R289&gt;0,$S289&gt;0),"Draft &amp; Package",$R289&gt;0,"Draft only",TRUE,"Package only"))</f>
        <v>Package only</v>
      </c>
    </row>
    <row r="290" spans="1:20" x14ac:dyDescent="0.2">
      <c r="A290" s="9" t="str">
        <v>Weihenstephaner</v>
      </c>
      <c r="B290" s="10" t="str">
        <f>IF($A290="","",_xlfn.XLOOKUP($A290,'[1]Brand Family Territory (Enc)'!$A:$A,'[1]Brand Family Territory (Enc)'!$B:$B,"** NO TERRITORY SET **"))</f>
        <v>Bergen/Passaic/Hudson/Essex</v>
      </c>
      <c r="C290" s="11" t="str">
        <f>IF($A290="","",_xlfn.LET(_xlpm.t,MATCH($B290,'[1]Territory Definitions'!$B$5:$B$14,0),IF(ISNA(_xlpm.t),"NO TERRITORY",IF(INDEX('[1]Territory Definitions'!$D$5:$M$14,_xlpm.t,MATCH(C$4,'[1]Territory Definitions'!$D$4:$M$4,0))&lt;&gt;1,"NOT IN TERRITORY",IF(COUNTIFS('[1]Blackout Brand Fam Areas (Enc)'!$B$6:$B$998,$A290,'[1]Blackout Brand Fam Areas (Enc)'!$C$6:$C$998,C$4,'[1]Blackout Brand Fam Areas (Enc)'!$D$6:$D$998,"Inactive")&gt;0,"BLOCKED","CAN SELL")))))</f>
        <v>CAN SELL</v>
      </c>
      <c r="D290" s="11" t="str">
        <f>IF($A290="","",_xlfn.LET(_xlpm.t,MATCH($B290,'[1]Territory Definitions'!$B$5:$B$14,0),IF(ISNA(_xlpm.t),"NO TERRITORY",IF(INDEX('[1]Territory Definitions'!$D$5:$M$14,_xlpm.t,MATCH(D$4,'[1]Territory Definitions'!$D$4:$M$4,0))&lt;&gt;1,"NOT IN TERRITORY",IF(COUNTIFS('[1]Blackout Brand Fam Areas (Enc)'!$B$6:$B$998,$A290,'[1]Blackout Brand Fam Areas (Enc)'!$C$6:$C$998,D$4,'[1]Blackout Brand Fam Areas (Enc)'!$D$6:$D$998,"Inactive")&gt;0,"BLOCKED","CAN SELL")))))</f>
        <v>CAN SELL</v>
      </c>
      <c r="E290" s="11" t="str">
        <f>IF($A290="","",_xlfn.LET(_xlpm.t,MATCH($B290,'[1]Territory Definitions'!$B$5:$B$14,0),IF(ISNA(_xlpm.t),"NO TERRITORY",IF(INDEX('[1]Territory Definitions'!$D$5:$M$14,_xlpm.t,MATCH(E$4,'[1]Territory Definitions'!$D$4:$M$4,0))&lt;&gt;1,"NOT IN TERRITORY",IF(COUNTIFS('[1]Blackout Brand Fam Areas (Enc)'!$B$6:$B$998,$A290,'[1]Blackout Brand Fam Areas (Enc)'!$C$6:$C$998,E$4,'[1]Blackout Brand Fam Areas (Enc)'!$D$6:$D$998,"Inactive")&gt;0,"BLOCKED","CAN SELL")))))</f>
        <v>CAN SELL</v>
      </c>
      <c r="F290" s="11" t="str">
        <f>IF($A290="","",_xlfn.LET(_xlpm.t,MATCH($B290,'[1]Territory Definitions'!$B$5:$B$14,0),IF(ISNA(_xlpm.t),"NO TERRITORY",IF(INDEX('[1]Territory Definitions'!$D$5:$M$14,_xlpm.t,MATCH(F$4,'[1]Territory Definitions'!$D$4:$M$4,0))&lt;&gt;1,"NOT IN TERRITORY",IF(COUNTIFS('[1]Blackout Brand Fam Areas (Enc)'!$B$6:$B$998,$A290,'[1]Blackout Brand Fam Areas (Enc)'!$C$6:$C$998,F$4,'[1]Blackout Brand Fam Areas (Enc)'!$D$6:$D$998,"Inactive")&gt;0,"BLOCKED","CAN SELL")))))</f>
        <v>CAN SELL</v>
      </c>
      <c r="G290" s="11" t="str">
        <f>IF($A290="","",_xlfn.LET(_xlpm.t,MATCH($B290,'[1]Territory Definitions'!$B$5:$B$14,0),IF(ISNA(_xlpm.t),"NO TERRITORY",IF(INDEX('[1]Territory Definitions'!$D$5:$M$14,_xlpm.t,MATCH(G$4,'[1]Territory Definitions'!$D$4:$M$4,0))&lt;&gt;1,"NOT IN TERRITORY",IF(COUNTIFS('[1]Blackout Brand Fam Areas (Enc)'!$B$6:$B$998,$A290,'[1]Blackout Brand Fam Areas (Enc)'!$C$6:$C$998,G$4,'[1]Blackout Brand Fam Areas (Enc)'!$D$6:$D$998,"Inactive")&gt;0,"BLOCKED","CAN SELL")))))</f>
        <v>CAN SELL</v>
      </c>
      <c r="H290" s="11" t="str">
        <f>IF($A290="","",_xlfn.LET(_xlpm.t,MATCH($B290,'[1]Territory Definitions'!$B$5:$B$14,0),IF(ISNA(_xlpm.t),"NO TERRITORY",IF(INDEX('[1]Territory Definitions'!$D$5:$M$14,_xlpm.t,MATCH(H$4,'[1]Territory Definitions'!$D$4:$M$4,0))&lt;&gt;1,"NOT IN TERRITORY",IF(COUNTIFS('[1]Blackout Brand Fam Areas (Enc)'!$B$6:$B$998,$A290,'[1]Blackout Brand Fam Areas (Enc)'!$C$6:$C$998,H$4,'[1]Blackout Brand Fam Areas (Enc)'!$D$6:$D$998,"Inactive")&gt;0,"BLOCKED","CAN SELL")))))</f>
        <v>NOT IN TERRITORY</v>
      </c>
      <c r="I290" s="11" t="str">
        <f>IF($A290="","",_xlfn.LET(_xlpm.t,MATCH($B290,'[1]Territory Definitions'!$B$5:$B$14,0),IF(ISNA(_xlpm.t),"NO TERRITORY",IF(INDEX('[1]Territory Definitions'!$D$5:$M$14,_xlpm.t,MATCH(I$4,'[1]Territory Definitions'!$D$4:$M$4,0))&lt;&gt;1,"NOT IN TERRITORY",IF(COUNTIFS('[1]Blackout Brand Fam Areas (Enc)'!$B$6:$B$998,$A290,'[1]Blackout Brand Fam Areas (Enc)'!$C$6:$C$998,I$4,'[1]Blackout Brand Fam Areas (Enc)'!$D$6:$D$998,"Inactive")&gt;0,"BLOCKED","CAN SELL")))))</f>
        <v>NOT IN TERRITORY</v>
      </c>
      <c r="J290" s="11" t="str">
        <f>IF($A290="","",_xlfn.LET(_xlpm.t,MATCH($B290,'[1]Territory Definitions'!$B$5:$B$14,0),IF(ISNA(_xlpm.t),"NO TERRITORY",IF(INDEX('[1]Territory Definitions'!$D$5:$M$14,_xlpm.t,MATCH(J$4,'[1]Territory Definitions'!$D$4:$M$4,0))&lt;&gt;1,"NOT IN TERRITORY",IF(COUNTIFS('[1]Blackout Brand Fam Areas (Enc)'!$B$6:$B$998,$A290,'[1]Blackout Brand Fam Areas (Enc)'!$C$6:$C$998,J$4,'[1]Blackout Brand Fam Areas (Enc)'!$D$6:$D$998,"Inactive")&gt;0,"BLOCKED","CAN SELL")))))</f>
        <v>NOT IN TERRITORY</v>
      </c>
      <c r="K290" s="11" t="str">
        <f>IF($A290="","",_xlfn.LET(_xlpm.t,MATCH($B290,'[1]Territory Definitions'!$B$5:$B$14,0),IF(ISNA(_xlpm.t),"NO TERRITORY",IF(INDEX('[1]Territory Definitions'!$D$5:$M$14,_xlpm.t,MATCH(K$4,'[1]Territory Definitions'!$D$4:$M$4,0))&lt;&gt;1,"NOT IN TERRITORY",IF(COUNTIFS('[1]Blackout Brand Fam Areas (Enc)'!$B$6:$B$998,$A290,'[1]Blackout Brand Fam Areas (Enc)'!$C$6:$C$998,K$4,'[1]Blackout Brand Fam Areas (Enc)'!$D$6:$D$998,"Inactive")&gt;0,"BLOCKED","CAN SELL")))))</f>
        <v>NOT IN TERRITORY</v>
      </c>
      <c r="L290" s="11" t="str">
        <f>IF($A290="","",_xlfn.LET(_xlpm.t,MATCH($B290,'[1]Territory Definitions'!$B$5:$B$14,0),IF(ISNA(_xlpm.t),"NO TERRITORY",IF(INDEX('[1]Territory Definitions'!$D$5:$M$14,_xlpm.t,MATCH(L$4,'[1]Territory Definitions'!$D$4:$M$4,0))&lt;&gt;1,"NOT IN TERRITORY",IF(COUNTIFS('[1]Blackout Brand Fam Areas (Enc)'!$B$6:$B$998,$A290,'[1]Blackout Brand Fam Areas (Enc)'!$C$6:$C$998,L$4,'[1]Blackout Brand Fam Areas (Enc)'!$D$6:$D$998,"Inactive")&gt;0,"BLOCKED","CAN SELL")))))</f>
        <v>NOT IN TERRITORY</v>
      </c>
      <c r="M290" s="12">
        <f>IF($A290="","",COUNTIF($C290:$L290,"CAN SELL"))</f>
        <v>5</v>
      </c>
      <c r="N290" s="13" cm="1">
        <f t="array" ref="N290">IF($A290="","",SUMPRODUCT(($C290:$L290="CAN SELL")*$C$3:$L$3))</f>
        <v>1859</v>
      </c>
      <c r="O290" s="14" t="str">
        <f>IF($A290="","",IF(COUNTIF($A$5:$A$299,$A290)&gt;1,"DUPLICATE - two different territories assigned",IF($B290="** NO TERRITORY SET **","No territory on Brand Family Territory (Enc)","")))</f>
        <v/>
      </c>
      <c r="P290" s="18" t="str">
        <f>IF($A290="","",IFERROR(INDEX([1]Products!$H$4:$H$4801,MATCH($A290,[1]Products!$G$4:$G$4801,0)),"(no products)"))</f>
        <v>Total Beverage Solutions</v>
      </c>
      <c r="Q290" s="19">
        <f>IF($A290="","",COUNTIFS([1]Products!$G$4:$G$4801,$A290,[1]Products!$L$4:$L$4801,"Yes"))</f>
        <v>19</v>
      </c>
      <c r="R290" s="19">
        <f>IF($A290="","",COUNTIFS([1]Products!$G$4:$G$4801,$A290,[1]Products!$L$4:$L$4801,"Yes",[1]Products!$K$4:$K$4801,"Draft"))</f>
        <v>5</v>
      </c>
      <c r="S290" s="19">
        <f>IF($A290="","",COUNTIFS([1]Products!$G$4:$G$4801,$A290,[1]Products!$L$4:$L$4801,"Yes",[1]Products!$K$4:$K$4801,"Package"))</f>
        <v>14</v>
      </c>
      <c r="T290" s="20" t="str" cm="1">
        <f t="array" ref="T290">IF($A290="","",_xlfn.IFS($Q290=0,"NO ACTIVE SKUs",AND($R290&gt;0,$S290&gt;0),"Draft &amp; Package",$R290&gt;0,"Draft only",TRUE,"Package only"))</f>
        <v>Draft &amp; Package</v>
      </c>
    </row>
    <row r="291" spans="1:20" x14ac:dyDescent="0.2">
      <c r="A291" s="9" t="str">
        <v>White Claw</v>
      </c>
      <c r="B291" s="10" t="str">
        <f>IF($A291="","",_xlfn.XLOOKUP($A291,'[1]Brand Family Territory (Enc)'!$A:$A,'[1]Brand Family Territory (Enc)'!$B:$B,"** NO TERRITORY SET **"))</f>
        <v>Core Market</v>
      </c>
      <c r="C291" s="11" t="str">
        <f>IF($A291="","",_xlfn.LET(_xlpm.t,MATCH($B291,'[1]Territory Definitions'!$B$5:$B$14,0),IF(ISNA(_xlpm.t),"NO TERRITORY",IF(INDEX('[1]Territory Definitions'!$D$5:$M$14,_xlpm.t,MATCH(C$4,'[1]Territory Definitions'!$D$4:$M$4,0))&lt;&gt;1,"NOT IN TERRITORY",IF(COUNTIFS('[1]Blackout Brand Fam Areas (Enc)'!$B$6:$B$998,$A291,'[1]Blackout Brand Fam Areas (Enc)'!$C$6:$C$998,C$4,'[1]Blackout Brand Fam Areas (Enc)'!$D$6:$D$998,"Inactive")&gt;0,"BLOCKED","CAN SELL")))))</f>
        <v>CAN SELL</v>
      </c>
      <c r="D291" s="11" t="str">
        <f>IF($A291="","",_xlfn.LET(_xlpm.t,MATCH($B291,'[1]Territory Definitions'!$B$5:$B$14,0),IF(ISNA(_xlpm.t),"NO TERRITORY",IF(INDEX('[1]Territory Definitions'!$D$5:$M$14,_xlpm.t,MATCH(D$4,'[1]Territory Definitions'!$D$4:$M$4,0))&lt;&gt;1,"NOT IN TERRITORY",IF(COUNTIFS('[1]Blackout Brand Fam Areas (Enc)'!$B$6:$B$998,$A291,'[1]Blackout Brand Fam Areas (Enc)'!$C$6:$C$998,D$4,'[1]Blackout Brand Fam Areas (Enc)'!$D$6:$D$998,"Inactive")&gt;0,"BLOCKED","CAN SELL")))))</f>
        <v>CAN SELL</v>
      </c>
      <c r="E291" s="11" t="str">
        <f>IF($A291="","",_xlfn.LET(_xlpm.t,MATCH($B291,'[1]Territory Definitions'!$B$5:$B$14,0),IF(ISNA(_xlpm.t),"NO TERRITORY",IF(INDEX('[1]Territory Definitions'!$D$5:$M$14,_xlpm.t,MATCH(E$4,'[1]Territory Definitions'!$D$4:$M$4,0))&lt;&gt;1,"NOT IN TERRITORY",IF(COUNTIFS('[1]Blackout Brand Fam Areas (Enc)'!$B$6:$B$998,$A291,'[1]Blackout Brand Fam Areas (Enc)'!$C$6:$C$998,E$4,'[1]Blackout Brand Fam Areas (Enc)'!$D$6:$D$998,"Inactive")&gt;0,"BLOCKED","CAN SELL")))))</f>
        <v>CAN SELL</v>
      </c>
      <c r="F291" s="11" t="str">
        <f>IF($A291="","",_xlfn.LET(_xlpm.t,MATCH($B291,'[1]Territory Definitions'!$B$5:$B$14,0),IF(ISNA(_xlpm.t),"NO TERRITORY",IF(INDEX('[1]Territory Definitions'!$D$5:$M$14,_xlpm.t,MATCH(F$4,'[1]Territory Definitions'!$D$4:$M$4,0))&lt;&gt;1,"NOT IN TERRITORY",IF(COUNTIFS('[1]Blackout Brand Fam Areas (Enc)'!$B$6:$B$998,$A291,'[1]Blackout Brand Fam Areas (Enc)'!$C$6:$C$998,F$4,'[1]Blackout Brand Fam Areas (Enc)'!$D$6:$D$998,"Inactive")&gt;0,"BLOCKED","CAN SELL")))))</f>
        <v>NOT IN TERRITORY</v>
      </c>
      <c r="G291" s="11" t="str">
        <f>IF($A291="","",_xlfn.LET(_xlpm.t,MATCH($B291,'[1]Territory Definitions'!$B$5:$B$14,0),IF(ISNA(_xlpm.t),"NO TERRITORY",IF(INDEX('[1]Territory Definitions'!$D$5:$M$14,_xlpm.t,MATCH(G$4,'[1]Territory Definitions'!$D$4:$M$4,0))&lt;&gt;1,"NOT IN TERRITORY",IF(COUNTIFS('[1]Blackout Brand Fam Areas (Enc)'!$B$6:$B$998,$A291,'[1]Blackout Brand Fam Areas (Enc)'!$C$6:$C$998,G$4,'[1]Blackout Brand Fam Areas (Enc)'!$D$6:$D$998,"Inactive")&gt;0,"BLOCKED","CAN SELL")))))</f>
        <v>NOT IN TERRITORY</v>
      </c>
      <c r="H291" s="11" t="str">
        <f>IF($A291="","",_xlfn.LET(_xlpm.t,MATCH($B291,'[1]Territory Definitions'!$B$5:$B$14,0),IF(ISNA(_xlpm.t),"NO TERRITORY",IF(INDEX('[1]Territory Definitions'!$D$5:$M$14,_xlpm.t,MATCH(H$4,'[1]Territory Definitions'!$D$4:$M$4,0))&lt;&gt;1,"NOT IN TERRITORY",IF(COUNTIFS('[1]Blackout Brand Fam Areas (Enc)'!$B$6:$B$998,$A291,'[1]Blackout Brand Fam Areas (Enc)'!$C$6:$C$998,H$4,'[1]Blackout Brand Fam Areas (Enc)'!$D$6:$D$998,"Inactive")&gt;0,"BLOCKED","CAN SELL")))))</f>
        <v>NOT IN TERRITORY</v>
      </c>
      <c r="I291" s="11" t="str">
        <f>IF($A291="","",_xlfn.LET(_xlpm.t,MATCH($B291,'[1]Territory Definitions'!$B$5:$B$14,0),IF(ISNA(_xlpm.t),"NO TERRITORY",IF(INDEX('[1]Territory Definitions'!$D$5:$M$14,_xlpm.t,MATCH(I$4,'[1]Territory Definitions'!$D$4:$M$4,0))&lt;&gt;1,"NOT IN TERRITORY",IF(COUNTIFS('[1]Blackout Brand Fam Areas (Enc)'!$B$6:$B$998,$A291,'[1]Blackout Brand Fam Areas (Enc)'!$C$6:$C$998,I$4,'[1]Blackout Brand Fam Areas (Enc)'!$D$6:$D$998,"Inactive")&gt;0,"BLOCKED","CAN SELL")))))</f>
        <v>CAN SELL</v>
      </c>
      <c r="J291" s="11" t="str">
        <f>IF($A291="","",_xlfn.LET(_xlpm.t,MATCH($B291,'[1]Territory Definitions'!$B$5:$B$14,0),IF(ISNA(_xlpm.t),"NO TERRITORY",IF(INDEX('[1]Territory Definitions'!$D$5:$M$14,_xlpm.t,MATCH(J$4,'[1]Territory Definitions'!$D$4:$M$4,0))&lt;&gt;1,"NOT IN TERRITORY",IF(COUNTIFS('[1]Blackout Brand Fam Areas (Enc)'!$B$6:$B$998,$A291,'[1]Blackout Brand Fam Areas (Enc)'!$C$6:$C$998,J$4,'[1]Blackout Brand Fam Areas (Enc)'!$D$6:$D$998,"Inactive")&gt;0,"BLOCKED","CAN SELL")))))</f>
        <v>CAN SELL</v>
      </c>
      <c r="K291" s="11" t="str">
        <f>IF($A291="","",_xlfn.LET(_xlpm.t,MATCH($B291,'[1]Territory Definitions'!$B$5:$B$14,0),IF(ISNA(_xlpm.t),"NO TERRITORY",IF(INDEX('[1]Territory Definitions'!$D$5:$M$14,_xlpm.t,MATCH(K$4,'[1]Territory Definitions'!$D$4:$M$4,0))&lt;&gt;1,"NOT IN TERRITORY",IF(COUNTIFS('[1]Blackout Brand Fam Areas (Enc)'!$B$6:$B$998,$A291,'[1]Blackout Brand Fam Areas (Enc)'!$C$6:$C$998,K$4,'[1]Blackout Brand Fam Areas (Enc)'!$D$6:$D$998,"Inactive")&gt;0,"BLOCKED","CAN SELL")))))</f>
        <v>NOT IN TERRITORY</v>
      </c>
      <c r="L291" s="11" t="str">
        <f>IF($A291="","",_xlfn.LET(_xlpm.t,MATCH($B291,'[1]Territory Definitions'!$B$5:$B$14,0),IF(ISNA(_xlpm.t),"NO TERRITORY",IF(INDEX('[1]Territory Definitions'!$D$5:$M$14,_xlpm.t,MATCH(L$4,'[1]Territory Definitions'!$D$4:$M$4,0))&lt;&gt;1,"NOT IN TERRITORY",IF(COUNTIFS('[1]Blackout Brand Fam Areas (Enc)'!$B$6:$B$998,$A291,'[1]Blackout Brand Fam Areas (Enc)'!$C$6:$C$998,L$4,'[1]Blackout Brand Fam Areas (Enc)'!$D$6:$D$998,"Inactive")&gt;0,"BLOCKED","CAN SELL")))))</f>
        <v>CAN SELL</v>
      </c>
      <c r="M291" s="12">
        <f>IF($A291="","",COUNTIF($C291:$L291,"CAN SELL"))</f>
        <v>6</v>
      </c>
      <c r="N291" s="13" cm="1">
        <f t="array" ref="N291">IF($A291="","",SUMPRODUCT(($C291:$L291="CAN SELL")*$C$3:$L$3))</f>
        <v>1596</v>
      </c>
      <c r="O291" s="14" t="str">
        <f>IF($A291="","",IF(COUNTIF($A$5:$A$299,$A291)&gt;1,"DUPLICATE - two different territories assigned",IF($B291="** NO TERRITORY SET **","No territory on Brand Family Territory (Enc)","")))</f>
        <v/>
      </c>
      <c r="P291" s="18" t="str">
        <f>IF($A291="","",IFERROR(INDEX([1]Products!$H$4:$H$4801,MATCH($A291,[1]Products!$G$4:$G$4801,0)),"(no products)"))</f>
        <v>Mark Anthony</v>
      </c>
      <c r="Q291" s="19">
        <f>IF($A291="","",COUNTIFS([1]Products!$G$4:$G$4801,$A291,[1]Products!$L$4:$L$4801,"Yes"))</f>
        <v>46</v>
      </c>
      <c r="R291" s="19">
        <f>IF($A291="","",COUNTIFS([1]Products!$G$4:$G$4801,$A291,[1]Products!$L$4:$L$4801,"Yes",[1]Products!$K$4:$K$4801,"Draft"))</f>
        <v>0</v>
      </c>
      <c r="S291" s="19">
        <f>IF($A291="","",COUNTIFS([1]Products!$G$4:$G$4801,$A291,[1]Products!$L$4:$L$4801,"Yes",[1]Products!$K$4:$K$4801,"Package"))</f>
        <v>46</v>
      </c>
      <c r="T291" s="20" t="str" cm="1">
        <f t="array" ref="T291">IF($A291="","",_xlfn.IFS($Q291=0,"NO ACTIVE SKUs",AND($R291&gt;0,$S291&gt;0),"Draft &amp; Package",$R291&gt;0,"Draft only",TRUE,"Package only"))</f>
        <v>Package only</v>
      </c>
    </row>
    <row r="292" spans="1:20" x14ac:dyDescent="0.2">
      <c r="A292" s="9" t="str">
        <v>Whitecap</v>
      </c>
      <c r="B292" s="10" t="str">
        <f>IF($A292="","",_xlfn.XLOOKUP($A292,'[1]Brand Family Territory (Enc)'!$A:$A,'[1]Brand Family Territory (Enc)'!$B:$B,"** NO TERRITORY SET **"))</f>
        <v>All Counties</v>
      </c>
      <c r="C292" s="11" t="str">
        <f>IF($A292="","",_xlfn.LET(_xlpm.t,MATCH($B292,'[1]Territory Definitions'!$B$5:$B$14,0),IF(ISNA(_xlpm.t),"NO TERRITORY",IF(INDEX('[1]Territory Definitions'!$D$5:$M$14,_xlpm.t,MATCH(C$4,'[1]Territory Definitions'!$D$4:$M$4,0))&lt;&gt;1,"NOT IN TERRITORY",IF(COUNTIFS('[1]Blackout Brand Fam Areas (Enc)'!$B$6:$B$998,$A292,'[1]Blackout Brand Fam Areas (Enc)'!$C$6:$C$998,C$4,'[1]Blackout Brand Fam Areas (Enc)'!$D$6:$D$998,"Inactive")&gt;0,"BLOCKED","CAN SELL")))))</f>
        <v>CAN SELL</v>
      </c>
      <c r="D292" s="11" t="str">
        <f>IF($A292="","",_xlfn.LET(_xlpm.t,MATCH($B292,'[1]Territory Definitions'!$B$5:$B$14,0),IF(ISNA(_xlpm.t),"NO TERRITORY",IF(INDEX('[1]Territory Definitions'!$D$5:$M$14,_xlpm.t,MATCH(D$4,'[1]Territory Definitions'!$D$4:$M$4,0))&lt;&gt;1,"NOT IN TERRITORY",IF(COUNTIFS('[1]Blackout Brand Fam Areas (Enc)'!$B$6:$B$998,$A292,'[1]Blackout Brand Fam Areas (Enc)'!$C$6:$C$998,D$4,'[1]Blackout Brand Fam Areas (Enc)'!$D$6:$D$998,"Inactive")&gt;0,"BLOCKED","CAN SELL")))))</f>
        <v>CAN SELL</v>
      </c>
      <c r="E292" s="11" t="str">
        <f>IF($A292="","",_xlfn.LET(_xlpm.t,MATCH($B292,'[1]Territory Definitions'!$B$5:$B$14,0),IF(ISNA(_xlpm.t),"NO TERRITORY",IF(INDEX('[1]Territory Definitions'!$D$5:$M$14,_xlpm.t,MATCH(E$4,'[1]Territory Definitions'!$D$4:$M$4,0))&lt;&gt;1,"NOT IN TERRITORY",IF(COUNTIFS('[1]Blackout Brand Fam Areas (Enc)'!$B$6:$B$998,$A292,'[1]Blackout Brand Fam Areas (Enc)'!$C$6:$C$998,E$4,'[1]Blackout Brand Fam Areas (Enc)'!$D$6:$D$998,"Inactive")&gt;0,"BLOCKED","CAN SELL")))))</f>
        <v>CAN SELL</v>
      </c>
      <c r="F292" s="11" t="str">
        <f>IF($A292="","",_xlfn.LET(_xlpm.t,MATCH($B292,'[1]Territory Definitions'!$B$5:$B$14,0),IF(ISNA(_xlpm.t),"NO TERRITORY",IF(INDEX('[1]Territory Definitions'!$D$5:$M$14,_xlpm.t,MATCH(F$4,'[1]Territory Definitions'!$D$4:$M$4,0))&lt;&gt;1,"NOT IN TERRITORY",IF(COUNTIFS('[1]Blackout Brand Fam Areas (Enc)'!$B$6:$B$998,$A292,'[1]Blackout Brand Fam Areas (Enc)'!$C$6:$C$998,F$4,'[1]Blackout Brand Fam Areas (Enc)'!$D$6:$D$998,"Inactive")&gt;0,"BLOCKED","CAN SELL")))))</f>
        <v>CAN SELL</v>
      </c>
      <c r="G292" s="11" t="str">
        <f>IF($A292="","",_xlfn.LET(_xlpm.t,MATCH($B292,'[1]Territory Definitions'!$B$5:$B$14,0),IF(ISNA(_xlpm.t),"NO TERRITORY",IF(INDEX('[1]Territory Definitions'!$D$5:$M$14,_xlpm.t,MATCH(G$4,'[1]Territory Definitions'!$D$4:$M$4,0))&lt;&gt;1,"NOT IN TERRITORY",IF(COUNTIFS('[1]Blackout Brand Fam Areas (Enc)'!$B$6:$B$998,$A292,'[1]Blackout Brand Fam Areas (Enc)'!$C$6:$C$998,G$4,'[1]Blackout Brand Fam Areas (Enc)'!$D$6:$D$998,"Inactive")&gt;0,"BLOCKED","CAN SELL")))))</f>
        <v>CAN SELL</v>
      </c>
      <c r="H292" s="11" t="str">
        <f>IF($A292="","",_xlfn.LET(_xlpm.t,MATCH($B292,'[1]Territory Definitions'!$B$5:$B$14,0),IF(ISNA(_xlpm.t),"NO TERRITORY",IF(INDEX('[1]Territory Definitions'!$D$5:$M$14,_xlpm.t,MATCH(H$4,'[1]Territory Definitions'!$D$4:$M$4,0))&lt;&gt;1,"NOT IN TERRITORY",IF(COUNTIFS('[1]Blackout Brand Fam Areas (Enc)'!$B$6:$B$998,$A292,'[1]Blackout Brand Fam Areas (Enc)'!$C$6:$C$998,H$4,'[1]Blackout Brand Fam Areas (Enc)'!$D$6:$D$998,"Inactive")&gt;0,"BLOCKED","CAN SELL")))))</f>
        <v>CAN SELL</v>
      </c>
      <c r="I292" s="11" t="str">
        <f>IF($A292="","",_xlfn.LET(_xlpm.t,MATCH($B292,'[1]Territory Definitions'!$B$5:$B$14,0),IF(ISNA(_xlpm.t),"NO TERRITORY",IF(INDEX('[1]Territory Definitions'!$D$5:$M$14,_xlpm.t,MATCH(I$4,'[1]Territory Definitions'!$D$4:$M$4,0))&lt;&gt;1,"NOT IN TERRITORY",IF(COUNTIFS('[1]Blackout Brand Fam Areas (Enc)'!$B$6:$B$998,$A292,'[1]Blackout Brand Fam Areas (Enc)'!$C$6:$C$998,I$4,'[1]Blackout Brand Fam Areas (Enc)'!$D$6:$D$998,"Inactive")&gt;0,"BLOCKED","CAN SELL")))))</f>
        <v>CAN SELL</v>
      </c>
      <c r="J292" s="11" t="str">
        <f>IF($A292="","",_xlfn.LET(_xlpm.t,MATCH($B292,'[1]Territory Definitions'!$B$5:$B$14,0),IF(ISNA(_xlpm.t),"NO TERRITORY",IF(INDEX('[1]Territory Definitions'!$D$5:$M$14,_xlpm.t,MATCH(J$4,'[1]Territory Definitions'!$D$4:$M$4,0))&lt;&gt;1,"NOT IN TERRITORY",IF(COUNTIFS('[1]Blackout Brand Fam Areas (Enc)'!$B$6:$B$998,$A292,'[1]Blackout Brand Fam Areas (Enc)'!$C$6:$C$998,J$4,'[1]Blackout Brand Fam Areas (Enc)'!$D$6:$D$998,"Inactive")&gt;0,"BLOCKED","CAN SELL")))))</f>
        <v>CAN SELL</v>
      </c>
      <c r="K292" s="11" t="str">
        <f>IF($A292="","",_xlfn.LET(_xlpm.t,MATCH($B292,'[1]Territory Definitions'!$B$5:$B$14,0),IF(ISNA(_xlpm.t),"NO TERRITORY",IF(INDEX('[1]Territory Definitions'!$D$5:$M$14,_xlpm.t,MATCH(K$4,'[1]Territory Definitions'!$D$4:$M$4,0))&lt;&gt;1,"NOT IN TERRITORY",IF(COUNTIFS('[1]Blackout Brand Fam Areas (Enc)'!$B$6:$B$998,$A292,'[1]Blackout Brand Fam Areas (Enc)'!$C$6:$C$998,K$4,'[1]Blackout Brand Fam Areas (Enc)'!$D$6:$D$998,"Inactive")&gt;0,"BLOCKED","CAN SELL")))))</f>
        <v>CAN SELL</v>
      </c>
      <c r="L292" s="11" t="str">
        <f>IF($A292="","",_xlfn.LET(_xlpm.t,MATCH($B292,'[1]Territory Definitions'!$B$5:$B$14,0),IF(ISNA(_xlpm.t),"NO TERRITORY",IF(INDEX('[1]Territory Definitions'!$D$5:$M$14,_xlpm.t,MATCH(L$4,'[1]Territory Definitions'!$D$4:$M$4,0))&lt;&gt;1,"NOT IN TERRITORY",IF(COUNTIFS('[1]Blackout Brand Fam Areas (Enc)'!$B$6:$B$998,$A292,'[1]Blackout Brand Fam Areas (Enc)'!$C$6:$C$998,L$4,'[1]Blackout Brand Fam Areas (Enc)'!$D$6:$D$998,"Inactive")&gt;0,"BLOCKED","CAN SELL")))))</f>
        <v>CAN SELL</v>
      </c>
      <c r="M292" s="12">
        <f>IF($A292="","",COUNTIF($C292:$L292,"CAN SELL"))</f>
        <v>10</v>
      </c>
      <c r="N292" s="13" cm="1">
        <f t="array" ref="N292">IF($A292="","",SUMPRODUCT(($C292:$L292="CAN SELL")*$C$3:$L$3))</f>
        <v>2306</v>
      </c>
      <c r="O292" s="14" t="str">
        <f>IF($A292="","",IF(COUNTIF($A$5:$A$299,$A292)&gt;1,"DUPLICATE - two different territories assigned",IF($B292="** NO TERRITORY SET **","No territory on Brand Family Territory (Enc)","")))</f>
        <v/>
      </c>
      <c r="P292" s="18" t="str">
        <f>IF($A292="","",IFERROR(INDEX([1]Products!$H$4:$H$4801,MATCH($A292,[1]Products!$G$4:$G$4801,0)),"(no products)"))</f>
        <v>Little Water Distillery</v>
      </c>
      <c r="Q292" s="19">
        <f>IF($A292="","",COUNTIFS([1]Products!$G$4:$G$4801,$A292,[1]Products!$L$4:$L$4801,"Yes"))</f>
        <v>2</v>
      </c>
      <c r="R292" s="19">
        <f>IF($A292="","",COUNTIFS([1]Products!$G$4:$G$4801,$A292,[1]Products!$L$4:$L$4801,"Yes",[1]Products!$K$4:$K$4801,"Draft"))</f>
        <v>0</v>
      </c>
      <c r="S292" s="19">
        <f>IF($A292="","",COUNTIFS([1]Products!$G$4:$G$4801,$A292,[1]Products!$L$4:$L$4801,"Yes",[1]Products!$K$4:$K$4801,"Package"))</f>
        <v>0</v>
      </c>
      <c r="T292" s="20" t="str" cm="1">
        <f t="array" ref="T292">IF($A292="","",_xlfn.IFS($Q292=0,"NO ACTIVE SKUs",AND($R292&gt;0,$S292&gt;0),"Draft &amp; Package",$R292&gt;0,"Draft only",TRUE,"Package only"))</f>
        <v>Package only</v>
      </c>
    </row>
    <row r="293" spans="1:20" x14ac:dyDescent="0.2">
      <c r="A293" s="9" t="str">
        <v>Whole Hog</v>
      </c>
      <c r="B293" s="10" t="str">
        <f>IF($A293="","",_xlfn.XLOOKUP($A293,'[1]Brand Family Territory (Enc)'!$A:$A,'[1]Brand Family Territory (Enc)'!$B:$B,"** NO TERRITORY SET **"))</f>
        <v>All Counties</v>
      </c>
      <c r="C293" s="11" t="str">
        <f>IF($A293="","",_xlfn.LET(_xlpm.t,MATCH($B293,'[1]Territory Definitions'!$B$5:$B$14,0),IF(ISNA(_xlpm.t),"NO TERRITORY",IF(INDEX('[1]Territory Definitions'!$D$5:$M$14,_xlpm.t,MATCH(C$4,'[1]Territory Definitions'!$D$4:$M$4,0))&lt;&gt;1,"NOT IN TERRITORY",IF(COUNTIFS('[1]Blackout Brand Fam Areas (Enc)'!$B$6:$B$998,$A293,'[1]Blackout Brand Fam Areas (Enc)'!$C$6:$C$998,C$4,'[1]Blackout Brand Fam Areas (Enc)'!$D$6:$D$998,"Inactive")&gt;0,"BLOCKED","CAN SELL")))))</f>
        <v>CAN SELL</v>
      </c>
      <c r="D293" s="11" t="str">
        <f>IF($A293="","",_xlfn.LET(_xlpm.t,MATCH($B293,'[1]Territory Definitions'!$B$5:$B$14,0),IF(ISNA(_xlpm.t),"NO TERRITORY",IF(INDEX('[1]Territory Definitions'!$D$5:$M$14,_xlpm.t,MATCH(D$4,'[1]Territory Definitions'!$D$4:$M$4,0))&lt;&gt;1,"NOT IN TERRITORY",IF(COUNTIFS('[1]Blackout Brand Fam Areas (Enc)'!$B$6:$B$998,$A293,'[1]Blackout Brand Fam Areas (Enc)'!$C$6:$C$998,D$4,'[1]Blackout Brand Fam Areas (Enc)'!$D$6:$D$998,"Inactive")&gt;0,"BLOCKED","CAN SELL")))))</f>
        <v>CAN SELL</v>
      </c>
      <c r="E293" s="11" t="str">
        <f>IF($A293="","",_xlfn.LET(_xlpm.t,MATCH($B293,'[1]Territory Definitions'!$B$5:$B$14,0),IF(ISNA(_xlpm.t),"NO TERRITORY",IF(INDEX('[1]Territory Definitions'!$D$5:$M$14,_xlpm.t,MATCH(E$4,'[1]Territory Definitions'!$D$4:$M$4,0))&lt;&gt;1,"NOT IN TERRITORY",IF(COUNTIFS('[1]Blackout Brand Fam Areas (Enc)'!$B$6:$B$998,$A293,'[1]Blackout Brand Fam Areas (Enc)'!$C$6:$C$998,E$4,'[1]Blackout Brand Fam Areas (Enc)'!$D$6:$D$998,"Inactive")&gt;0,"BLOCKED","CAN SELL")))))</f>
        <v>CAN SELL</v>
      </c>
      <c r="F293" s="11" t="str">
        <f>IF($A293="","",_xlfn.LET(_xlpm.t,MATCH($B293,'[1]Territory Definitions'!$B$5:$B$14,0),IF(ISNA(_xlpm.t),"NO TERRITORY",IF(INDEX('[1]Territory Definitions'!$D$5:$M$14,_xlpm.t,MATCH(F$4,'[1]Territory Definitions'!$D$4:$M$4,0))&lt;&gt;1,"NOT IN TERRITORY",IF(COUNTIFS('[1]Blackout Brand Fam Areas (Enc)'!$B$6:$B$998,$A293,'[1]Blackout Brand Fam Areas (Enc)'!$C$6:$C$998,F$4,'[1]Blackout Brand Fam Areas (Enc)'!$D$6:$D$998,"Inactive")&gt;0,"BLOCKED","CAN SELL")))))</f>
        <v>CAN SELL</v>
      </c>
      <c r="G293" s="11" t="str">
        <f>IF($A293="","",_xlfn.LET(_xlpm.t,MATCH($B293,'[1]Territory Definitions'!$B$5:$B$14,0),IF(ISNA(_xlpm.t),"NO TERRITORY",IF(INDEX('[1]Territory Definitions'!$D$5:$M$14,_xlpm.t,MATCH(G$4,'[1]Territory Definitions'!$D$4:$M$4,0))&lt;&gt;1,"NOT IN TERRITORY",IF(COUNTIFS('[1]Blackout Brand Fam Areas (Enc)'!$B$6:$B$998,$A293,'[1]Blackout Brand Fam Areas (Enc)'!$C$6:$C$998,G$4,'[1]Blackout Brand Fam Areas (Enc)'!$D$6:$D$998,"Inactive")&gt;0,"BLOCKED","CAN SELL")))))</f>
        <v>CAN SELL</v>
      </c>
      <c r="H293" s="11" t="str">
        <f>IF($A293="","",_xlfn.LET(_xlpm.t,MATCH($B293,'[1]Territory Definitions'!$B$5:$B$14,0),IF(ISNA(_xlpm.t),"NO TERRITORY",IF(INDEX('[1]Territory Definitions'!$D$5:$M$14,_xlpm.t,MATCH(H$4,'[1]Territory Definitions'!$D$4:$M$4,0))&lt;&gt;1,"NOT IN TERRITORY",IF(COUNTIFS('[1]Blackout Brand Fam Areas (Enc)'!$B$6:$B$998,$A293,'[1]Blackout Brand Fam Areas (Enc)'!$C$6:$C$998,H$4,'[1]Blackout Brand Fam Areas (Enc)'!$D$6:$D$998,"Inactive")&gt;0,"BLOCKED","CAN SELL")))))</f>
        <v>CAN SELL</v>
      </c>
      <c r="I293" s="11" t="str">
        <f>IF($A293="","",_xlfn.LET(_xlpm.t,MATCH($B293,'[1]Territory Definitions'!$B$5:$B$14,0),IF(ISNA(_xlpm.t),"NO TERRITORY",IF(INDEX('[1]Territory Definitions'!$D$5:$M$14,_xlpm.t,MATCH(I$4,'[1]Territory Definitions'!$D$4:$M$4,0))&lt;&gt;1,"NOT IN TERRITORY",IF(COUNTIFS('[1]Blackout Brand Fam Areas (Enc)'!$B$6:$B$998,$A293,'[1]Blackout Brand Fam Areas (Enc)'!$C$6:$C$998,I$4,'[1]Blackout Brand Fam Areas (Enc)'!$D$6:$D$998,"Inactive")&gt;0,"BLOCKED","CAN SELL")))))</f>
        <v>CAN SELL</v>
      </c>
      <c r="J293" s="11" t="str">
        <f>IF($A293="","",_xlfn.LET(_xlpm.t,MATCH($B293,'[1]Territory Definitions'!$B$5:$B$14,0),IF(ISNA(_xlpm.t),"NO TERRITORY",IF(INDEX('[1]Territory Definitions'!$D$5:$M$14,_xlpm.t,MATCH(J$4,'[1]Territory Definitions'!$D$4:$M$4,0))&lt;&gt;1,"NOT IN TERRITORY",IF(COUNTIFS('[1]Blackout Brand Fam Areas (Enc)'!$B$6:$B$998,$A293,'[1]Blackout Brand Fam Areas (Enc)'!$C$6:$C$998,J$4,'[1]Blackout Brand Fam Areas (Enc)'!$D$6:$D$998,"Inactive")&gt;0,"BLOCKED","CAN SELL")))))</f>
        <v>CAN SELL</v>
      </c>
      <c r="K293" s="11" t="str">
        <f>IF($A293="","",_xlfn.LET(_xlpm.t,MATCH($B293,'[1]Territory Definitions'!$B$5:$B$14,0),IF(ISNA(_xlpm.t),"NO TERRITORY",IF(INDEX('[1]Territory Definitions'!$D$5:$M$14,_xlpm.t,MATCH(K$4,'[1]Territory Definitions'!$D$4:$M$4,0))&lt;&gt;1,"NOT IN TERRITORY",IF(COUNTIFS('[1]Blackout Brand Fam Areas (Enc)'!$B$6:$B$998,$A293,'[1]Blackout Brand Fam Areas (Enc)'!$C$6:$C$998,K$4,'[1]Blackout Brand Fam Areas (Enc)'!$D$6:$D$998,"Inactive")&gt;0,"BLOCKED","CAN SELL")))))</f>
        <v>CAN SELL</v>
      </c>
      <c r="L293" s="11" t="str">
        <f>IF($A293="","",_xlfn.LET(_xlpm.t,MATCH($B293,'[1]Territory Definitions'!$B$5:$B$14,0),IF(ISNA(_xlpm.t),"NO TERRITORY",IF(INDEX('[1]Territory Definitions'!$D$5:$M$14,_xlpm.t,MATCH(L$4,'[1]Territory Definitions'!$D$4:$M$4,0))&lt;&gt;1,"NOT IN TERRITORY",IF(COUNTIFS('[1]Blackout Brand Fam Areas (Enc)'!$B$6:$B$998,$A293,'[1]Blackout Brand Fam Areas (Enc)'!$C$6:$C$998,L$4,'[1]Blackout Brand Fam Areas (Enc)'!$D$6:$D$998,"Inactive")&gt;0,"BLOCKED","CAN SELL")))))</f>
        <v>CAN SELL</v>
      </c>
      <c r="M293" s="12">
        <f>IF($A293="","",COUNTIF($C293:$L293,"CAN SELL"))</f>
        <v>10</v>
      </c>
      <c r="N293" s="13" cm="1">
        <f t="array" ref="N293">IF($A293="","",SUMPRODUCT(($C293:$L293="CAN SELL")*$C$3:$L$3))</f>
        <v>2306</v>
      </c>
      <c r="O293" s="14" t="str">
        <f>IF($A293="","",IF(COUNTIF($A$5:$A$299,$A293)&gt;1,"DUPLICATE - two different territories assigned",IF($B293="** NO TERRITORY SET **","No territory on Brand Family Territory (Enc)","")))</f>
        <v/>
      </c>
      <c r="P293" s="18" t="str">
        <f>IF($A293="","",IFERROR(INDEX([1]Products!$H$4:$H$4801,MATCH($A293,[1]Products!$G$4:$G$4801,0)),"(no products)"))</f>
        <v>Point Brewing</v>
      </c>
      <c r="Q293" s="19">
        <f>IF($A293="","",COUNTIFS([1]Products!$G$4:$G$4801,$A293,[1]Products!$L$4:$L$4801,"Yes"))</f>
        <v>3</v>
      </c>
      <c r="R293" s="19">
        <f>IF($A293="","",COUNTIFS([1]Products!$G$4:$G$4801,$A293,[1]Products!$L$4:$L$4801,"Yes",[1]Products!$K$4:$K$4801,"Draft"))</f>
        <v>2</v>
      </c>
      <c r="S293" s="19">
        <f>IF($A293="","",COUNTIFS([1]Products!$G$4:$G$4801,$A293,[1]Products!$L$4:$L$4801,"Yes",[1]Products!$K$4:$K$4801,"Package"))</f>
        <v>1</v>
      </c>
      <c r="T293" s="20" t="str" cm="1">
        <f t="array" ref="T293">IF($A293="","",_xlfn.IFS($Q293=0,"NO ACTIVE SKUs",AND($R293&gt;0,$S293&gt;0),"Draft &amp; Package",$R293&gt;0,"Draft only",TRUE,"Package only"))</f>
        <v>Draft &amp; Package</v>
      </c>
    </row>
    <row r="294" spans="1:20" x14ac:dyDescent="0.2">
      <c r="A294" s="9" t="str">
        <v>Woodchuck</v>
      </c>
      <c r="B294" s="10" t="str">
        <f>IF($A294="","",_xlfn.XLOOKUP($A294,'[1]Brand Family Territory (Enc)'!$A:$A,'[1]Brand Family Territory (Enc)'!$B:$B,"** NO TERRITORY SET **"))</f>
        <v>All Counties</v>
      </c>
      <c r="C294" s="11" t="str">
        <f>IF($A294="","",_xlfn.LET(_xlpm.t,MATCH($B294,'[1]Territory Definitions'!$B$5:$B$14,0),IF(ISNA(_xlpm.t),"NO TERRITORY",IF(INDEX('[1]Territory Definitions'!$D$5:$M$14,_xlpm.t,MATCH(C$4,'[1]Territory Definitions'!$D$4:$M$4,0))&lt;&gt;1,"NOT IN TERRITORY",IF(COUNTIFS('[1]Blackout Brand Fam Areas (Enc)'!$B$6:$B$998,$A294,'[1]Blackout Brand Fam Areas (Enc)'!$C$6:$C$998,C$4,'[1]Blackout Brand Fam Areas (Enc)'!$D$6:$D$998,"Inactive")&gt;0,"BLOCKED","CAN SELL")))))</f>
        <v>CAN SELL</v>
      </c>
      <c r="D294" s="11" t="str">
        <f>IF($A294="","",_xlfn.LET(_xlpm.t,MATCH($B294,'[1]Territory Definitions'!$B$5:$B$14,0),IF(ISNA(_xlpm.t),"NO TERRITORY",IF(INDEX('[1]Territory Definitions'!$D$5:$M$14,_xlpm.t,MATCH(D$4,'[1]Territory Definitions'!$D$4:$M$4,0))&lt;&gt;1,"NOT IN TERRITORY",IF(COUNTIFS('[1]Blackout Brand Fam Areas (Enc)'!$B$6:$B$998,$A294,'[1]Blackout Brand Fam Areas (Enc)'!$C$6:$C$998,D$4,'[1]Blackout Brand Fam Areas (Enc)'!$D$6:$D$998,"Inactive")&gt;0,"BLOCKED","CAN SELL")))))</f>
        <v>CAN SELL</v>
      </c>
      <c r="E294" s="11" t="str">
        <f>IF($A294="","",_xlfn.LET(_xlpm.t,MATCH($B294,'[1]Territory Definitions'!$B$5:$B$14,0),IF(ISNA(_xlpm.t),"NO TERRITORY",IF(INDEX('[1]Territory Definitions'!$D$5:$M$14,_xlpm.t,MATCH(E$4,'[1]Territory Definitions'!$D$4:$M$4,0))&lt;&gt;1,"NOT IN TERRITORY",IF(COUNTIFS('[1]Blackout Brand Fam Areas (Enc)'!$B$6:$B$998,$A294,'[1]Blackout Brand Fam Areas (Enc)'!$C$6:$C$998,E$4,'[1]Blackout Brand Fam Areas (Enc)'!$D$6:$D$998,"Inactive")&gt;0,"BLOCKED","CAN SELL")))))</f>
        <v>CAN SELL</v>
      </c>
      <c r="F294" s="11" t="str">
        <f>IF($A294="","",_xlfn.LET(_xlpm.t,MATCH($B294,'[1]Territory Definitions'!$B$5:$B$14,0),IF(ISNA(_xlpm.t),"NO TERRITORY",IF(INDEX('[1]Territory Definitions'!$D$5:$M$14,_xlpm.t,MATCH(F$4,'[1]Territory Definitions'!$D$4:$M$4,0))&lt;&gt;1,"NOT IN TERRITORY",IF(COUNTIFS('[1]Blackout Brand Fam Areas (Enc)'!$B$6:$B$998,$A294,'[1]Blackout Brand Fam Areas (Enc)'!$C$6:$C$998,F$4,'[1]Blackout Brand Fam Areas (Enc)'!$D$6:$D$998,"Inactive")&gt;0,"BLOCKED","CAN SELL")))))</f>
        <v>CAN SELL</v>
      </c>
      <c r="G294" s="11" t="str">
        <f>IF($A294="","",_xlfn.LET(_xlpm.t,MATCH($B294,'[1]Territory Definitions'!$B$5:$B$14,0),IF(ISNA(_xlpm.t),"NO TERRITORY",IF(INDEX('[1]Territory Definitions'!$D$5:$M$14,_xlpm.t,MATCH(G$4,'[1]Territory Definitions'!$D$4:$M$4,0))&lt;&gt;1,"NOT IN TERRITORY",IF(COUNTIFS('[1]Blackout Brand Fam Areas (Enc)'!$B$6:$B$998,$A294,'[1]Blackout Brand Fam Areas (Enc)'!$C$6:$C$998,G$4,'[1]Blackout Brand Fam Areas (Enc)'!$D$6:$D$998,"Inactive")&gt;0,"BLOCKED","CAN SELL")))))</f>
        <v>CAN SELL</v>
      </c>
      <c r="H294" s="11" t="str">
        <f>IF($A294="","",_xlfn.LET(_xlpm.t,MATCH($B294,'[1]Territory Definitions'!$B$5:$B$14,0),IF(ISNA(_xlpm.t),"NO TERRITORY",IF(INDEX('[1]Territory Definitions'!$D$5:$M$14,_xlpm.t,MATCH(H$4,'[1]Territory Definitions'!$D$4:$M$4,0))&lt;&gt;1,"NOT IN TERRITORY",IF(COUNTIFS('[1]Blackout Brand Fam Areas (Enc)'!$B$6:$B$998,$A294,'[1]Blackout Brand Fam Areas (Enc)'!$C$6:$C$998,H$4,'[1]Blackout Brand Fam Areas (Enc)'!$D$6:$D$998,"Inactive")&gt;0,"BLOCKED","CAN SELL")))))</f>
        <v>CAN SELL</v>
      </c>
      <c r="I294" s="11" t="str">
        <f>IF($A294="","",_xlfn.LET(_xlpm.t,MATCH($B294,'[1]Territory Definitions'!$B$5:$B$14,0),IF(ISNA(_xlpm.t),"NO TERRITORY",IF(INDEX('[1]Territory Definitions'!$D$5:$M$14,_xlpm.t,MATCH(I$4,'[1]Territory Definitions'!$D$4:$M$4,0))&lt;&gt;1,"NOT IN TERRITORY",IF(COUNTIFS('[1]Blackout Brand Fam Areas (Enc)'!$B$6:$B$998,$A294,'[1]Blackout Brand Fam Areas (Enc)'!$C$6:$C$998,I$4,'[1]Blackout Brand Fam Areas (Enc)'!$D$6:$D$998,"Inactive")&gt;0,"BLOCKED","CAN SELL")))))</f>
        <v>CAN SELL</v>
      </c>
      <c r="J294" s="11" t="str">
        <f>IF($A294="","",_xlfn.LET(_xlpm.t,MATCH($B294,'[1]Territory Definitions'!$B$5:$B$14,0),IF(ISNA(_xlpm.t),"NO TERRITORY",IF(INDEX('[1]Territory Definitions'!$D$5:$M$14,_xlpm.t,MATCH(J$4,'[1]Territory Definitions'!$D$4:$M$4,0))&lt;&gt;1,"NOT IN TERRITORY",IF(COUNTIFS('[1]Blackout Brand Fam Areas (Enc)'!$B$6:$B$998,$A294,'[1]Blackout Brand Fam Areas (Enc)'!$C$6:$C$998,J$4,'[1]Blackout Brand Fam Areas (Enc)'!$D$6:$D$998,"Inactive")&gt;0,"BLOCKED","CAN SELL")))))</f>
        <v>CAN SELL</v>
      </c>
      <c r="K294" s="11" t="str">
        <f>IF($A294="","",_xlfn.LET(_xlpm.t,MATCH($B294,'[1]Territory Definitions'!$B$5:$B$14,0),IF(ISNA(_xlpm.t),"NO TERRITORY",IF(INDEX('[1]Territory Definitions'!$D$5:$M$14,_xlpm.t,MATCH(K$4,'[1]Territory Definitions'!$D$4:$M$4,0))&lt;&gt;1,"NOT IN TERRITORY",IF(COUNTIFS('[1]Blackout Brand Fam Areas (Enc)'!$B$6:$B$998,$A294,'[1]Blackout Brand Fam Areas (Enc)'!$C$6:$C$998,K$4,'[1]Blackout Brand Fam Areas (Enc)'!$D$6:$D$998,"Inactive")&gt;0,"BLOCKED","CAN SELL")))))</f>
        <v>CAN SELL</v>
      </c>
      <c r="L294" s="11" t="str">
        <f>IF($A294="","",_xlfn.LET(_xlpm.t,MATCH($B294,'[1]Territory Definitions'!$B$5:$B$14,0),IF(ISNA(_xlpm.t),"NO TERRITORY",IF(INDEX('[1]Territory Definitions'!$D$5:$M$14,_xlpm.t,MATCH(L$4,'[1]Territory Definitions'!$D$4:$M$4,0))&lt;&gt;1,"NOT IN TERRITORY",IF(COUNTIFS('[1]Blackout Brand Fam Areas (Enc)'!$B$6:$B$998,$A294,'[1]Blackout Brand Fam Areas (Enc)'!$C$6:$C$998,L$4,'[1]Blackout Brand Fam Areas (Enc)'!$D$6:$D$998,"Inactive")&gt;0,"BLOCKED","CAN SELL")))))</f>
        <v>CAN SELL</v>
      </c>
      <c r="M294" s="12">
        <f>IF($A294="","",COUNTIF($C294:$L294,"CAN SELL"))</f>
        <v>10</v>
      </c>
      <c r="N294" s="13" cm="1">
        <f t="array" ref="N294">IF($A294="","",SUMPRODUCT(($C294:$L294="CAN SELL")*$C$3:$L$3))</f>
        <v>2306</v>
      </c>
      <c r="O294" s="14" t="str">
        <f>IF($A294="","",IF(COUNTIF($A$5:$A$299,$A294)&gt;1,"DUPLICATE - two different territories assigned",IF($B294="** NO TERRITORY SET **","No territory on Brand Family Territory (Enc)","")))</f>
        <v/>
      </c>
      <c r="P294" s="18" t="str">
        <f>IF($A294="","",IFERROR(INDEX([1]Products!$H$4:$H$4801,MATCH($A294,[1]Products!$G$4:$G$4801,0)),"(no products)"))</f>
        <v>Vermont Hard Cider</v>
      </c>
      <c r="Q294" s="19">
        <f>IF($A294="","",COUNTIFS([1]Products!$G$4:$G$4801,$A294,[1]Products!$L$4:$L$4801,"Yes"))</f>
        <v>17</v>
      </c>
      <c r="R294" s="19">
        <f>IF($A294="","",COUNTIFS([1]Products!$G$4:$G$4801,$A294,[1]Products!$L$4:$L$4801,"Yes",[1]Products!$K$4:$K$4801,"Draft"))</f>
        <v>3</v>
      </c>
      <c r="S294" s="19">
        <f>IF($A294="","",COUNTIFS([1]Products!$G$4:$G$4801,$A294,[1]Products!$L$4:$L$4801,"Yes",[1]Products!$K$4:$K$4801,"Package"))</f>
        <v>14</v>
      </c>
      <c r="T294" s="20" t="str" cm="1">
        <f t="array" ref="T294">IF($A294="","",_xlfn.IFS($Q294=0,"NO ACTIVE SKUs",AND($R294&gt;0,$S294&gt;0),"Draft &amp; Package",$R294&gt;0,"Draft only",TRUE,"Package only"))</f>
        <v>Draft &amp; Package</v>
      </c>
    </row>
    <row r="295" spans="1:20" x14ac:dyDescent="0.2">
      <c r="A295" s="9" t="str">
        <v>Yuengling Black &amp; Tan</v>
      </c>
      <c r="B295" s="10" t="str">
        <f>IF($A295="","",_xlfn.XLOOKUP($A295,'[1]Brand Family Territory (Enc)'!$A:$A,'[1]Brand Family Territory (Enc)'!$B:$B,"** NO TERRITORY SET **"))</f>
        <v>Core Market</v>
      </c>
      <c r="C295" s="11" t="str">
        <f>IF($A295="","",_xlfn.LET(_xlpm.t,MATCH($B295,'[1]Territory Definitions'!$B$5:$B$14,0),IF(ISNA(_xlpm.t),"NO TERRITORY",IF(INDEX('[1]Territory Definitions'!$D$5:$M$14,_xlpm.t,MATCH(C$4,'[1]Territory Definitions'!$D$4:$M$4,0))&lt;&gt;1,"NOT IN TERRITORY",IF(COUNTIFS('[1]Blackout Brand Fam Areas (Enc)'!$B$6:$B$998,$A295,'[1]Blackout Brand Fam Areas (Enc)'!$C$6:$C$998,C$4,'[1]Blackout Brand Fam Areas (Enc)'!$D$6:$D$998,"Inactive")&gt;0,"BLOCKED","CAN SELL")))))</f>
        <v>CAN SELL</v>
      </c>
      <c r="D295" s="11" t="str">
        <f>IF($A295="","",_xlfn.LET(_xlpm.t,MATCH($B295,'[1]Territory Definitions'!$B$5:$B$14,0),IF(ISNA(_xlpm.t),"NO TERRITORY",IF(INDEX('[1]Territory Definitions'!$D$5:$M$14,_xlpm.t,MATCH(D$4,'[1]Territory Definitions'!$D$4:$M$4,0))&lt;&gt;1,"NOT IN TERRITORY",IF(COUNTIFS('[1]Blackout Brand Fam Areas (Enc)'!$B$6:$B$998,$A295,'[1]Blackout Brand Fam Areas (Enc)'!$C$6:$C$998,D$4,'[1]Blackout Brand Fam Areas (Enc)'!$D$6:$D$998,"Inactive")&gt;0,"BLOCKED","CAN SELL")))))</f>
        <v>CAN SELL</v>
      </c>
      <c r="E295" s="11" t="str">
        <f>IF($A295="","",_xlfn.LET(_xlpm.t,MATCH($B295,'[1]Territory Definitions'!$B$5:$B$14,0),IF(ISNA(_xlpm.t),"NO TERRITORY",IF(INDEX('[1]Territory Definitions'!$D$5:$M$14,_xlpm.t,MATCH(E$4,'[1]Territory Definitions'!$D$4:$M$4,0))&lt;&gt;1,"NOT IN TERRITORY",IF(COUNTIFS('[1]Blackout Brand Fam Areas (Enc)'!$B$6:$B$998,$A295,'[1]Blackout Brand Fam Areas (Enc)'!$C$6:$C$998,E$4,'[1]Blackout Brand Fam Areas (Enc)'!$D$6:$D$998,"Inactive")&gt;0,"BLOCKED","CAN SELL")))))</f>
        <v>CAN SELL</v>
      </c>
      <c r="F295" s="11" t="str">
        <f>IF($A295="","",_xlfn.LET(_xlpm.t,MATCH($B295,'[1]Territory Definitions'!$B$5:$B$14,0),IF(ISNA(_xlpm.t),"NO TERRITORY",IF(INDEX('[1]Territory Definitions'!$D$5:$M$14,_xlpm.t,MATCH(F$4,'[1]Territory Definitions'!$D$4:$M$4,0))&lt;&gt;1,"NOT IN TERRITORY",IF(COUNTIFS('[1]Blackout Brand Fam Areas (Enc)'!$B$6:$B$998,$A295,'[1]Blackout Brand Fam Areas (Enc)'!$C$6:$C$998,F$4,'[1]Blackout Brand Fam Areas (Enc)'!$D$6:$D$998,"Inactive")&gt;0,"BLOCKED","CAN SELL")))))</f>
        <v>NOT IN TERRITORY</v>
      </c>
      <c r="G295" s="11" t="str">
        <f>IF($A295="","",_xlfn.LET(_xlpm.t,MATCH($B295,'[1]Territory Definitions'!$B$5:$B$14,0),IF(ISNA(_xlpm.t),"NO TERRITORY",IF(INDEX('[1]Territory Definitions'!$D$5:$M$14,_xlpm.t,MATCH(G$4,'[1]Territory Definitions'!$D$4:$M$4,0))&lt;&gt;1,"NOT IN TERRITORY",IF(COUNTIFS('[1]Blackout Brand Fam Areas (Enc)'!$B$6:$B$998,$A295,'[1]Blackout Brand Fam Areas (Enc)'!$C$6:$C$998,G$4,'[1]Blackout Brand Fam Areas (Enc)'!$D$6:$D$998,"Inactive")&gt;0,"BLOCKED","CAN SELL")))))</f>
        <v>NOT IN TERRITORY</v>
      </c>
      <c r="H295" s="11" t="str">
        <f>IF($A295="","",_xlfn.LET(_xlpm.t,MATCH($B295,'[1]Territory Definitions'!$B$5:$B$14,0),IF(ISNA(_xlpm.t),"NO TERRITORY",IF(INDEX('[1]Territory Definitions'!$D$5:$M$14,_xlpm.t,MATCH(H$4,'[1]Territory Definitions'!$D$4:$M$4,0))&lt;&gt;1,"NOT IN TERRITORY",IF(COUNTIFS('[1]Blackout Brand Fam Areas (Enc)'!$B$6:$B$998,$A295,'[1]Blackout Brand Fam Areas (Enc)'!$C$6:$C$998,H$4,'[1]Blackout Brand Fam Areas (Enc)'!$D$6:$D$998,"Inactive")&gt;0,"BLOCKED","CAN SELL")))))</f>
        <v>NOT IN TERRITORY</v>
      </c>
      <c r="I295" s="11" t="str">
        <f>IF($A295="","",_xlfn.LET(_xlpm.t,MATCH($B295,'[1]Territory Definitions'!$B$5:$B$14,0),IF(ISNA(_xlpm.t),"NO TERRITORY",IF(INDEX('[1]Territory Definitions'!$D$5:$M$14,_xlpm.t,MATCH(I$4,'[1]Territory Definitions'!$D$4:$M$4,0))&lt;&gt;1,"NOT IN TERRITORY",IF(COUNTIFS('[1]Blackout Brand Fam Areas (Enc)'!$B$6:$B$998,$A295,'[1]Blackout Brand Fam Areas (Enc)'!$C$6:$C$998,I$4,'[1]Blackout Brand Fam Areas (Enc)'!$D$6:$D$998,"Inactive")&gt;0,"BLOCKED","CAN SELL")))))</f>
        <v>CAN SELL</v>
      </c>
      <c r="J295" s="11" t="str">
        <f>IF($A295="","",_xlfn.LET(_xlpm.t,MATCH($B295,'[1]Territory Definitions'!$B$5:$B$14,0),IF(ISNA(_xlpm.t),"NO TERRITORY",IF(INDEX('[1]Territory Definitions'!$D$5:$M$14,_xlpm.t,MATCH(J$4,'[1]Territory Definitions'!$D$4:$M$4,0))&lt;&gt;1,"NOT IN TERRITORY",IF(COUNTIFS('[1]Blackout Brand Fam Areas (Enc)'!$B$6:$B$998,$A295,'[1]Blackout Brand Fam Areas (Enc)'!$C$6:$C$998,J$4,'[1]Blackout Brand Fam Areas (Enc)'!$D$6:$D$998,"Inactive")&gt;0,"BLOCKED","CAN SELL")))))</f>
        <v>CAN SELL</v>
      </c>
      <c r="K295" s="11" t="str">
        <f>IF($A295="","",_xlfn.LET(_xlpm.t,MATCH($B295,'[1]Territory Definitions'!$B$5:$B$14,0),IF(ISNA(_xlpm.t),"NO TERRITORY",IF(INDEX('[1]Territory Definitions'!$D$5:$M$14,_xlpm.t,MATCH(K$4,'[1]Territory Definitions'!$D$4:$M$4,0))&lt;&gt;1,"NOT IN TERRITORY",IF(COUNTIFS('[1]Blackout Brand Fam Areas (Enc)'!$B$6:$B$998,$A295,'[1]Blackout Brand Fam Areas (Enc)'!$C$6:$C$998,K$4,'[1]Blackout Brand Fam Areas (Enc)'!$D$6:$D$998,"Inactive")&gt;0,"BLOCKED","CAN SELL")))))</f>
        <v>NOT IN TERRITORY</v>
      </c>
      <c r="L295" s="11" t="str">
        <f>IF($A295="","",_xlfn.LET(_xlpm.t,MATCH($B295,'[1]Territory Definitions'!$B$5:$B$14,0),IF(ISNA(_xlpm.t),"NO TERRITORY",IF(INDEX('[1]Territory Definitions'!$D$5:$M$14,_xlpm.t,MATCH(L$4,'[1]Territory Definitions'!$D$4:$M$4,0))&lt;&gt;1,"NOT IN TERRITORY",IF(COUNTIFS('[1]Blackout Brand Fam Areas (Enc)'!$B$6:$B$998,$A295,'[1]Blackout Brand Fam Areas (Enc)'!$C$6:$C$998,L$4,'[1]Blackout Brand Fam Areas (Enc)'!$D$6:$D$998,"Inactive")&gt;0,"BLOCKED","CAN SELL")))))</f>
        <v>CAN SELL</v>
      </c>
      <c r="M295" s="12">
        <f>IF($A295="","",COUNTIF($C295:$L295,"CAN SELL"))</f>
        <v>6</v>
      </c>
      <c r="N295" s="13" cm="1">
        <f t="array" ref="N295">IF($A295="","",SUMPRODUCT(($C295:$L295="CAN SELL")*$C$3:$L$3))</f>
        <v>1596</v>
      </c>
      <c r="O295" s="14" t="str">
        <f>IF($A295="","",IF(COUNTIF($A$5:$A$299,$A295)&gt;1,"DUPLICATE - two different territories assigned",IF($B295="** NO TERRITORY SET **","No territory on Brand Family Territory (Enc)","")))</f>
        <v/>
      </c>
      <c r="P295" s="18" t="str">
        <f>IF($A295="","",IFERROR(INDEX([1]Products!$H$4:$H$4801,MATCH($A295,[1]Products!$G$4:$G$4801,0)),"(no products)"))</f>
        <v>DG Yuengling Inc</v>
      </c>
      <c r="Q295" s="19">
        <f>IF($A295="","",COUNTIFS([1]Products!$G$4:$G$4801,$A295,[1]Products!$L$4:$L$4801,"Yes"))</f>
        <v>4</v>
      </c>
      <c r="R295" s="19">
        <f>IF($A295="","",COUNTIFS([1]Products!$G$4:$G$4801,$A295,[1]Products!$L$4:$L$4801,"Yes",[1]Products!$K$4:$K$4801,"Draft"))</f>
        <v>1</v>
      </c>
      <c r="S295" s="19">
        <f>IF($A295="","",COUNTIFS([1]Products!$G$4:$G$4801,$A295,[1]Products!$L$4:$L$4801,"Yes",[1]Products!$K$4:$K$4801,"Package"))</f>
        <v>3</v>
      </c>
      <c r="T295" s="20" t="str" cm="1">
        <f t="array" ref="T295">IF($A295="","",_xlfn.IFS($Q295=0,"NO ACTIVE SKUs",AND($R295&gt;0,$S295&gt;0),"Draft &amp; Package",$R295&gt;0,"Draft only",TRUE,"Package only"))</f>
        <v>Draft &amp; Package</v>
      </c>
    </row>
    <row r="296" spans="1:20" x14ac:dyDescent="0.2">
      <c r="A296" s="9" t="str">
        <v>Yuengling Flight</v>
      </c>
      <c r="B296" s="10" t="str">
        <f>IF($A296="","",_xlfn.XLOOKUP($A296,'[1]Brand Family Territory (Enc)'!$A:$A,'[1]Brand Family Territory (Enc)'!$B:$B,"** NO TERRITORY SET **"))</f>
        <v>Core Market</v>
      </c>
      <c r="C296" s="11" t="str">
        <f>IF($A296="","",_xlfn.LET(_xlpm.t,MATCH($B296,'[1]Territory Definitions'!$B$5:$B$14,0),IF(ISNA(_xlpm.t),"NO TERRITORY",IF(INDEX('[1]Territory Definitions'!$D$5:$M$14,_xlpm.t,MATCH(C$4,'[1]Territory Definitions'!$D$4:$M$4,0))&lt;&gt;1,"NOT IN TERRITORY",IF(COUNTIFS('[1]Blackout Brand Fam Areas (Enc)'!$B$6:$B$998,$A296,'[1]Blackout Brand Fam Areas (Enc)'!$C$6:$C$998,C$4,'[1]Blackout Brand Fam Areas (Enc)'!$D$6:$D$998,"Inactive")&gt;0,"BLOCKED","CAN SELL")))))</f>
        <v>CAN SELL</v>
      </c>
      <c r="D296" s="11" t="str">
        <f>IF($A296="","",_xlfn.LET(_xlpm.t,MATCH($B296,'[1]Territory Definitions'!$B$5:$B$14,0),IF(ISNA(_xlpm.t),"NO TERRITORY",IF(INDEX('[1]Territory Definitions'!$D$5:$M$14,_xlpm.t,MATCH(D$4,'[1]Territory Definitions'!$D$4:$M$4,0))&lt;&gt;1,"NOT IN TERRITORY",IF(COUNTIFS('[1]Blackout Brand Fam Areas (Enc)'!$B$6:$B$998,$A296,'[1]Blackout Brand Fam Areas (Enc)'!$C$6:$C$998,D$4,'[1]Blackout Brand Fam Areas (Enc)'!$D$6:$D$998,"Inactive")&gt;0,"BLOCKED","CAN SELL")))))</f>
        <v>CAN SELL</v>
      </c>
      <c r="E296" s="11" t="str">
        <f>IF($A296="","",_xlfn.LET(_xlpm.t,MATCH($B296,'[1]Territory Definitions'!$B$5:$B$14,0),IF(ISNA(_xlpm.t),"NO TERRITORY",IF(INDEX('[1]Territory Definitions'!$D$5:$M$14,_xlpm.t,MATCH(E$4,'[1]Territory Definitions'!$D$4:$M$4,0))&lt;&gt;1,"NOT IN TERRITORY",IF(COUNTIFS('[1]Blackout Brand Fam Areas (Enc)'!$B$6:$B$998,$A296,'[1]Blackout Brand Fam Areas (Enc)'!$C$6:$C$998,E$4,'[1]Blackout Brand Fam Areas (Enc)'!$D$6:$D$998,"Inactive")&gt;0,"BLOCKED","CAN SELL")))))</f>
        <v>CAN SELL</v>
      </c>
      <c r="F296" s="11" t="str">
        <f>IF($A296="","",_xlfn.LET(_xlpm.t,MATCH($B296,'[1]Territory Definitions'!$B$5:$B$14,0),IF(ISNA(_xlpm.t),"NO TERRITORY",IF(INDEX('[1]Territory Definitions'!$D$5:$M$14,_xlpm.t,MATCH(F$4,'[1]Territory Definitions'!$D$4:$M$4,0))&lt;&gt;1,"NOT IN TERRITORY",IF(COUNTIFS('[1]Blackout Brand Fam Areas (Enc)'!$B$6:$B$998,$A296,'[1]Blackout Brand Fam Areas (Enc)'!$C$6:$C$998,F$4,'[1]Blackout Brand Fam Areas (Enc)'!$D$6:$D$998,"Inactive")&gt;0,"BLOCKED","CAN SELL")))))</f>
        <v>NOT IN TERRITORY</v>
      </c>
      <c r="G296" s="11" t="str">
        <f>IF($A296="","",_xlfn.LET(_xlpm.t,MATCH($B296,'[1]Territory Definitions'!$B$5:$B$14,0),IF(ISNA(_xlpm.t),"NO TERRITORY",IF(INDEX('[1]Territory Definitions'!$D$5:$M$14,_xlpm.t,MATCH(G$4,'[1]Territory Definitions'!$D$4:$M$4,0))&lt;&gt;1,"NOT IN TERRITORY",IF(COUNTIFS('[1]Blackout Brand Fam Areas (Enc)'!$B$6:$B$998,$A296,'[1]Blackout Brand Fam Areas (Enc)'!$C$6:$C$998,G$4,'[1]Blackout Brand Fam Areas (Enc)'!$D$6:$D$998,"Inactive")&gt;0,"BLOCKED","CAN SELL")))))</f>
        <v>NOT IN TERRITORY</v>
      </c>
      <c r="H296" s="11" t="str">
        <f>IF($A296="","",_xlfn.LET(_xlpm.t,MATCH($B296,'[1]Territory Definitions'!$B$5:$B$14,0),IF(ISNA(_xlpm.t),"NO TERRITORY",IF(INDEX('[1]Territory Definitions'!$D$5:$M$14,_xlpm.t,MATCH(H$4,'[1]Territory Definitions'!$D$4:$M$4,0))&lt;&gt;1,"NOT IN TERRITORY",IF(COUNTIFS('[1]Blackout Brand Fam Areas (Enc)'!$B$6:$B$998,$A296,'[1]Blackout Brand Fam Areas (Enc)'!$C$6:$C$998,H$4,'[1]Blackout Brand Fam Areas (Enc)'!$D$6:$D$998,"Inactive")&gt;0,"BLOCKED","CAN SELL")))))</f>
        <v>NOT IN TERRITORY</v>
      </c>
      <c r="I296" s="11" t="str">
        <f>IF($A296="","",_xlfn.LET(_xlpm.t,MATCH($B296,'[1]Territory Definitions'!$B$5:$B$14,0),IF(ISNA(_xlpm.t),"NO TERRITORY",IF(INDEX('[1]Territory Definitions'!$D$5:$M$14,_xlpm.t,MATCH(I$4,'[1]Territory Definitions'!$D$4:$M$4,0))&lt;&gt;1,"NOT IN TERRITORY",IF(COUNTIFS('[1]Blackout Brand Fam Areas (Enc)'!$B$6:$B$998,$A296,'[1]Blackout Brand Fam Areas (Enc)'!$C$6:$C$998,I$4,'[1]Blackout Brand Fam Areas (Enc)'!$D$6:$D$998,"Inactive")&gt;0,"BLOCKED","CAN SELL")))))</f>
        <v>CAN SELL</v>
      </c>
      <c r="J296" s="11" t="str">
        <f>IF($A296="","",_xlfn.LET(_xlpm.t,MATCH($B296,'[1]Territory Definitions'!$B$5:$B$14,0),IF(ISNA(_xlpm.t),"NO TERRITORY",IF(INDEX('[1]Territory Definitions'!$D$5:$M$14,_xlpm.t,MATCH(J$4,'[1]Territory Definitions'!$D$4:$M$4,0))&lt;&gt;1,"NOT IN TERRITORY",IF(COUNTIFS('[1]Blackout Brand Fam Areas (Enc)'!$B$6:$B$998,$A296,'[1]Blackout Brand Fam Areas (Enc)'!$C$6:$C$998,J$4,'[1]Blackout Brand Fam Areas (Enc)'!$D$6:$D$998,"Inactive")&gt;0,"BLOCKED","CAN SELL")))))</f>
        <v>CAN SELL</v>
      </c>
      <c r="K296" s="11" t="str">
        <f>IF($A296="","",_xlfn.LET(_xlpm.t,MATCH($B296,'[1]Territory Definitions'!$B$5:$B$14,0),IF(ISNA(_xlpm.t),"NO TERRITORY",IF(INDEX('[1]Territory Definitions'!$D$5:$M$14,_xlpm.t,MATCH(K$4,'[1]Territory Definitions'!$D$4:$M$4,0))&lt;&gt;1,"NOT IN TERRITORY",IF(COUNTIFS('[1]Blackout Brand Fam Areas (Enc)'!$B$6:$B$998,$A296,'[1]Blackout Brand Fam Areas (Enc)'!$C$6:$C$998,K$4,'[1]Blackout Brand Fam Areas (Enc)'!$D$6:$D$998,"Inactive")&gt;0,"BLOCKED","CAN SELL")))))</f>
        <v>NOT IN TERRITORY</v>
      </c>
      <c r="L296" s="11" t="str">
        <f>IF($A296="","",_xlfn.LET(_xlpm.t,MATCH($B296,'[1]Territory Definitions'!$B$5:$B$14,0),IF(ISNA(_xlpm.t),"NO TERRITORY",IF(INDEX('[1]Territory Definitions'!$D$5:$M$14,_xlpm.t,MATCH(L$4,'[1]Territory Definitions'!$D$4:$M$4,0))&lt;&gt;1,"NOT IN TERRITORY",IF(COUNTIFS('[1]Blackout Brand Fam Areas (Enc)'!$B$6:$B$998,$A296,'[1]Blackout Brand Fam Areas (Enc)'!$C$6:$C$998,L$4,'[1]Blackout Brand Fam Areas (Enc)'!$D$6:$D$998,"Inactive")&gt;0,"BLOCKED","CAN SELL")))))</f>
        <v>CAN SELL</v>
      </c>
      <c r="M296" s="12">
        <f>IF($A296="","",COUNTIF($C296:$L296,"CAN SELL"))</f>
        <v>6</v>
      </c>
      <c r="N296" s="13" cm="1">
        <f t="array" ref="N296">IF($A296="","",SUMPRODUCT(($C296:$L296="CAN SELL")*$C$3:$L$3))</f>
        <v>1596</v>
      </c>
      <c r="O296" s="14" t="str">
        <f>IF($A296="","",IF(COUNTIF($A$5:$A$299,$A296)&gt;1,"DUPLICATE - two different territories assigned",IF($B296="** NO TERRITORY SET **","No territory on Brand Family Territory (Enc)","")))</f>
        <v/>
      </c>
      <c r="P296" s="18" t="str">
        <f>IF($A296="","",IFERROR(INDEX([1]Products!$H$4:$H$4801,MATCH($A296,[1]Products!$G$4:$G$4801,0)),"(no products)"))</f>
        <v>DG Yuengling Inc</v>
      </c>
      <c r="Q296" s="19">
        <f>IF($A296="","",COUNTIFS([1]Products!$G$4:$G$4801,$A296,[1]Products!$L$4:$L$4801,"Yes"))</f>
        <v>7</v>
      </c>
      <c r="R296" s="19">
        <f>IF($A296="","",COUNTIFS([1]Products!$G$4:$G$4801,$A296,[1]Products!$L$4:$L$4801,"Yes",[1]Products!$K$4:$K$4801,"Draft"))</f>
        <v>2</v>
      </c>
      <c r="S296" s="19">
        <f>IF($A296="","",COUNTIFS([1]Products!$G$4:$G$4801,$A296,[1]Products!$L$4:$L$4801,"Yes",[1]Products!$K$4:$K$4801,"Package"))</f>
        <v>5</v>
      </c>
      <c r="T296" s="20" t="str" cm="1">
        <f t="array" ref="T296">IF($A296="","",_xlfn.IFS($Q296=0,"NO ACTIVE SKUs",AND($R296&gt;0,$S296&gt;0),"Draft &amp; Package",$R296&gt;0,"Draft only",TRUE,"Package only"))</f>
        <v>Draft &amp; Package</v>
      </c>
    </row>
    <row r="297" spans="1:20" x14ac:dyDescent="0.2">
      <c r="A297" s="9" t="str">
        <v>Yuengling Golden Pilsner</v>
      </c>
      <c r="B297" s="10" t="str">
        <f>IF($A297="","",_xlfn.XLOOKUP($A297,'[1]Brand Family Territory (Enc)'!$A:$A,'[1]Brand Family Territory (Enc)'!$B:$B,"** NO TERRITORY SET **"))</f>
        <v>Core Market</v>
      </c>
      <c r="C297" s="11" t="str">
        <f>IF($A297="","",_xlfn.LET(_xlpm.t,MATCH($B297,'[1]Territory Definitions'!$B$5:$B$14,0),IF(ISNA(_xlpm.t),"NO TERRITORY",IF(INDEX('[1]Territory Definitions'!$D$5:$M$14,_xlpm.t,MATCH(C$4,'[1]Territory Definitions'!$D$4:$M$4,0))&lt;&gt;1,"NOT IN TERRITORY",IF(COUNTIFS('[1]Blackout Brand Fam Areas (Enc)'!$B$6:$B$998,$A297,'[1]Blackout Brand Fam Areas (Enc)'!$C$6:$C$998,C$4,'[1]Blackout Brand Fam Areas (Enc)'!$D$6:$D$998,"Inactive")&gt;0,"BLOCKED","CAN SELL")))))</f>
        <v>CAN SELL</v>
      </c>
      <c r="D297" s="11" t="str">
        <f>IF($A297="","",_xlfn.LET(_xlpm.t,MATCH($B297,'[1]Territory Definitions'!$B$5:$B$14,0),IF(ISNA(_xlpm.t),"NO TERRITORY",IF(INDEX('[1]Territory Definitions'!$D$5:$M$14,_xlpm.t,MATCH(D$4,'[1]Territory Definitions'!$D$4:$M$4,0))&lt;&gt;1,"NOT IN TERRITORY",IF(COUNTIFS('[1]Blackout Brand Fam Areas (Enc)'!$B$6:$B$998,$A297,'[1]Blackout Brand Fam Areas (Enc)'!$C$6:$C$998,D$4,'[1]Blackout Brand Fam Areas (Enc)'!$D$6:$D$998,"Inactive")&gt;0,"BLOCKED","CAN SELL")))))</f>
        <v>CAN SELL</v>
      </c>
      <c r="E297" s="11" t="str">
        <f>IF($A297="","",_xlfn.LET(_xlpm.t,MATCH($B297,'[1]Territory Definitions'!$B$5:$B$14,0),IF(ISNA(_xlpm.t),"NO TERRITORY",IF(INDEX('[1]Territory Definitions'!$D$5:$M$14,_xlpm.t,MATCH(E$4,'[1]Territory Definitions'!$D$4:$M$4,0))&lt;&gt;1,"NOT IN TERRITORY",IF(COUNTIFS('[1]Blackout Brand Fam Areas (Enc)'!$B$6:$B$998,$A297,'[1]Blackout Brand Fam Areas (Enc)'!$C$6:$C$998,E$4,'[1]Blackout Brand Fam Areas (Enc)'!$D$6:$D$998,"Inactive")&gt;0,"BLOCKED","CAN SELL")))))</f>
        <v>CAN SELL</v>
      </c>
      <c r="F297" s="11" t="str">
        <f>IF($A297="","",_xlfn.LET(_xlpm.t,MATCH($B297,'[1]Territory Definitions'!$B$5:$B$14,0),IF(ISNA(_xlpm.t),"NO TERRITORY",IF(INDEX('[1]Territory Definitions'!$D$5:$M$14,_xlpm.t,MATCH(F$4,'[1]Territory Definitions'!$D$4:$M$4,0))&lt;&gt;1,"NOT IN TERRITORY",IF(COUNTIFS('[1]Blackout Brand Fam Areas (Enc)'!$B$6:$B$998,$A297,'[1]Blackout Brand Fam Areas (Enc)'!$C$6:$C$998,F$4,'[1]Blackout Brand Fam Areas (Enc)'!$D$6:$D$998,"Inactive")&gt;0,"BLOCKED","CAN SELL")))))</f>
        <v>NOT IN TERRITORY</v>
      </c>
      <c r="G297" s="11" t="str">
        <f>IF($A297="","",_xlfn.LET(_xlpm.t,MATCH($B297,'[1]Territory Definitions'!$B$5:$B$14,0),IF(ISNA(_xlpm.t),"NO TERRITORY",IF(INDEX('[1]Territory Definitions'!$D$5:$M$14,_xlpm.t,MATCH(G$4,'[1]Territory Definitions'!$D$4:$M$4,0))&lt;&gt;1,"NOT IN TERRITORY",IF(COUNTIFS('[1]Blackout Brand Fam Areas (Enc)'!$B$6:$B$998,$A297,'[1]Blackout Brand Fam Areas (Enc)'!$C$6:$C$998,G$4,'[1]Blackout Brand Fam Areas (Enc)'!$D$6:$D$998,"Inactive")&gt;0,"BLOCKED","CAN SELL")))))</f>
        <v>NOT IN TERRITORY</v>
      </c>
      <c r="H297" s="11" t="str">
        <f>IF($A297="","",_xlfn.LET(_xlpm.t,MATCH($B297,'[1]Territory Definitions'!$B$5:$B$14,0),IF(ISNA(_xlpm.t),"NO TERRITORY",IF(INDEX('[1]Territory Definitions'!$D$5:$M$14,_xlpm.t,MATCH(H$4,'[1]Territory Definitions'!$D$4:$M$4,0))&lt;&gt;1,"NOT IN TERRITORY",IF(COUNTIFS('[1]Blackout Brand Fam Areas (Enc)'!$B$6:$B$998,$A297,'[1]Blackout Brand Fam Areas (Enc)'!$C$6:$C$998,H$4,'[1]Blackout Brand Fam Areas (Enc)'!$D$6:$D$998,"Inactive")&gt;0,"BLOCKED","CAN SELL")))))</f>
        <v>NOT IN TERRITORY</v>
      </c>
      <c r="I297" s="11" t="str">
        <f>IF($A297="","",_xlfn.LET(_xlpm.t,MATCH($B297,'[1]Territory Definitions'!$B$5:$B$14,0),IF(ISNA(_xlpm.t),"NO TERRITORY",IF(INDEX('[1]Territory Definitions'!$D$5:$M$14,_xlpm.t,MATCH(I$4,'[1]Territory Definitions'!$D$4:$M$4,0))&lt;&gt;1,"NOT IN TERRITORY",IF(COUNTIFS('[1]Blackout Brand Fam Areas (Enc)'!$B$6:$B$998,$A297,'[1]Blackout Brand Fam Areas (Enc)'!$C$6:$C$998,I$4,'[1]Blackout Brand Fam Areas (Enc)'!$D$6:$D$998,"Inactive")&gt;0,"BLOCKED","CAN SELL")))))</f>
        <v>CAN SELL</v>
      </c>
      <c r="J297" s="11" t="str">
        <f>IF($A297="","",_xlfn.LET(_xlpm.t,MATCH($B297,'[1]Territory Definitions'!$B$5:$B$14,0),IF(ISNA(_xlpm.t),"NO TERRITORY",IF(INDEX('[1]Territory Definitions'!$D$5:$M$14,_xlpm.t,MATCH(J$4,'[1]Territory Definitions'!$D$4:$M$4,0))&lt;&gt;1,"NOT IN TERRITORY",IF(COUNTIFS('[1]Blackout Brand Fam Areas (Enc)'!$B$6:$B$998,$A297,'[1]Blackout Brand Fam Areas (Enc)'!$C$6:$C$998,J$4,'[1]Blackout Brand Fam Areas (Enc)'!$D$6:$D$998,"Inactive")&gt;0,"BLOCKED","CAN SELL")))))</f>
        <v>CAN SELL</v>
      </c>
      <c r="K297" s="11" t="str">
        <f>IF($A297="","",_xlfn.LET(_xlpm.t,MATCH($B297,'[1]Territory Definitions'!$B$5:$B$14,0),IF(ISNA(_xlpm.t),"NO TERRITORY",IF(INDEX('[1]Territory Definitions'!$D$5:$M$14,_xlpm.t,MATCH(K$4,'[1]Territory Definitions'!$D$4:$M$4,0))&lt;&gt;1,"NOT IN TERRITORY",IF(COUNTIFS('[1]Blackout Brand Fam Areas (Enc)'!$B$6:$B$998,$A297,'[1]Blackout Brand Fam Areas (Enc)'!$C$6:$C$998,K$4,'[1]Blackout Brand Fam Areas (Enc)'!$D$6:$D$998,"Inactive")&gt;0,"BLOCKED","CAN SELL")))))</f>
        <v>NOT IN TERRITORY</v>
      </c>
      <c r="L297" s="11" t="str">
        <f>IF($A297="","",_xlfn.LET(_xlpm.t,MATCH($B297,'[1]Territory Definitions'!$B$5:$B$14,0),IF(ISNA(_xlpm.t),"NO TERRITORY",IF(INDEX('[1]Territory Definitions'!$D$5:$M$14,_xlpm.t,MATCH(L$4,'[1]Territory Definitions'!$D$4:$M$4,0))&lt;&gt;1,"NOT IN TERRITORY",IF(COUNTIFS('[1]Blackout Brand Fam Areas (Enc)'!$B$6:$B$998,$A297,'[1]Blackout Brand Fam Areas (Enc)'!$C$6:$C$998,L$4,'[1]Blackout Brand Fam Areas (Enc)'!$D$6:$D$998,"Inactive")&gt;0,"BLOCKED","CAN SELL")))))</f>
        <v>CAN SELL</v>
      </c>
      <c r="M297" s="12">
        <f>IF($A297="","",COUNTIF($C297:$L297,"CAN SELL"))</f>
        <v>6</v>
      </c>
      <c r="N297" s="13" cm="1">
        <f t="array" ref="N297">IF($A297="","",SUMPRODUCT(($C297:$L297="CAN SELL")*$C$3:$L$3))</f>
        <v>1596</v>
      </c>
      <c r="O297" s="14" t="str">
        <f>IF($A297="","",IF(COUNTIF($A$5:$A$299,$A297)&gt;1,"DUPLICATE - two different territories assigned",IF($B297="** NO TERRITORY SET **","No territory on Brand Family Territory (Enc)","")))</f>
        <v/>
      </c>
      <c r="P297" s="18" t="str">
        <f>IF($A297="","",IFERROR(INDEX([1]Products!$H$4:$H$4801,MATCH($A297,[1]Products!$G$4:$G$4801,0)),"(no products)"))</f>
        <v>DG Yuengling Inc</v>
      </c>
      <c r="Q297" s="19">
        <f>IF($A297="","",COUNTIFS([1]Products!$G$4:$G$4801,$A297,[1]Products!$L$4:$L$4801,"Yes"))</f>
        <v>3</v>
      </c>
      <c r="R297" s="19">
        <f>IF($A297="","",COUNTIFS([1]Products!$G$4:$G$4801,$A297,[1]Products!$L$4:$L$4801,"Yes",[1]Products!$K$4:$K$4801,"Draft"))</f>
        <v>0</v>
      </c>
      <c r="S297" s="19">
        <f>IF($A297="","",COUNTIFS([1]Products!$G$4:$G$4801,$A297,[1]Products!$L$4:$L$4801,"Yes",[1]Products!$K$4:$K$4801,"Package"))</f>
        <v>3</v>
      </c>
      <c r="T297" s="20" t="str" cm="1">
        <f t="array" ref="T297">IF($A297="","",_xlfn.IFS($Q297=0,"NO ACTIVE SKUs",AND($R297&gt;0,$S297&gt;0),"Draft &amp; Package",$R297&gt;0,"Draft only",TRUE,"Package only"))</f>
        <v>Package only</v>
      </c>
    </row>
    <row r="298" spans="1:20" x14ac:dyDescent="0.2">
      <c r="A298" s="9" t="str">
        <v>Yuengling Lager</v>
      </c>
      <c r="B298" s="10" t="str">
        <f>IF($A298="","",_xlfn.XLOOKUP($A298,'[1]Brand Family Territory (Enc)'!$A:$A,'[1]Brand Family Territory (Enc)'!$B:$B,"** NO TERRITORY SET **"))</f>
        <v>Core Market</v>
      </c>
      <c r="C298" s="11" t="str">
        <f>IF($A298="","",_xlfn.LET(_xlpm.t,MATCH($B298,'[1]Territory Definitions'!$B$5:$B$14,0),IF(ISNA(_xlpm.t),"NO TERRITORY",IF(INDEX('[1]Territory Definitions'!$D$5:$M$14,_xlpm.t,MATCH(C$4,'[1]Territory Definitions'!$D$4:$M$4,0))&lt;&gt;1,"NOT IN TERRITORY",IF(COUNTIFS('[1]Blackout Brand Fam Areas (Enc)'!$B$6:$B$998,$A298,'[1]Blackout Brand Fam Areas (Enc)'!$C$6:$C$998,C$4,'[1]Blackout Brand Fam Areas (Enc)'!$D$6:$D$998,"Inactive")&gt;0,"BLOCKED","CAN SELL")))))</f>
        <v>CAN SELL</v>
      </c>
      <c r="D298" s="11" t="str">
        <f>IF($A298="","",_xlfn.LET(_xlpm.t,MATCH($B298,'[1]Territory Definitions'!$B$5:$B$14,0),IF(ISNA(_xlpm.t),"NO TERRITORY",IF(INDEX('[1]Territory Definitions'!$D$5:$M$14,_xlpm.t,MATCH(D$4,'[1]Territory Definitions'!$D$4:$M$4,0))&lt;&gt;1,"NOT IN TERRITORY",IF(COUNTIFS('[1]Blackout Brand Fam Areas (Enc)'!$B$6:$B$998,$A298,'[1]Blackout Brand Fam Areas (Enc)'!$C$6:$C$998,D$4,'[1]Blackout Brand Fam Areas (Enc)'!$D$6:$D$998,"Inactive")&gt;0,"BLOCKED","CAN SELL")))))</f>
        <v>CAN SELL</v>
      </c>
      <c r="E298" s="11" t="str">
        <f>IF($A298="","",_xlfn.LET(_xlpm.t,MATCH($B298,'[1]Territory Definitions'!$B$5:$B$14,0),IF(ISNA(_xlpm.t),"NO TERRITORY",IF(INDEX('[1]Territory Definitions'!$D$5:$M$14,_xlpm.t,MATCH(E$4,'[1]Territory Definitions'!$D$4:$M$4,0))&lt;&gt;1,"NOT IN TERRITORY",IF(COUNTIFS('[1]Blackout Brand Fam Areas (Enc)'!$B$6:$B$998,$A298,'[1]Blackout Brand Fam Areas (Enc)'!$C$6:$C$998,E$4,'[1]Blackout Brand Fam Areas (Enc)'!$D$6:$D$998,"Inactive")&gt;0,"BLOCKED","CAN SELL")))))</f>
        <v>CAN SELL</v>
      </c>
      <c r="F298" s="11" t="str">
        <f>IF($A298="","",_xlfn.LET(_xlpm.t,MATCH($B298,'[1]Territory Definitions'!$B$5:$B$14,0),IF(ISNA(_xlpm.t),"NO TERRITORY",IF(INDEX('[1]Territory Definitions'!$D$5:$M$14,_xlpm.t,MATCH(F$4,'[1]Territory Definitions'!$D$4:$M$4,0))&lt;&gt;1,"NOT IN TERRITORY",IF(COUNTIFS('[1]Blackout Brand Fam Areas (Enc)'!$B$6:$B$998,$A298,'[1]Blackout Brand Fam Areas (Enc)'!$C$6:$C$998,F$4,'[1]Blackout Brand Fam Areas (Enc)'!$D$6:$D$998,"Inactive")&gt;0,"BLOCKED","CAN SELL")))))</f>
        <v>NOT IN TERRITORY</v>
      </c>
      <c r="G298" s="11" t="str">
        <f>IF($A298="","",_xlfn.LET(_xlpm.t,MATCH($B298,'[1]Territory Definitions'!$B$5:$B$14,0),IF(ISNA(_xlpm.t),"NO TERRITORY",IF(INDEX('[1]Territory Definitions'!$D$5:$M$14,_xlpm.t,MATCH(G$4,'[1]Territory Definitions'!$D$4:$M$4,0))&lt;&gt;1,"NOT IN TERRITORY",IF(COUNTIFS('[1]Blackout Brand Fam Areas (Enc)'!$B$6:$B$998,$A298,'[1]Blackout Brand Fam Areas (Enc)'!$C$6:$C$998,G$4,'[1]Blackout Brand Fam Areas (Enc)'!$D$6:$D$998,"Inactive")&gt;0,"BLOCKED","CAN SELL")))))</f>
        <v>NOT IN TERRITORY</v>
      </c>
      <c r="H298" s="11" t="str">
        <f>IF($A298="","",_xlfn.LET(_xlpm.t,MATCH($B298,'[1]Territory Definitions'!$B$5:$B$14,0),IF(ISNA(_xlpm.t),"NO TERRITORY",IF(INDEX('[1]Territory Definitions'!$D$5:$M$14,_xlpm.t,MATCH(H$4,'[1]Territory Definitions'!$D$4:$M$4,0))&lt;&gt;1,"NOT IN TERRITORY",IF(COUNTIFS('[1]Blackout Brand Fam Areas (Enc)'!$B$6:$B$998,$A298,'[1]Blackout Brand Fam Areas (Enc)'!$C$6:$C$998,H$4,'[1]Blackout Brand Fam Areas (Enc)'!$D$6:$D$998,"Inactive")&gt;0,"BLOCKED","CAN SELL")))))</f>
        <v>NOT IN TERRITORY</v>
      </c>
      <c r="I298" s="11" t="str">
        <f>IF($A298="","",_xlfn.LET(_xlpm.t,MATCH($B298,'[1]Territory Definitions'!$B$5:$B$14,0),IF(ISNA(_xlpm.t),"NO TERRITORY",IF(INDEX('[1]Territory Definitions'!$D$5:$M$14,_xlpm.t,MATCH(I$4,'[1]Territory Definitions'!$D$4:$M$4,0))&lt;&gt;1,"NOT IN TERRITORY",IF(COUNTIFS('[1]Blackout Brand Fam Areas (Enc)'!$B$6:$B$998,$A298,'[1]Blackout Brand Fam Areas (Enc)'!$C$6:$C$998,I$4,'[1]Blackout Brand Fam Areas (Enc)'!$D$6:$D$998,"Inactive")&gt;0,"BLOCKED","CAN SELL")))))</f>
        <v>CAN SELL</v>
      </c>
      <c r="J298" s="11" t="str">
        <f>IF($A298="","",_xlfn.LET(_xlpm.t,MATCH($B298,'[1]Territory Definitions'!$B$5:$B$14,0),IF(ISNA(_xlpm.t),"NO TERRITORY",IF(INDEX('[1]Territory Definitions'!$D$5:$M$14,_xlpm.t,MATCH(J$4,'[1]Territory Definitions'!$D$4:$M$4,0))&lt;&gt;1,"NOT IN TERRITORY",IF(COUNTIFS('[1]Blackout Brand Fam Areas (Enc)'!$B$6:$B$998,$A298,'[1]Blackout Brand Fam Areas (Enc)'!$C$6:$C$998,J$4,'[1]Blackout Brand Fam Areas (Enc)'!$D$6:$D$998,"Inactive")&gt;0,"BLOCKED","CAN SELL")))))</f>
        <v>CAN SELL</v>
      </c>
      <c r="K298" s="11" t="str">
        <f>IF($A298="","",_xlfn.LET(_xlpm.t,MATCH($B298,'[1]Territory Definitions'!$B$5:$B$14,0),IF(ISNA(_xlpm.t),"NO TERRITORY",IF(INDEX('[1]Territory Definitions'!$D$5:$M$14,_xlpm.t,MATCH(K$4,'[1]Territory Definitions'!$D$4:$M$4,0))&lt;&gt;1,"NOT IN TERRITORY",IF(COUNTIFS('[1]Blackout Brand Fam Areas (Enc)'!$B$6:$B$998,$A298,'[1]Blackout Brand Fam Areas (Enc)'!$C$6:$C$998,K$4,'[1]Blackout Brand Fam Areas (Enc)'!$D$6:$D$998,"Inactive")&gt;0,"BLOCKED","CAN SELL")))))</f>
        <v>NOT IN TERRITORY</v>
      </c>
      <c r="L298" s="11" t="str">
        <f>IF($A298="","",_xlfn.LET(_xlpm.t,MATCH($B298,'[1]Territory Definitions'!$B$5:$B$14,0),IF(ISNA(_xlpm.t),"NO TERRITORY",IF(INDEX('[1]Territory Definitions'!$D$5:$M$14,_xlpm.t,MATCH(L$4,'[1]Territory Definitions'!$D$4:$M$4,0))&lt;&gt;1,"NOT IN TERRITORY",IF(COUNTIFS('[1]Blackout Brand Fam Areas (Enc)'!$B$6:$B$998,$A298,'[1]Blackout Brand Fam Areas (Enc)'!$C$6:$C$998,L$4,'[1]Blackout Brand Fam Areas (Enc)'!$D$6:$D$998,"Inactive")&gt;0,"BLOCKED","CAN SELL")))))</f>
        <v>CAN SELL</v>
      </c>
      <c r="M298" s="12">
        <f>IF($A298="","",COUNTIF($C298:$L298,"CAN SELL"))</f>
        <v>6</v>
      </c>
      <c r="N298" s="13" cm="1">
        <f t="array" ref="N298">IF($A298="","",SUMPRODUCT(($C298:$L298="CAN SELL")*$C$3:$L$3))</f>
        <v>1596</v>
      </c>
      <c r="O298" s="14" t="str">
        <f>IF($A298="","",IF(COUNTIF($A$5:$A$299,$A298)&gt;1,"DUPLICATE - two different territories assigned",IF($B298="** NO TERRITORY SET **","No territory on Brand Family Territory (Enc)","")))</f>
        <v/>
      </c>
      <c r="P298" s="18" t="str">
        <f>IF($A298="","",IFERROR(INDEX([1]Products!$H$4:$H$4801,MATCH($A298,[1]Products!$G$4:$G$4801,0)),"(no products)"))</f>
        <v>DG Yuengling Inc</v>
      </c>
      <c r="Q298" s="19">
        <f>IF($A298="","",COUNTIFS([1]Products!$G$4:$G$4801,$A298,[1]Products!$L$4:$L$4801,"Yes"))</f>
        <v>11</v>
      </c>
      <c r="R298" s="19">
        <f>IF($A298="","",COUNTIFS([1]Products!$G$4:$G$4801,$A298,[1]Products!$L$4:$L$4801,"Yes",[1]Products!$K$4:$K$4801,"Draft"))</f>
        <v>2</v>
      </c>
      <c r="S298" s="19">
        <f>IF($A298="","",COUNTIFS([1]Products!$G$4:$G$4801,$A298,[1]Products!$L$4:$L$4801,"Yes",[1]Products!$K$4:$K$4801,"Package"))</f>
        <v>9</v>
      </c>
      <c r="T298" s="20" t="str" cm="1">
        <f t="array" ref="T298">IF($A298="","",_xlfn.IFS($Q298=0,"NO ACTIVE SKUs",AND($R298&gt;0,$S298&gt;0),"Draft &amp; Package",$R298&gt;0,"Draft only",TRUE,"Package only"))</f>
        <v>Draft &amp; Package</v>
      </c>
    </row>
    <row r="299" spans="1:20" x14ac:dyDescent="0.2">
      <c r="A299" s="9" t="str">
        <v>Yuengling Light Lager</v>
      </c>
      <c r="B299" s="10" t="str">
        <f>IF($A299="","",_xlfn.XLOOKUP($A299,'[1]Brand Family Territory (Enc)'!$A:$A,'[1]Brand Family Territory (Enc)'!$B:$B,"** NO TERRITORY SET **"))</f>
        <v>Core Market</v>
      </c>
      <c r="C299" s="11" t="str">
        <f>IF($A299="","",_xlfn.LET(_xlpm.t,MATCH($B299,'[1]Territory Definitions'!$B$5:$B$14,0),IF(ISNA(_xlpm.t),"NO TERRITORY",IF(INDEX('[1]Territory Definitions'!$D$5:$M$14,_xlpm.t,MATCH(C$4,'[1]Territory Definitions'!$D$4:$M$4,0))&lt;&gt;1,"NOT IN TERRITORY",IF(COUNTIFS('[1]Blackout Brand Fam Areas (Enc)'!$B$6:$B$998,$A299,'[1]Blackout Brand Fam Areas (Enc)'!$C$6:$C$998,C$4,'[1]Blackout Brand Fam Areas (Enc)'!$D$6:$D$998,"Inactive")&gt;0,"BLOCKED","CAN SELL")))))</f>
        <v>CAN SELL</v>
      </c>
      <c r="D299" s="11" t="str">
        <f>IF($A299="","",_xlfn.LET(_xlpm.t,MATCH($B299,'[1]Territory Definitions'!$B$5:$B$14,0),IF(ISNA(_xlpm.t),"NO TERRITORY",IF(INDEX('[1]Territory Definitions'!$D$5:$M$14,_xlpm.t,MATCH(D$4,'[1]Territory Definitions'!$D$4:$M$4,0))&lt;&gt;1,"NOT IN TERRITORY",IF(COUNTIFS('[1]Blackout Brand Fam Areas (Enc)'!$B$6:$B$998,$A299,'[1]Blackout Brand Fam Areas (Enc)'!$C$6:$C$998,D$4,'[1]Blackout Brand Fam Areas (Enc)'!$D$6:$D$998,"Inactive")&gt;0,"BLOCKED","CAN SELL")))))</f>
        <v>CAN SELL</v>
      </c>
      <c r="E299" s="11" t="str">
        <f>IF($A299="","",_xlfn.LET(_xlpm.t,MATCH($B299,'[1]Territory Definitions'!$B$5:$B$14,0),IF(ISNA(_xlpm.t),"NO TERRITORY",IF(INDEX('[1]Territory Definitions'!$D$5:$M$14,_xlpm.t,MATCH(E$4,'[1]Territory Definitions'!$D$4:$M$4,0))&lt;&gt;1,"NOT IN TERRITORY",IF(COUNTIFS('[1]Blackout Brand Fam Areas (Enc)'!$B$6:$B$998,$A299,'[1]Blackout Brand Fam Areas (Enc)'!$C$6:$C$998,E$4,'[1]Blackout Brand Fam Areas (Enc)'!$D$6:$D$998,"Inactive")&gt;0,"BLOCKED","CAN SELL")))))</f>
        <v>CAN SELL</v>
      </c>
      <c r="F299" s="11" t="str">
        <f>IF($A299="","",_xlfn.LET(_xlpm.t,MATCH($B299,'[1]Territory Definitions'!$B$5:$B$14,0),IF(ISNA(_xlpm.t),"NO TERRITORY",IF(INDEX('[1]Territory Definitions'!$D$5:$M$14,_xlpm.t,MATCH(F$4,'[1]Territory Definitions'!$D$4:$M$4,0))&lt;&gt;1,"NOT IN TERRITORY",IF(COUNTIFS('[1]Blackout Brand Fam Areas (Enc)'!$B$6:$B$998,$A299,'[1]Blackout Brand Fam Areas (Enc)'!$C$6:$C$998,F$4,'[1]Blackout Brand Fam Areas (Enc)'!$D$6:$D$998,"Inactive")&gt;0,"BLOCKED","CAN SELL")))))</f>
        <v>NOT IN TERRITORY</v>
      </c>
      <c r="G299" s="11" t="str">
        <f>IF($A299="","",_xlfn.LET(_xlpm.t,MATCH($B299,'[1]Territory Definitions'!$B$5:$B$14,0),IF(ISNA(_xlpm.t),"NO TERRITORY",IF(INDEX('[1]Territory Definitions'!$D$5:$M$14,_xlpm.t,MATCH(G$4,'[1]Territory Definitions'!$D$4:$M$4,0))&lt;&gt;1,"NOT IN TERRITORY",IF(COUNTIFS('[1]Blackout Brand Fam Areas (Enc)'!$B$6:$B$998,$A299,'[1]Blackout Brand Fam Areas (Enc)'!$C$6:$C$998,G$4,'[1]Blackout Brand Fam Areas (Enc)'!$D$6:$D$998,"Inactive")&gt;0,"BLOCKED","CAN SELL")))))</f>
        <v>NOT IN TERRITORY</v>
      </c>
      <c r="H299" s="11" t="str">
        <f>IF($A299="","",_xlfn.LET(_xlpm.t,MATCH($B299,'[1]Territory Definitions'!$B$5:$B$14,0),IF(ISNA(_xlpm.t),"NO TERRITORY",IF(INDEX('[1]Territory Definitions'!$D$5:$M$14,_xlpm.t,MATCH(H$4,'[1]Territory Definitions'!$D$4:$M$4,0))&lt;&gt;1,"NOT IN TERRITORY",IF(COUNTIFS('[1]Blackout Brand Fam Areas (Enc)'!$B$6:$B$998,$A299,'[1]Blackout Brand Fam Areas (Enc)'!$C$6:$C$998,H$4,'[1]Blackout Brand Fam Areas (Enc)'!$D$6:$D$998,"Inactive")&gt;0,"BLOCKED","CAN SELL")))))</f>
        <v>NOT IN TERRITORY</v>
      </c>
      <c r="I299" s="11" t="str">
        <f>IF($A299="","",_xlfn.LET(_xlpm.t,MATCH($B299,'[1]Territory Definitions'!$B$5:$B$14,0),IF(ISNA(_xlpm.t),"NO TERRITORY",IF(INDEX('[1]Territory Definitions'!$D$5:$M$14,_xlpm.t,MATCH(I$4,'[1]Territory Definitions'!$D$4:$M$4,0))&lt;&gt;1,"NOT IN TERRITORY",IF(COUNTIFS('[1]Blackout Brand Fam Areas (Enc)'!$B$6:$B$998,$A299,'[1]Blackout Brand Fam Areas (Enc)'!$C$6:$C$998,I$4,'[1]Blackout Brand Fam Areas (Enc)'!$D$6:$D$998,"Inactive")&gt;0,"BLOCKED","CAN SELL")))))</f>
        <v>CAN SELL</v>
      </c>
      <c r="J299" s="11" t="str">
        <f>IF($A299="","",_xlfn.LET(_xlpm.t,MATCH($B299,'[1]Territory Definitions'!$B$5:$B$14,0),IF(ISNA(_xlpm.t),"NO TERRITORY",IF(INDEX('[1]Territory Definitions'!$D$5:$M$14,_xlpm.t,MATCH(J$4,'[1]Territory Definitions'!$D$4:$M$4,0))&lt;&gt;1,"NOT IN TERRITORY",IF(COUNTIFS('[1]Blackout Brand Fam Areas (Enc)'!$B$6:$B$998,$A299,'[1]Blackout Brand Fam Areas (Enc)'!$C$6:$C$998,J$4,'[1]Blackout Brand Fam Areas (Enc)'!$D$6:$D$998,"Inactive")&gt;0,"BLOCKED","CAN SELL")))))</f>
        <v>CAN SELL</v>
      </c>
      <c r="K299" s="11" t="str">
        <f>IF($A299="","",_xlfn.LET(_xlpm.t,MATCH($B299,'[1]Territory Definitions'!$B$5:$B$14,0),IF(ISNA(_xlpm.t),"NO TERRITORY",IF(INDEX('[1]Territory Definitions'!$D$5:$M$14,_xlpm.t,MATCH(K$4,'[1]Territory Definitions'!$D$4:$M$4,0))&lt;&gt;1,"NOT IN TERRITORY",IF(COUNTIFS('[1]Blackout Brand Fam Areas (Enc)'!$B$6:$B$998,$A299,'[1]Blackout Brand Fam Areas (Enc)'!$C$6:$C$998,K$4,'[1]Blackout Brand Fam Areas (Enc)'!$D$6:$D$998,"Inactive")&gt;0,"BLOCKED","CAN SELL")))))</f>
        <v>NOT IN TERRITORY</v>
      </c>
      <c r="L299" s="11" t="str">
        <f>IF($A299="","",_xlfn.LET(_xlpm.t,MATCH($B299,'[1]Territory Definitions'!$B$5:$B$14,0),IF(ISNA(_xlpm.t),"NO TERRITORY",IF(INDEX('[1]Territory Definitions'!$D$5:$M$14,_xlpm.t,MATCH(L$4,'[1]Territory Definitions'!$D$4:$M$4,0))&lt;&gt;1,"NOT IN TERRITORY",IF(COUNTIFS('[1]Blackout Brand Fam Areas (Enc)'!$B$6:$B$998,$A299,'[1]Blackout Brand Fam Areas (Enc)'!$C$6:$C$998,L$4,'[1]Blackout Brand Fam Areas (Enc)'!$D$6:$D$998,"Inactive")&gt;0,"BLOCKED","CAN SELL")))))</f>
        <v>CAN SELL</v>
      </c>
      <c r="M299" s="12">
        <f>IF($A299="","",COUNTIF($C299:$L299,"CAN SELL"))</f>
        <v>6</v>
      </c>
      <c r="N299" s="13" cm="1">
        <f t="array" ref="N299">IF($A299="","",SUMPRODUCT(($C299:$L299="CAN SELL")*$C$3:$L$3))</f>
        <v>1596</v>
      </c>
      <c r="O299" s="14" t="str">
        <f>IF($A299="","",IF(COUNTIF($A$5:$A$299,$A299)&gt;1,"DUPLICATE - two different territories assigned",IF($B299="** NO TERRITORY SET **","No territory on Brand Family Territory (Enc)","")))</f>
        <v/>
      </c>
      <c r="P299" s="21" t="str">
        <f>IF($A299="","",IFERROR(INDEX([1]Products!$H$4:$H$4801,MATCH($A299,[1]Products!$G$4:$G$4801,0)),"(no products)"))</f>
        <v>DG Yuengling Inc</v>
      </c>
      <c r="Q299" s="22">
        <f>IF($A299="","",COUNTIFS([1]Products!$G$4:$G$4801,$A299,[1]Products!$L$4:$L$4801,"Yes"))</f>
        <v>6</v>
      </c>
      <c r="R299" s="22">
        <f>IF($A299="","",COUNTIFS([1]Products!$G$4:$G$4801,$A299,[1]Products!$L$4:$L$4801,"Yes",[1]Products!$K$4:$K$4801,"Draft"))</f>
        <v>0</v>
      </c>
      <c r="S299" s="22">
        <f>IF($A299="","",COUNTIFS([1]Products!$G$4:$G$4801,$A299,[1]Products!$L$4:$L$4801,"Yes",[1]Products!$K$4:$K$4801,"Package"))</f>
        <v>6</v>
      </c>
      <c r="T299" s="23" t="str" cm="1">
        <f t="array" ref="T299">IF($A299="","",_xlfn.IFS($Q299=0,"NO ACTIVE SKUs",AND($R299&gt;0,$S299&gt;0),"Draft &amp; Package",$R299&gt;0,"Draft only",TRUE,"Package only"))</f>
        <v>Package only</v>
      </c>
    </row>
    <row r="300" spans="1:20" x14ac:dyDescent="0.2">
      <c r="A300" s="9" t="str">
        <v>Yuengling Oktoberfest</v>
      </c>
      <c r="B300" s="10" t="str">
        <f>IF($A300="","",_xlfn.XLOOKUP($A300,'[1]Brand Family Territory (Enc)'!$A:$A,'[1]Brand Family Territory (Enc)'!$B:$B,"** NO TERRITORY SET **"))</f>
        <v>Core Market</v>
      </c>
      <c r="C300" s="11" t="str">
        <f>IF($A300="","",_xlfn.LET(_xlpm.t,MATCH($B300,'[1]Territory Definitions'!$B$5:$B$14,0),IF(ISNA(_xlpm.t),"NO TERRITORY",IF(INDEX('[1]Territory Definitions'!$D$5:$M$14,_xlpm.t,MATCH(C$4,'[1]Territory Definitions'!$D$4:$M$4,0))&lt;&gt;1,"NOT IN TERRITORY",IF(COUNTIFS('[1]Blackout Brand Fam Areas (Enc)'!$B$6:$B$998,$A300,'[1]Blackout Brand Fam Areas (Enc)'!$C$6:$C$998,C$4,'[1]Blackout Brand Fam Areas (Enc)'!$D$6:$D$998,"Inactive")&gt;0,"BLOCKED","CAN SELL")))))</f>
        <v>CAN SELL</v>
      </c>
      <c r="D300" s="11" t="str">
        <f>IF($A300="","",_xlfn.LET(_xlpm.t,MATCH($B300,'[1]Territory Definitions'!$B$5:$B$14,0),IF(ISNA(_xlpm.t),"NO TERRITORY",IF(INDEX('[1]Territory Definitions'!$D$5:$M$14,_xlpm.t,MATCH(D$4,'[1]Territory Definitions'!$D$4:$M$4,0))&lt;&gt;1,"NOT IN TERRITORY",IF(COUNTIFS('[1]Blackout Brand Fam Areas (Enc)'!$B$6:$B$998,$A300,'[1]Blackout Brand Fam Areas (Enc)'!$C$6:$C$998,D$4,'[1]Blackout Brand Fam Areas (Enc)'!$D$6:$D$998,"Inactive")&gt;0,"BLOCKED","CAN SELL")))))</f>
        <v>CAN SELL</v>
      </c>
      <c r="E300" s="11" t="str">
        <f>IF($A300="","",_xlfn.LET(_xlpm.t,MATCH($B300,'[1]Territory Definitions'!$B$5:$B$14,0),IF(ISNA(_xlpm.t),"NO TERRITORY",IF(INDEX('[1]Territory Definitions'!$D$5:$M$14,_xlpm.t,MATCH(E$4,'[1]Territory Definitions'!$D$4:$M$4,0))&lt;&gt;1,"NOT IN TERRITORY",IF(COUNTIFS('[1]Blackout Brand Fam Areas (Enc)'!$B$6:$B$998,$A300,'[1]Blackout Brand Fam Areas (Enc)'!$C$6:$C$998,E$4,'[1]Blackout Brand Fam Areas (Enc)'!$D$6:$D$998,"Inactive")&gt;0,"BLOCKED","CAN SELL")))))</f>
        <v>CAN SELL</v>
      </c>
      <c r="F300" s="11" t="str">
        <f>IF($A300="","",_xlfn.LET(_xlpm.t,MATCH($B300,'[1]Territory Definitions'!$B$5:$B$14,0),IF(ISNA(_xlpm.t),"NO TERRITORY",IF(INDEX('[1]Territory Definitions'!$D$5:$M$14,_xlpm.t,MATCH(F$4,'[1]Territory Definitions'!$D$4:$M$4,0))&lt;&gt;1,"NOT IN TERRITORY",IF(COUNTIFS('[1]Blackout Brand Fam Areas (Enc)'!$B$6:$B$998,$A300,'[1]Blackout Brand Fam Areas (Enc)'!$C$6:$C$998,F$4,'[1]Blackout Brand Fam Areas (Enc)'!$D$6:$D$998,"Inactive")&gt;0,"BLOCKED","CAN SELL")))))</f>
        <v>NOT IN TERRITORY</v>
      </c>
      <c r="G300" s="11" t="str">
        <f>IF($A300="","",_xlfn.LET(_xlpm.t,MATCH($B300,'[1]Territory Definitions'!$B$5:$B$14,0),IF(ISNA(_xlpm.t),"NO TERRITORY",IF(INDEX('[1]Territory Definitions'!$D$5:$M$14,_xlpm.t,MATCH(G$4,'[1]Territory Definitions'!$D$4:$M$4,0))&lt;&gt;1,"NOT IN TERRITORY",IF(COUNTIFS('[1]Blackout Brand Fam Areas (Enc)'!$B$6:$B$998,$A300,'[1]Blackout Brand Fam Areas (Enc)'!$C$6:$C$998,G$4,'[1]Blackout Brand Fam Areas (Enc)'!$D$6:$D$998,"Inactive")&gt;0,"BLOCKED","CAN SELL")))))</f>
        <v>NOT IN TERRITORY</v>
      </c>
      <c r="H300" s="11" t="str">
        <f>IF($A300="","",_xlfn.LET(_xlpm.t,MATCH($B300,'[1]Territory Definitions'!$B$5:$B$14,0),IF(ISNA(_xlpm.t),"NO TERRITORY",IF(INDEX('[1]Territory Definitions'!$D$5:$M$14,_xlpm.t,MATCH(H$4,'[1]Territory Definitions'!$D$4:$M$4,0))&lt;&gt;1,"NOT IN TERRITORY",IF(COUNTIFS('[1]Blackout Brand Fam Areas (Enc)'!$B$6:$B$998,$A300,'[1]Blackout Brand Fam Areas (Enc)'!$C$6:$C$998,H$4,'[1]Blackout Brand Fam Areas (Enc)'!$D$6:$D$998,"Inactive")&gt;0,"BLOCKED","CAN SELL")))))</f>
        <v>NOT IN TERRITORY</v>
      </c>
      <c r="I300" s="11" t="str">
        <f>IF($A300="","",_xlfn.LET(_xlpm.t,MATCH($B300,'[1]Territory Definitions'!$B$5:$B$14,0),IF(ISNA(_xlpm.t),"NO TERRITORY",IF(INDEX('[1]Territory Definitions'!$D$5:$M$14,_xlpm.t,MATCH(I$4,'[1]Territory Definitions'!$D$4:$M$4,0))&lt;&gt;1,"NOT IN TERRITORY",IF(COUNTIFS('[1]Blackout Brand Fam Areas (Enc)'!$B$6:$B$998,$A300,'[1]Blackout Brand Fam Areas (Enc)'!$C$6:$C$998,I$4,'[1]Blackout Brand Fam Areas (Enc)'!$D$6:$D$998,"Inactive")&gt;0,"BLOCKED","CAN SELL")))))</f>
        <v>CAN SELL</v>
      </c>
      <c r="J300" s="11" t="str">
        <f>IF($A300="","",_xlfn.LET(_xlpm.t,MATCH($B300,'[1]Territory Definitions'!$B$5:$B$14,0),IF(ISNA(_xlpm.t),"NO TERRITORY",IF(INDEX('[1]Territory Definitions'!$D$5:$M$14,_xlpm.t,MATCH(J$4,'[1]Territory Definitions'!$D$4:$M$4,0))&lt;&gt;1,"NOT IN TERRITORY",IF(COUNTIFS('[1]Blackout Brand Fam Areas (Enc)'!$B$6:$B$998,$A300,'[1]Blackout Brand Fam Areas (Enc)'!$C$6:$C$998,J$4,'[1]Blackout Brand Fam Areas (Enc)'!$D$6:$D$998,"Inactive")&gt;0,"BLOCKED","CAN SELL")))))</f>
        <v>CAN SELL</v>
      </c>
      <c r="K300" s="11" t="str">
        <f>IF($A300="","",_xlfn.LET(_xlpm.t,MATCH($B300,'[1]Territory Definitions'!$B$5:$B$14,0),IF(ISNA(_xlpm.t),"NO TERRITORY",IF(INDEX('[1]Territory Definitions'!$D$5:$M$14,_xlpm.t,MATCH(K$4,'[1]Territory Definitions'!$D$4:$M$4,0))&lt;&gt;1,"NOT IN TERRITORY",IF(COUNTIFS('[1]Blackout Brand Fam Areas (Enc)'!$B$6:$B$998,$A300,'[1]Blackout Brand Fam Areas (Enc)'!$C$6:$C$998,K$4,'[1]Blackout Brand Fam Areas (Enc)'!$D$6:$D$998,"Inactive")&gt;0,"BLOCKED","CAN SELL")))))</f>
        <v>NOT IN TERRITORY</v>
      </c>
      <c r="L300" s="11" t="str">
        <f>IF($A300="","",_xlfn.LET(_xlpm.t,MATCH($B300,'[1]Territory Definitions'!$B$5:$B$14,0),IF(ISNA(_xlpm.t),"NO TERRITORY",IF(INDEX('[1]Territory Definitions'!$D$5:$M$14,_xlpm.t,MATCH(L$4,'[1]Territory Definitions'!$D$4:$M$4,0))&lt;&gt;1,"NOT IN TERRITORY",IF(COUNTIFS('[1]Blackout Brand Fam Areas (Enc)'!$B$6:$B$998,$A300,'[1]Blackout Brand Fam Areas (Enc)'!$C$6:$C$998,L$4,'[1]Blackout Brand Fam Areas (Enc)'!$D$6:$D$998,"Inactive")&gt;0,"BLOCKED","CAN SELL")))))</f>
        <v>CAN SELL</v>
      </c>
      <c r="M300" s="12">
        <f>IF($A300="","",COUNTIF($C300:$L300,"CAN SELL"))</f>
        <v>6</v>
      </c>
      <c r="N300" s="13" cm="1">
        <f t="array" ref="N300">IF($A300="","",SUMPRODUCT(($C300:$L300="CAN SELL")*$C$3:$L$3))</f>
        <v>1596</v>
      </c>
      <c r="O300" s="14" t="str">
        <f>IF($A300="","",IF(COUNTIF($A$5:$A$299,$A300)&gt;1,"DUPLICATE - two different territories assigned",IF($B300="** NO TERRITORY SET **","No territory on Brand Family Territory (Enc)","")))</f>
        <v/>
      </c>
      <c r="P300" t="str">
        <f>IF($A300="","",IFERROR(INDEX([1]Products!$H$4:$H$4801,MATCH($A300,[1]Products!$G$4:$G$4801,0)),"(no products)"))</f>
        <v>DG Yuengling Inc</v>
      </c>
      <c r="Q300">
        <f>IF($A300="","",COUNTIFS([1]Products!$G$4:$G$4801,$A300,[1]Products!$L$4:$L$4801,"Yes"))</f>
        <v>5</v>
      </c>
      <c r="R300">
        <f>IF($A300="","",COUNTIFS([1]Products!$G$4:$G$4801,$A300,[1]Products!$L$4:$L$4801,"Yes",[1]Products!$K$4:$K$4801,"Draft"))</f>
        <v>2</v>
      </c>
      <c r="S300">
        <f>IF($A300="","",COUNTIFS([1]Products!$G$4:$G$4801,$A300,[1]Products!$L$4:$L$4801,"Yes",[1]Products!$K$4:$K$4801,"Package"))</f>
        <v>3</v>
      </c>
      <c r="T300" t="str" cm="1">
        <f t="array" ref="T300">IF($A300="","",_xlfn.IFS($Q300=0,"NO ACTIVE SKUs",AND($R300&gt;0,$S300&gt;0),"Draft &amp; Package",$R300&gt;0,"Draft only",TRUE,"Package only"))</f>
        <v>Draft &amp; Package</v>
      </c>
    </row>
    <row r="301" spans="1:20" x14ac:dyDescent="0.2">
      <c r="A301" s="9"/>
      <c r="B301" s="10" t="str">
        <f>IF($A301="","",_xlfn.XLOOKUP($A301,'[1]Brand Family Territory (Enc)'!$A:$A,'[1]Brand Family Territory (Enc)'!$B:$B,"** NO TERRITORY SET **"))</f>
        <v/>
      </c>
      <c r="C301" s="11" t="str">
        <f>IF($A301="","",_xlfn.LET(_xlpm.t,MATCH($B301,'[1]Territory Definitions'!$B$5:$B$14,0),IF(ISNA(_xlpm.t),"NO TERRITORY",IF(INDEX('[1]Territory Definitions'!$D$5:$M$14,_xlpm.t,MATCH(C$4,'[1]Territory Definitions'!$D$4:$M$4,0))&lt;&gt;1,"NOT IN TERRITORY",IF(COUNTIFS('[1]Blackout Brand Fam Areas (Enc)'!$B$6:$B$998,$A301,'[1]Blackout Brand Fam Areas (Enc)'!$C$6:$C$998,C$4,'[1]Blackout Brand Fam Areas (Enc)'!$D$6:$D$998,"Inactive")&gt;0,"BLOCKED","CAN SELL")))))</f>
        <v/>
      </c>
      <c r="D301" s="11" t="str">
        <f>IF($A301="","",_xlfn.LET(_xlpm.t,MATCH($B301,'[1]Territory Definitions'!$B$5:$B$14,0),IF(ISNA(_xlpm.t),"NO TERRITORY",IF(INDEX('[1]Territory Definitions'!$D$5:$M$14,_xlpm.t,MATCH(D$4,'[1]Territory Definitions'!$D$4:$M$4,0))&lt;&gt;1,"NOT IN TERRITORY",IF(COUNTIFS('[1]Blackout Brand Fam Areas (Enc)'!$B$6:$B$998,$A301,'[1]Blackout Brand Fam Areas (Enc)'!$C$6:$C$998,D$4,'[1]Blackout Brand Fam Areas (Enc)'!$D$6:$D$998,"Inactive")&gt;0,"BLOCKED","CAN SELL")))))</f>
        <v/>
      </c>
      <c r="E301" s="11" t="str">
        <f>IF($A301="","",_xlfn.LET(_xlpm.t,MATCH($B301,'[1]Territory Definitions'!$B$5:$B$14,0),IF(ISNA(_xlpm.t),"NO TERRITORY",IF(INDEX('[1]Territory Definitions'!$D$5:$M$14,_xlpm.t,MATCH(E$4,'[1]Territory Definitions'!$D$4:$M$4,0))&lt;&gt;1,"NOT IN TERRITORY",IF(COUNTIFS('[1]Blackout Brand Fam Areas (Enc)'!$B$6:$B$998,$A301,'[1]Blackout Brand Fam Areas (Enc)'!$C$6:$C$998,E$4,'[1]Blackout Brand Fam Areas (Enc)'!$D$6:$D$998,"Inactive")&gt;0,"BLOCKED","CAN SELL")))))</f>
        <v/>
      </c>
      <c r="F301" s="11" t="str">
        <f>IF($A301="","",_xlfn.LET(_xlpm.t,MATCH($B301,'[1]Territory Definitions'!$B$5:$B$14,0),IF(ISNA(_xlpm.t),"NO TERRITORY",IF(INDEX('[1]Territory Definitions'!$D$5:$M$14,_xlpm.t,MATCH(F$4,'[1]Territory Definitions'!$D$4:$M$4,0))&lt;&gt;1,"NOT IN TERRITORY",IF(COUNTIFS('[1]Blackout Brand Fam Areas (Enc)'!$B$6:$B$998,$A301,'[1]Blackout Brand Fam Areas (Enc)'!$C$6:$C$998,F$4,'[1]Blackout Brand Fam Areas (Enc)'!$D$6:$D$998,"Inactive")&gt;0,"BLOCKED","CAN SELL")))))</f>
        <v/>
      </c>
      <c r="G301" s="11" t="str">
        <f>IF($A301="","",_xlfn.LET(_xlpm.t,MATCH($B301,'[1]Territory Definitions'!$B$5:$B$14,0),IF(ISNA(_xlpm.t),"NO TERRITORY",IF(INDEX('[1]Territory Definitions'!$D$5:$M$14,_xlpm.t,MATCH(G$4,'[1]Territory Definitions'!$D$4:$M$4,0))&lt;&gt;1,"NOT IN TERRITORY",IF(COUNTIFS('[1]Blackout Brand Fam Areas (Enc)'!$B$6:$B$998,$A301,'[1]Blackout Brand Fam Areas (Enc)'!$C$6:$C$998,G$4,'[1]Blackout Brand Fam Areas (Enc)'!$D$6:$D$998,"Inactive")&gt;0,"BLOCKED","CAN SELL")))))</f>
        <v/>
      </c>
      <c r="H301" s="11" t="str">
        <f>IF($A301="","",_xlfn.LET(_xlpm.t,MATCH($B301,'[1]Territory Definitions'!$B$5:$B$14,0),IF(ISNA(_xlpm.t),"NO TERRITORY",IF(INDEX('[1]Territory Definitions'!$D$5:$M$14,_xlpm.t,MATCH(H$4,'[1]Territory Definitions'!$D$4:$M$4,0))&lt;&gt;1,"NOT IN TERRITORY",IF(COUNTIFS('[1]Blackout Brand Fam Areas (Enc)'!$B$6:$B$998,$A301,'[1]Blackout Brand Fam Areas (Enc)'!$C$6:$C$998,H$4,'[1]Blackout Brand Fam Areas (Enc)'!$D$6:$D$998,"Inactive")&gt;0,"BLOCKED","CAN SELL")))))</f>
        <v/>
      </c>
      <c r="I301" s="11" t="str">
        <f>IF($A301="","",_xlfn.LET(_xlpm.t,MATCH($B301,'[1]Territory Definitions'!$B$5:$B$14,0),IF(ISNA(_xlpm.t),"NO TERRITORY",IF(INDEX('[1]Territory Definitions'!$D$5:$M$14,_xlpm.t,MATCH(I$4,'[1]Territory Definitions'!$D$4:$M$4,0))&lt;&gt;1,"NOT IN TERRITORY",IF(COUNTIFS('[1]Blackout Brand Fam Areas (Enc)'!$B$6:$B$998,$A301,'[1]Blackout Brand Fam Areas (Enc)'!$C$6:$C$998,I$4,'[1]Blackout Brand Fam Areas (Enc)'!$D$6:$D$998,"Inactive")&gt;0,"BLOCKED","CAN SELL")))))</f>
        <v/>
      </c>
      <c r="J301" s="11" t="str">
        <f>IF($A301="","",_xlfn.LET(_xlpm.t,MATCH($B301,'[1]Territory Definitions'!$B$5:$B$14,0),IF(ISNA(_xlpm.t),"NO TERRITORY",IF(INDEX('[1]Territory Definitions'!$D$5:$M$14,_xlpm.t,MATCH(J$4,'[1]Territory Definitions'!$D$4:$M$4,0))&lt;&gt;1,"NOT IN TERRITORY",IF(COUNTIFS('[1]Blackout Brand Fam Areas (Enc)'!$B$6:$B$998,$A301,'[1]Blackout Brand Fam Areas (Enc)'!$C$6:$C$998,J$4,'[1]Blackout Brand Fam Areas (Enc)'!$D$6:$D$998,"Inactive")&gt;0,"BLOCKED","CAN SELL")))))</f>
        <v/>
      </c>
      <c r="K301" s="11" t="str">
        <f>IF($A301="","",_xlfn.LET(_xlpm.t,MATCH($B301,'[1]Territory Definitions'!$B$5:$B$14,0),IF(ISNA(_xlpm.t),"NO TERRITORY",IF(INDEX('[1]Territory Definitions'!$D$5:$M$14,_xlpm.t,MATCH(K$4,'[1]Territory Definitions'!$D$4:$M$4,0))&lt;&gt;1,"NOT IN TERRITORY",IF(COUNTIFS('[1]Blackout Brand Fam Areas (Enc)'!$B$6:$B$998,$A301,'[1]Blackout Brand Fam Areas (Enc)'!$C$6:$C$998,K$4,'[1]Blackout Brand Fam Areas (Enc)'!$D$6:$D$998,"Inactive")&gt;0,"BLOCKED","CAN SELL")))))</f>
        <v/>
      </c>
      <c r="L301" s="11" t="str">
        <f>IF($A301="","",_xlfn.LET(_xlpm.t,MATCH($B301,'[1]Territory Definitions'!$B$5:$B$14,0),IF(ISNA(_xlpm.t),"NO TERRITORY",IF(INDEX('[1]Territory Definitions'!$D$5:$M$14,_xlpm.t,MATCH(L$4,'[1]Territory Definitions'!$D$4:$M$4,0))&lt;&gt;1,"NOT IN TERRITORY",IF(COUNTIFS('[1]Blackout Brand Fam Areas (Enc)'!$B$6:$B$998,$A301,'[1]Blackout Brand Fam Areas (Enc)'!$C$6:$C$998,L$4,'[1]Blackout Brand Fam Areas (Enc)'!$D$6:$D$998,"Inactive")&gt;0,"BLOCKED","CAN SELL")))))</f>
        <v/>
      </c>
      <c r="M301" s="12" t="str">
        <f>IF($A301="","",COUNTIF($C301:$L301,"CAN SELL"))</f>
        <v/>
      </c>
      <c r="N301" s="13" t="str" cm="1">
        <f t="array" ref="N301">IF($A301="","",SUMPRODUCT(($C301:$L301="CAN SELL")*$C$3:$L$3))</f>
        <v/>
      </c>
      <c r="O301" s="14" t="str">
        <f>IF($A301="","",IF(COUNTIF($A$5:$A$299,$A301)&gt;1,"DUPLICATE - two different territories assigned",IF($B301="** NO TERRITORY SET **","No territory on Brand Family Territory (Enc)","")))</f>
        <v/>
      </c>
      <c r="P301" t="str">
        <f>IF($A301="","",IFERROR(INDEX([1]Products!$H$4:$H$4801,MATCH($A301,[1]Products!$G$4:$G$4801,0)),"(no products)"))</f>
        <v/>
      </c>
      <c r="Q301" t="str">
        <f>IF($A301="","",COUNTIFS([1]Products!$G$4:$G$4801,$A301,[1]Products!$L$4:$L$4801,"Yes"))</f>
        <v/>
      </c>
      <c r="R301" t="str">
        <f>IF($A301="","",COUNTIFS([1]Products!$G$4:$G$4801,$A301,[1]Products!$L$4:$L$4801,"Yes",[1]Products!$K$4:$K$4801,"Draft"))</f>
        <v/>
      </c>
      <c r="S301" t="str">
        <f>IF($A301="","",COUNTIFS([1]Products!$G$4:$G$4801,$A301,[1]Products!$L$4:$L$4801,"Yes",[1]Products!$K$4:$K$4801,"Package"))</f>
        <v/>
      </c>
      <c r="T301" t="str" cm="1">
        <f t="array" ref="T301">IF($A301="","",_xlfn.IFS($Q301=0,"NO ACTIVE SKUs",AND($R301&gt;0,$S301&gt;0),"Draft &amp; Package",$R301&gt;0,"Draft only",TRUE,"Package only"))</f>
        <v/>
      </c>
    </row>
    <row r="302" spans="1:20" x14ac:dyDescent="0.2">
      <c r="A302" s="9"/>
      <c r="B302" s="10" t="str">
        <f>IF($A302="","",_xlfn.XLOOKUP($A302,'[1]Brand Family Territory (Enc)'!$A:$A,'[1]Brand Family Territory (Enc)'!$B:$B,"** NO TERRITORY SET **"))</f>
        <v/>
      </c>
      <c r="C302" s="11" t="str">
        <f>IF($A302="","",_xlfn.LET(_xlpm.t,MATCH($B302,'[1]Territory Definitions'!$B$5:$B$14,0),IF(ISNA(_xlpm.t),"NO TERRITORY",IF(INDEX('[1]Territory Definitions'!$D$5:$M$14,_xlpm.t,MATCH(C$4,'[1]Territory Definitions'!$D$4:$M$4,0))&lt;&gt;1,"NOT IN TERRITORY",IF(COUNTIFS('[1]Blackout Brand Fam Areas (Enc)'!$B$6:$B$998,$A302,'[1]Blackout Brand Fam Areas (Enc)'!$C$6:$C$998,C$4,'[1]Blackout Brand Fam Areas (Enc)'!$D$6:$D$998,"Inactive")&gt;0,"BLOCKED","CAN SELL")))))</f>
        <v/>
      </c>
      <c r="D302" s="11" t="str">
        <f>IF($A302="","",_xlfn.LET(_xlpm.t,MATCH($B302,'[1]Territory Definitions'!$B$5:$B$14,0),IF(ISNA(_xlpm.t),"NO TERRITORY",IF(INDEX('[1]Territory Definitions'!$D$5:$M$14,_xlpm.t,MATCH(D$4,'[1]Territory Definitions'!$D$4:$M$4,0))&lt;&gt;1,"NOT IN TERRITORY",IF(COUNTIFS('[1]Blackout Brand Fam Areas (Enc)'!$B$6:$B$998,$A302,'[1]Blackout Brand Fam Areas (Enc)'!$C$6:$C$998,D$4,'[1]Blackout Brand Fam Areas (Enc)'!$D$6:$D$998,"Inactive")&gt;0,"BLOCKED","CAN SELL")))))</f>
        <v/>
      </c>
      <c r="E302" s="11" t="str">
        <f>IF($A302="","",_xlfn.LET(_xlpm.t,MATCH($B302,'[1]Territory Definitions'!$B$5:$B$14,0),IF(ISNA(_xlpm.t),"NO TERRITORY",IF(INDEX('[1]Territory Definitions'!$D$5:$M$14,_xlpm.t,MATCH(E$4,'[1]Territory Definitions'!$D$4:$M$4,0))&lt;&gt;1,"NOT IN TERRITORY",IF(COUNTIFS('[1]Blackout Brand Fam Areas (Enc)'!$B$6:$B$998,$A302,'[1]Blackout Brand Fam Areas (Enc)'!$C$6:$C$998,E$4,'[1]Blackout Brand Fam Areas (Enc)'!$D$6:$D$998,"Inactive")&gt;0,"BLOCKED","CAN SELL")))))</f>
        <v/>
      </c>
      <c r="F302" s="11" t="str">
        <f>IF($A302="","",_xlfn.LET(_xlpm.t,MATCH($B302,'[1]Territory Definitions'!$B$5:$B$14,0),IF(ISNA(_xlpm.t),"NO TERRITORY",IF(INDEX('[1]Territory Definitions'!$D$5:$M$14,_xlpm.t,MATCH(F$4,'[1]Territory Definitions'!$D$4:$M$4,0))&lt;&gt;1,"NOT IN TERRITORY",IF(COUNTIFS('[1]Blackout Brand Fam Areas (Enc)'!$B$6:$B$998,$A302,'[1]Blackout Brand Fam Areas (Enc)'!$C$6:$C$998,F$4,'[1]Blackout Brand Fam Areas (Enc)'!$D$6:$D$998,"Inactive")&gt;0,"BLOCKED","CAN SELL")))))</f>
        <v/>
      </c>
      <c r="G302" s="11" t="str">
        <f>IF($A302="","",_xlfn.LET(_xlpm.t,MATCH($B302,'[1]Territory Definitions'!$B$5:$B$14,0),IF(ISNA(_xlpm.t),"NO TERRITORY",IF(INDEX('[1]Territory Definitions'!$D$5:$M$14,_xlpm.t,MATCH(G$4,'[1]Territory Definitions'!$D$4:$M$4,0))&lt;&gt;1,"NOT IN TERRITORY",IF(COUNTIFS('[1]Blackout Brand Fam Areas (Enc)'!$B$6:$B$998,$A302,'[1]Blackout Brand Fam Areas (Enc)'!$C$6:$C$998,G$4,'[1]Blackout Brand Fam Areas (Enc)'!$D$6:$D$998,"Inactive")&gt;0,"BLOCKED","CAN SELL")))))</f>
        <v/>
      </c>
      <c r="H302" s="11" t="str">
        <f>IF($A302="","",_xlfn.LET(_xlpm.t,MATCH($B302,'[1]Territory Definitions'!$B$5:$B$14,0),IF(ISNA(_xlpm.t),"NO TERRITORY",IF(INDEX('[1]Territory Definitions'!$D$5:$M$14,_xlpm.t,MATCH(H$4,'[1]Territory Definitions'!$D$4:$M$4,0))&lt;&gt;1,"NOT IN TERRITORY",IF(COUNTIFS('[1]Blackout Brand Fam Areas (Enc)'!$B$6:$B$998,$A302,'[1]Blackout Brand Fam Areas (Enc)'!$C$6:$C$998,H$4,'[1]Blackout Brand Fam Areas (Enc)'!$D$6:$D$998,"Inactive")&gt;0,"BLOCKED","CAN SELL")))))</f>
        <v/>
      </c>
      <c r="I302" s="11" t="str">
        <f>IF($A302="","",_xlfn.LET(_xlpm.t,MATCH($B302,'[1]Territory Definitions'!$B$5:$B$14,0),IF(ISNA(_xlpm.t),"NO TERRITORY",IF(INDEX('[1]Territory Definitions'!$D$5:$M$14,_xlpm.t,MATCH(I$4,'[1]Territory Definitions'!$D$4:$M$4,0))&lt;&gt;1,"NOT IN TERRITORY",IF(COUNTIFS('[1]Blackout Brand Fam Areas (Enc)'!$B$6:$B$998,$A302,'[1]Blackout Brand Fam Areas (Enc)'!$C$6:$C$998,I$4,'[1]Blackout Brand Fam Areas (Enc)'!$D$6:$D$998,"Inactive")&gt;0,"BLOCKED","CAN SELL")))))</f>
        <v/>
      </c>
      <c r="J302" s="11" t="str">
        <f>IF($A302="","",_xlfn.LET(_xlpm.t,MATCH($B302,'[1]Territory Definitions'!$B$5:$B$14,0),IF(ISNA(_xlpm.t),"NO TERRITORY",IF(INDEX('[1]Territory Definitions'!$D$5:$M$14,_xlpm.t,MATCH(J$4,'[1]Territory Definitions'!$D$4:$M$4,0))&lt;&gt;1,"NOT IN TERRITORY",IF(COUNTIFS('[1]Blackout Brand Fam Areas (Enc)'!$B$6:$B$998,$A302,'[1]Blackout Brand Fam Areas (Enc)'!$C$6:$C$998,J$4,'[1]Blackout Brand Fam Areas (Enc)'!$D$6:$D$998,"Inactive")&gt;0,"BLOCKED","CAN SELL")))))</f>
        <v/>
      </c>
      <c r="K302" s="11" t="str">
        <f>IF($A302="","",_xlfn.LET(_xlpm.t,MATCH($B302,'[1]Territory Definitions'!$B$5:$B$14,0),IF(ISNA(_xlpm.t),"NO TERRITORY",IF(INDEX('[1]Territory Definitions'!$D$5:$M$14,_xlpm.t,MATCH(K$4,'[1]Territory Definitions'!$D$4:$M$4,0))&lt;&gt;1,"NOT IN TERRITORY",IF(COUNTIFS('[1]Blackout Brand Fam Areas (Enc)'!$B$6:$B$998,$A302,'[1]Blackout Brand Fam Areas (Enc)'!$C$6:$C$998,K$4,'[1]Blackout Brand Fam Areas (Enc)'!$D$6:$D$998,"Inactive")&gt;0,"BLOCKED","CAN SELL")))))</f>
        <v/>
      </c>
      <c r="L302" s="11" t="str">
        <f>IF($A302="","",_xlfn.LET(_xlpm.t,MATCH($B302,'[1]Territory Definitions'!$B$5:$B$14,0),IF(ISNA(_xlpm.t),"NO TERRITORY",IF(INDEX('[1]Territory Definitions'!$D$5:$M$14,_xlpm.t,MATCH(L$4,'[1]Territory Definitions'!$D$4:$M$4,0))&lt;&gt;1,"NOT IN TERRITORY",IF(COUNTIFS('[1]Blackout Brand Fam Areas (Enc)'!$B$6:$B$998,$A302,'[1]Blackout Brand Fam Areas (Enc)'!$C$6:$C$998,L$4,'[1]Blackout Brand Fam Areas (Enc)'!$D$6:$D$998,"Inactive")&gt;0,"BLOCKED","CAN SELL")))))</f>
        <v/>
      </c>
      <c r="M302" s="12" t="str">
        <f>IF($A302="","",COUNTIF($C302:$L302,"CAN SELL"))</f>
        <v/>
      </c>
      <c r="N302" s="13" t="str" cm="1">
        <f t="array" ref="N302">IF($A302="","",SUMPRODUCT(($C302:$L302="CAN SELL")*$C$3:$L$3))</f>
        <v/>
      </c>
      <c r="O302" s="14" t="str">
        <f>IF($A302="","",IF(COUNTIF($A$5:$A$299,$A302)&gt;1,"DUPLICATE - two different territories assigned",IF($B302="** NO TERRITORY SET **","No territory on Brand Family Territory (Enc)","")))</f>
        <v/>
      </c>
      <c r="P302" t="str">
        <f>IF($A302="","",IFERROR(INDEX([1]Products!$H$4:$H$4801,MATCH($A302,[1]Products!$G$4:$G$4801,0)),"(no products)"))</f>
        <v/>
      </c>
      <c r="Q302" t="str">
        <f>IF($A302="","",COUNTIFS([1]Products!$G$4:$G$4801,$A302,[1]Products!$L$4:$L$4801,"Yes"))</f>
        <v/>
      </c>
      <c r="R302" t="str">
        <f>IF($A302="","",COUNTIFS([1]Products!$G$4:$G$4801,$A302,[1]Products!$L$4:$L$4801,"Yes",[1]Products!$K$4:$K$4801,"Draft"))</f>
        <v/>
      </c>
      <c r="S302" t="str">
        <f>IF($A302="","",COUNTIFS([1]Products!$G$4:$G$4801,$A302,[1]Products!$L$4:$L$4801,"Yes",[1]Products!$K$4:$K$4801,"Package"))</f>
        <v/>
      </c>
      <c r="T302" t="str" cm="1">
        <f t="array" ref="T302">IF($A302="","",_xlfn.IFS($Q302=0,"NO ACTIVE SKUs",AND($R302&gt;0,$S302&gt;0),"Draft &amp; Package",$R302&gt;0,"Draft only",TRUE,"Package only"))</f>
        <v/>
      </c>
    </row>
    <row r="303" spans="1:20" x14ac:dyDescent="0.2">
      <c r="A303" s="9"/>
      <c r="B303" s="10" t="str">
        <f>IF($A303="","",_xlfn.XLOOKUP($A303,'[1]Brand Family Territory (Enc)'!$A:$A,'[1]Brand Family Territory (Enc)'!$B:$B,"** NO TERRITORY SET **"))</f>
        <v/>
      </c>
      <c r="C303" s="11" t="str">
        <f>IF($A303="","",_xlfn.LET(_xlpm.t,MATCH($B303,'[1]Territory Definitions'!$B$5:$B$14,0),IF(ISNA(_xlpm.t),"NO TERRITORY",IF(INDEX('[1]Territory Definitions'!$D$5:$M$14,_xlpm.t,MATCH(C$4,'[1]Territory Definitions'!$D$4:$M$4,0))&lt;&gt;1,"NOT IN TERRITORY",IF(COUNTIFS('[1]Blackout Brand Fam Areas (Enc)'!$B$6:$B$998,$A303,'[1]Blackout Brand Fam Areas (Enc)'!$C$6:$C$998,C$4,'[1]Blackout Brand Fam Areas (Enc)'!$D$6:$D$998,"Inactive")&gt;0,"BLOCKED","CAN SELL")))))</f>
        <v/>
      </c>
      <c r="D303" s="11" t="str">
        <f>IF($A303="","",_xlfn.LET(_xlpm.t,MATCH($B303,'[1]Territory Definitions'!$B$5:$B$14,0),IF(ISNA(_xlpm.t),"NO TERRITORY",IF(INDEX('[1]Territory Definitions'!$D$5:$M$14,_xlpm.t,MATCH(D$4,'[1]Territory Definitions'!$D$4:$M$4,0))&lt;&gt;1,"NOT IN TERRITORY",IF(COUNTIFS('[1]Blackout Brand Fam Areas (Enc)'!$B$6:$B$998,$A303,'[1]Blackout Brand Fam Areas (Enc)'!$C$6:$C$998,D$4,'[1]Blackout Brand Fam Areas (Enc)'!$D$6:$D$998,"Inactive")&gt;0,"BLOCKED","CAN SELL")))))</f>
        <v/>
      </c>
      <c r="E303" s="11" t="str">
        <f>IF($A303="","",_xlfn.LET(_xlpm.t,MATCH($B303,'[1]Territory Definitions'!$B$5:$B$14,0),IF(ISNA(_xlpm.t),"NO TERRITORY",IF(INDEX('[1]Territory Definitions'!$D$5:$M$14,_xlpm.t,MATCH(E$4,'[1]Territory Definitions'!$D$4:$M$4,0))&lt;&gt;1,"NOT IN TERRITORY",IF(COUNTIFS('[1]Blackout Brand Fam Areas (Enc)'!$B$6:$B$998,$A303,'[1]Blackout Brand Fam Areas (Enc)'!$C$6:$C$998,E$4,'[1]Blackout Brand Fam Areas (Enc)'!$D$6:$D$998,"Inactive")&gt;0,"BLOCKED","CAN SELL")))))</f>
        <v/>
      </c>
      <c r="F303" s="11" t="str">
        <f>IF($A303="","",_xlfn.LET(_xlpm.t,MATCH($B303,'[1]Territory Definitions'!$B$5:$B$14,0),IF(ISNA(_xlpm.t),"NO TERRITORY",IF(INDEX('[1]Territory Definitions'!$D$5:$M$14,_xlpm.t,MATCH(F$4,'[1]Territory Definitions'!$D$4:$M$4,0))&lt;&gt;1,"NOT IN TERRITORY",IF(COUNTIFS('[1]Blackout Brand Fam Areas (Enc)'!$B$6:$B$998,$A303,'[1]Blackout Brand Fam Areas (Enc)'!$C$6:$C$998,F$4,'[1]Blackout Brand Fam Areas (Enc)'!$D$6:$D$998,"Inactive")&gt;0,"BLOCKED","CAN SELL")))))</f>
        <v/>
      </c>
      <c r="G303" s="11" t="str">
        <f>IF($A303="","",_xlfn.LET(_xlpm.t,MATCH($B303,'[1]Territory Definitions'!$B$5:$B$14,0),IF(ISNA(_xlpm.t),"NO TERRITORY",IF(INDEX('[1]Territory Definitions'!$D$5:$M$14,_xlpm.t,MATCH(G$4,'[1]Territory Definitions'!$D$4:$M$4,0))&lt;&gt;1,"NOT IN TERRITORY",IF(COUNTIFS('[1]Blackout Brand Fam Areas (Enc)'!$B$6:$B$998,$A303,'[1]Blackout Brand Fam Areas (Enc)'!$C$6:$C$998,G$4,'[1]Blackout Brand Fam Areas (Enc)'!$D$6:$D$998,"Inactive")&gt;0,"BLOCKED","CAN SELL")))))</f>
        <v/>
      </c>
      <c r="H303" s="11" t="str">
        <f>IF($A303="","",_xlfn.LET(_xlpm.t,MATCH($B303,'[1]Territory Definitions'!$B$5:$B$14,0),IF(ISNA(_xlpm.t),"NO TERRITORY",IF(INDEX('[1]Territory Definitions'!$D$5:$M$14,_xlpm.t,MATCH(H$4,'[1]Territory Definitions'!$D$4:$M$4,0))&lt;&gt;1,"NOT IN TERRITORY",IF(COUNTIFS('[1]Blackout Brand Fam Areas (Enc)'!$B$6:$B$998,$A303,'[1]Blackout Brand Fam Areas (Enc)'!$C$6:$C$998,H$4,'[1]Blackout Brand Fam Areas (Enc)'!$D$6:$D$998,"Inactive")&gt;0,"BLOCKED","CAN SELL")))))</f>
        <v/>
      </c>
      <c r="I303" s="11" t="str">
        <f>IF($A303="","",_xlfn.LET(_xlpm.t,MATCH($B303,'[1]Territory Definitions'!$B$5:$B$14,0),IF(ISNA(_xlpm.t),"NO TERRITORY",IF(INDEX('[1]Territory Definitions'!$D$5:$M$14,_xlpm.t,MATCH(I$4,'[1]Territory Definitions'!$D$4:$M$4,0))&lt;&gt;1,"NOT IN TERRITORY",IF(COUNTIFS('[1]Blackout Brand Fam Areas (Enc)'!$B$6:$B$998,$A303,'[1]Blackout Brand Fam Areas (Enc)'!$C$6:$C$998,I$4,'[1]Blackout Brand Fam Areas (Enc)'!$D$6:$D$998,"Inactive")&gt;0,"BLOCKED","CAN SELL")))))</f>
        <v/>
      </c>
      <c r="J303" s="11" t="str">
        <f>IF($A303="","",_xlfn.LET(_xlpm.t,MATCH($B303,'[1]Territory Definitions'!$B$5:$B$14,0),IF(ISNA(_xlpm.t),"NO TERRITORY",IF(INDEX('[1]Territory Definitions'!$D$5:$M$14,_xlpm.t,MATCH(J$4,'[1]Territory Definitions'!$D$4:$M$4,0))&lt;&gt;1,"NOT IN TERRITORY",IF(COUNTIFS('[1]Blackout Brand Fam Areas (Enc)'!$B$6:$B$998,$A303,'[1]Blackout Brand Fam Areas (Enc)'!$C$6:$C$998,J$4,'[1]Blackout Brand Fam Areas (Enc)'!$D$6:$D$998,"Inactive")&gt;0,"BLOCKED","CAN SELL")))))</f>
        <v/>
      </c>
      <c r="K303" s="11" t="str">
        <f>IF($A303="","",_xlfn.LET(_xlpm.t,MATCH($B303,'[1]Territory Definitions'!$B$5:$B$14,0),IF(ISNA(_xlpm.t),"NO TERRITORY",IF(INDEX('[1]Territory Definitions'!$D$5:$M$14,_xlpm.t,MATCH(K$4,'[1]Territory Definitions'!$D$4:$M$4,0))&lt;&gt;1,"NOT IN TERRITORY",IF(COUNTIFS('[1]Blackout Brand Fam Areas (Enc)'!$B$6:$B$998,$A303,'[1]Blackout Brand Fam Areas (Enc)'!$C$6:$C$998,K$4,'[1]Blackout Brand Fam Areas (Enc)'!$D$6:$D$998,"Inactive")&gt;0,"BLOCKED","CAN SELL")))))</f>
        <v/>
      </c>
      <c r="L303" s="11" t="str">
        <f>IF($A303="","",_xlfn.LET(_xlpm.t,MATCH($B303,'[1]Territory Definitions'!$B$5:$B$14,0),IF(ISNA(_xlpm.t),"NO TERRITORY",IF(INDEX('[1]Territory Definitions'!$D$5:$M$14,_xlpm.t,MATCH(L$4,'[1]Territory Definitions'!$D$4:$M$4,0))&lt;&gt;1,"NOT IN TERRITORY",IF(COUNTIFS('[1]Blackout Brand Fam Areas (Enc)'!$B$6:$B$998,$A303,'[1]Blackout Brand Fam Areas (Enc)'!$C$6:$C$998,L$4,'[1]Blackout Brand Fam Areas (Enc)'!$D$6:$D$998,"Inactive")&gt;0,"BLOCKED","CAN SELL")))))</f>
        <v/>
      </c>
      <c r="M303" s="12" t="str">
        <f>IF($A303="","",COUNTIF($C303:$L303,"CAN SELL"))</f>
        <v/>
      </c>
      <c r="N303" s="13" t="str" cm="1">
        <f t="array" ref="N303">IF($A303="","",SUMPRODUCT(($C303:$L303="CAN SELL")*$C$3:$L$3))</f>
        <v/>
      </c>
      <c r="O303" s="14" t="str">
        <f>IF($A303="","",IF(COUNTIF($A$5:$A$299,$A303)&gt;1,"DUPLICATE - two different territories assigned",IF($B303="** NO TERRITORY SET **","No territory on Brand Family Territory (Enc)","")))</f>
        <v/>
      </c>
      <c r="P303" t="str">
        <f>IF($A303="","",IFERROR(INDEX([1]Products!$H$4:$H$4801,MATCH($A303,[1]Products!$G$4:$G$4801,0)),"(no products)"))</f>
        <v/>
      </c>
      <c r="Q303" t="str">
        <f>IF($A303="","",COUNTIFS([1]Products!$G$4:$G$4801,$A303,[1]Products!$L$4:$L$4801,"Yes"))</f>
        <v/>
      </c>
      <c r="R303" t="str">
        <f>IF($A303="","",COUNTIFS([1]Products!$G$4:$G$4801,$A303,[1]Products!$L$4:$L$4801,"Yes",[1]Products!$K$4:$K$4801,"Draft"))</f>
        <v/>
      </c>
      <c r="S303" t="str">
        <f>IF($A303="","",COUNTIFS([1]Products!$G$4:$G$4801,$A303,[1]Products!$L$4:$L$4801,"Yes",[1]Products!$K$4:$K$4801,"Package"))</f>
        <v/>
      </c>
      <c r="T303" t="str" cm="1">
        <f t="array" ref="T303">IF($A303="","",_xlfn.IFS($Q303=0,"NO ACTIVE SKUs",AND($R303&gt;0,$S303&gt;0),"Draft &amp; Package",$R303&gt;0,"Draft only",TRUE,"Package only"))</f>
        <v/>
      </c>
    </row>
    <row r="304" spans="1:20" x14ac:dyDescent="0.2">
      <c r="A304" s="9"/>
      <c r="B304" s="10" t="str">
        <f>IF($A304="","",_xlfn.XLOOKUP($A304,'[1]Brand Family Territory (Enc)'!$A:$A,'[1]Brand Family Territory (Enc)'!$B:$B,"** NO TERRITORY SET **"))</f>
        <v/>
      </c>
      <c r="C304" s="11" t="str">
        <f>IF($A304="","",_xlfn.LET(_xlpm.t,MATCH($B304,'[1]Territory Definitions'!$B$5:$B$14,0),IF(ISNA(_xlpm.t),"NO TERRITORY",IF(INDEX('[1]Territory Definitions'!$D$5:$M$14,_xlpm.t,MATCH(C$4,'[1]Territory Definitions'!$D$4:$M$4,0))&lt;&gt;1,"NOT IN TERRITORY",IF(COUNTIFS('[1]Blackout Brand Fam Areas (Enc)'!$B$6:$B$998,$A304,'[1]Blackout Brand Fam Areas (Enc)'!$C$6:$C$998,C$4,'[1]Blackout Brand Fam Areas (Enc)'!$D$6:$D$998,"Inactive")&gt;0,"BLOCKED","CAN SELL")))))</f>
        <v/>
      </c>
      <c r="D304" s="11" t="str">
        <f>IF($A304="","",_xlfn.LET(_xlpm.t,MATCH($B304,'[1]Territory Definitions'!$B$5:$B$14,0),IF(ISNA(_xlpm.t),"NO TERRITORY",IF(INDEX('[1]Territory Definitions'!$D$5:$M$14,_xlpm.t,MATCH(D$4,'[1]Territory Definitions'!$D$4:$M$4,0))&lt;&gt;1,"NOT IN TERRITORY",IF(COUNTIFS('[1]Blackout Brand Fam Areas (Enc)'!$B$6:$B$998,$A304,'[1]Blackout Brand Fam Areas (Enc)'!$C$6:$C$998,D$4,'[1]Blackout Brand Fam Areas (Enc)'!$D$6:$D$998,"Inactive")&gt;0,"BLOCKED","CAN SELL")))))</f>
        <v/>
      </c>
      <c r="E304" s="11" t="str">
        <f>IF($A304="","",_xlfn.LET(_xlpm.t,MATCH($B304,'[1]Territory Definitions'!$B$5:$B$14,0),IF(ISNA(_xlpm.t),"NO TERRITORY",IF(INDEX('[1]Territory Definitions'!$D$5:$M$14,_xlpm.t,MATCH(E$4,'[1]Territory Definitions'!$D$4:$M$4,0))&lt;&gt;1,"NOT IN TERRITORY",IF(COUNTIFS('[1]Blackout Brand Fam Areas (Enc)'!$B$6:$B$998,$A304,'[1]Blackout Brand Fam Areas (Enc)'!$C$6:$C$998,E$4,'[1]Blackout Brand Fam Areas (Enc)'!$D$6:$D$998,"Inactive")&gt;0,"BLOCKED","CAN SELL")))))</f>
        <v/>
      </c>
      <c r="F304" s="11" t="str">
        <f>IF($A304="","",_xlfn.LET(_xlpm.t,MATCH($B304,'[1]Territory Definitions'!$B$5:$B$14,0),IF(ISNA(_xlpm.t),"NO TERRITORY",IF(INDEX('[1]Territory Definitions'!$D$5:$M$14,_xlpm.t,MATCH(F$4,'[1]Territory Definitions'!$D$4:$M$4,0))&lt;&gt;1,"NOT IN TERRITORY",IF(COUNTIFS('[1]Blackout Brand Fam Areas (Enc)'!$B$6:$B$998,$A304,'[1]Blackout Brand Fam Areas (Enc)'!$C$6:$C$998,F$4,'[1]Blackout Brand Fam Areas (Enc)'!$D$6:$D$998,"Inactive")&gt;0,"BLOCKED","CAN SELL")))))</f>
        <v/>
      </c>
      <c r="G304" s="11" t="str">
        <f>IF($A304="","",_xlfn.LET(_xlpm.t,MATCH($B304,'[1]Territory Definitions'!$B$5:$B$14,0),IF(ISNA(_xlpm.t),"NO TERRITORY",IF(INDEX('[1]Territory Definitions'!$D$5:$M$14,_xlpm.t,MATCH(G$4,'[1]Territory Definitions'!$D$4:$M$4,0))&lt;&gt;1,"NOT IN TERRITORY",IF(COUNTIFS('[1]Blackout Brand Fam Areas (Enc)'!$B$6:$B$998,$A304,'[1]Blackout Brand Fam Areas (Enc)'!$C$6:$C$998,G$4,'[1]Blackout Brand Fam Areas (Enc)'!$D$6:$D$998,"Inactive")&gt;0,"BLOCKED","CAN SELL")))))</f>
        <v/>
      </c>
      <c r="H304" s="11" t="str">
        <f>IF($A304="","",_xlfn.LET(_xlpm.t,MATCH($B304,'[1]Territory Definitions'!$B$5:$B$14,0),IF(ISNA(_xlpm.t),"NO TERRITORY",IF(INDEX('[1]Territory Definitions'!$D$5:$M$14,_xlpm.t,MATCH(H$4,'[1]Territory Definitions'!$D$4:$M$4,0))&lt;&gt;1,"NOT IN TERRITORY",IF(COUNTIFS('[1]Blackout Brand Fam Areas (Enc)'!$B$6:$B$998,$A304,'[1]Blackout Brand Fam Areas (Enc)'!$C$6:$C$998,H$4,'[1]Blackout Brand Fam Areas (Enc)'!$D$6:$D$998,"Inactive")&gt;0,"BLOCKED","CAN SELL")))))</f>
        <v/>
      </c>
      <c r="I304" s="11" t="str">
        <f>IF($A304="","",_xlfn.LET(_xlpm.t,MATCH($B304,'[1]Territory Definitions'!$B$5:$B$14,0),IF(ISNA(_xlpm.t),"NO TERRITORY",IF(INDEX('[1]Territory Definitions'!$D$5:$M$14,_xlpm.t,MATCH(I$4,'[1]Territory Definitions'!$D$4:$M$4,0))&lt;&gt;1,"NOT IN TERRITORY",IF(COUNTIFS('[1]Blackout Brand Fam Areas (Enc)'!$B$6:$B$998,$A304,'[1]Blackout Brand Fam Areas (Enc)'!$C$6:$C$998,I$4,'[1]Blackout Brand Fam Areas (Enc)'!$D$6:$D$998,"Inactive")&gt;0,"BLOCKED","CAN SELL")))))</f>
        <v/>
      </c>
      <c r="J304" s="11" t="str">
        <f>IF($A304="","",_xlfn.LET(_xlpm.t,MATCH($B304,'[1]Territory Definitions'!$B$5:$B$14,0),IF(ISNA(_xlpm.t),"NO TERRITORY",IF(INDEX('[1]Territory Definitions'!$D$5:$M$14,_xlpm.t,MATCH(J$4,'[1]Territory Definitions'!$D$4:$M$4,0))&lt;&gt;1,"NOT IN TERRITORY",IF(COUNTIFS('[1]Blackout Brand Fam Areas (Enc)'!$B$6:$B$998,$A304,'[1]Blackout Brand Fam Areas (Enc)'!$C$6:$C$998,J$4,'[1]Blackout Brand Fam Areas (Enc)'!$D$6:$D$998,"Inactive")&gt;0,"BLOCKED","CAN SELL")))))</f>
        <v/>
      </c>
      <c r="K304" s="11" t="str">
        <f>IF($A304="","",_xlfn.LET(_xlpm.t,MATCH($B304,'[1]Territory Definitions'!$B$5:$B$14,0),IF(ISNA(_xlpm.t),"NO TERRITORY",IF(INDEX('[1]Territory Definitions'!$D$5:$M$14,_xlpm.t,MATCH(K$4,'[1]Territory Definitions'!$D$4:$M$4,0))&lt;&gt;1,"NOT IN TERRITORY",IF(COUNTIFS('[1]Blackout Brand Fam Areas (Enc)'!$B$6:$B$998,$A304,'[1]Blackout Brand Fam Areas (Enc)'!$C$6:$C$998,K$4,'[1]Blackout Brand Fam Areas (Enc)'!$D$6:$D$998,"Inactive")&gt;0,"BLOCKED","CAN SELL")))))</f>
        <v/>
      </c>
      <c r="L304" s="11" t="str">
        <f>IF($A304="","",_xlfn.LET(_xlpm.t,MATCH($B304,'[1]Territory Definitions'!$B$5:$B$14,0),IF(ISNA(_xlpm.t),"NO TERRITORY",IF(INDEX('[1]Territory Definitions'!$D$5:$M$14,_xlpm.t,MATCH(L$4,'[1]Territory Definitions'!$D$4:$M$4,0))&lt;&gt;1,"NOT IN TERRITORY",IF(COUNTIFS('[1]Blackout Brand Fam Areas (Enc)'!$B$6:$B$998,$A304,'[1]Blackout Brand Fam Areas (Enc)'!$C$6:$C$998,L$4,'[1]Blackout Brand Fam Areas (Enc)'!$D$6:$D$998,"Inactive")&gt;0,"BLOCKED","CAN SELL")))))</f>
        <v/>
      </c>
      <c r="M304" s="12" t="str">
        <f>IF($A304="","",COUNTIF($C304:$L304,"CAN SELL"))</f>
        <v/>
      </c>
      <c r="N304" s="13" t="str" cm="1">
        <f t="array" ref="N304">IF($A304="","",SUMPRODUCT(($C304:$L304="CAN SELL")*$C$3:$L$3))</f>
        <v/>
      </c>
      <c r="O304" s="14" t="str">
        <f>IF($A304="","",IF(COUNTIF($A$5:$A$299,$A304)&gt;1,"DUPLICATE - two different territories assigned",IF($B304="** NO TERRITORY SET **","No territory on Brand Family Territory (Enc)","")))</f>
        <v/>
      </c>
      <c r="P304" t="str">
        <f>IF($A304="","",IFERROR(INDEX([1]Products!$H$4:$H$4801,MATCH($A304,[1]Products!$G$4:$G$4801,0)),"(no products)"))</f>
        <v/>
      </c>
      <c r="Q304" t="str">
        <f>IF($A304="","",COUNTIFS([1]Products!$G$4:$G$4801,$A304,[1]Products!$L$4:$L$4801,"Yes"))</f>
        <v/>
      </c>
      <c r="R304" t="str">
        <f>IF($A304="","",COUNTIFS([1]Products!$G$4:$G$4801,$A304,[1]Products!$L$4:$L$4801,"Yes",[1]Products!$K$4:$K$4801,"Draft"))</f>
        <v/>
      </c>
      <c r="S304" t="str">
        <f>IF($A304="","",COUNTIFS([1]Products!$G$4:$G$4801,$A304,[1]Products!$L$4:$L$4801,"Yes",[1]Products!$K$4:$K$4801,"Package"))</f>
        <v/>
      </c>
      <c r="T304" t="str" cm="1">
        <f t="array" ref="T304">IF($A304="","",_xlfn.IFS($Q304=0,"NO ACTIVE SKUs",AND($R304&gt;0,$S304&gt;0),"Draft &amp; Package",$R304&gt;0,"Draft only",TRUE,"Package only"))</f>
        <v/>
      </c>
    </row>
    <row r="305" spans="1:20" x14ac:dyDescent="0.2">
      <c r="A305" s="9"/>
      <c r="B305" s="10" t="str">
        <f>IF($A305="","",_xlfn.XLOOKUP($A305,'[1]Brand Family Territory (Enc)'!$A:$A,'[1]Brand Family Territory (Enc)'!$B:$B,"** NO TERRITORY SET **"))</f>
        <v/>
      </c>
      <c r="C305" s="11" t="str">
        <f>IF($A305="","",_xlfn.LET(_xlpm.t,MATCH($B305,'[1]Territory Definitions'!$B$5:$B$14,0),IF(ISNA(_xlpm.t),"NO TERRITORY",IF(INDEX('[1]Territory Definitions'!$D$5:$M$14,_xlpm.t,MATCH(C$4,'[1]Territory Definitions'!$D$4:$M$4,0))&lt;&gt;1,"NOT IN TERRITORY",IF(COUNTIFS('[1]Blackout Brand Fam Areas (Enc)'!$B$6:$B$998,$A305,'[1]Blackout Brand Fam Areas (Enc)'!$C$6:$C$998,C$4,'[1]Blackout Brand Fam Areas (Enc)'!$D$6:$D$998,"Inactive")&gt;0,"BLOCKED","CAN SELL")))))</f>
        <v/>
      </c>
      <c r="D305" s="11" t="str">
        <f>IF($A305="","",_xlfn.LET(_xlpm.t,MATCH($B305,'[1]Territory Definitions'!$B$5:$B$14,0),IF(ISNA(_xlpm.t),"NO TERRITORY",IF(INDEX('[1]Territory Definitions'!$D$5:$M$14,_xlpm.t,MATCH(D$4,'[1]Territory Definitions'!$D$4:$M$4,0))&lt;&gt;1,"NOT IN TERRITORY",IF(COUNTIFS('[1]Blackout Brand Fam Areas (Enc)'!$B$6:$B$998,$A305,'[1]Blackout Brand Fam Areas (Enc)'!$C$6:$C$998,D$4,'[1]Blackout Brand Fam Areas (Enc)'!$D$6:$D$998,"Inactive")&gt;0,"BLOCKED","CAN SELL")))))</f>
        <v/>
      </c>
      <c r="E305" s="11" t="str">
        <f>IF($A305="","",_xlfn.LET(_xlpm.t,MATCH($B305,'[1]Territory Definitions'!$B$5:$B$14,0),IF(ISNA(_xlpm.t),"NO TERRITORY",IF(INDEX('[1]Territory Definitions'!$D$5:$M$14,_xlpm.t,MATCH(E$4,'[1]Territory Definitions'!$D$4:$M$4,0))&lt;&gt;1,"NOT IN TERRITORY",IF(COUNTIFS('[1]Blackout Brand Fam Areas (Enc)'!$B$6:$B$998,$A305,'[1]Blackout Brand Fam Areas (Enc)'!$C$6:$C$998,E$4,'[1]Blackout Brand Fam Areas (Enc)'!$D$6:$D$998,"Inactive")&gt;0,"BLOCKED","CAN SELL")))))</f>
        <v/>
      </c>
      <c r="F305" s="11" t="str">
        <f>IF($A305="","",_xlfn.LET(_xlpm.t,MATCH($B305,'[1]Territory Definitions'!$B$5:$B$14,0),IF(ISNA(_xlpm.t),"NO TERRITORY",IF(INDEX('[1]Territory Definitions'!$D$5:$M$14,_xlpm.t,MATCH(F$4,'[1]Territory Definitions'!$D$4:$M$4,0))&lt;&gt;1,"NOT IN TERRITORY",IF(COUNTIFS('[1]Blackout Brand Fam Areas (Enc)'!$B$6:$B$998,$A305,'[1]Blackout Brand Fam Areas (Enc)'!$C$6:$C$998,F$4,'[1]Blackout Brand Fam Areas (Enc)'!$D$6:$D$998,"Inactive")&gt;0,"BLOCKED","CAN SELL")))))</f>
        <v/>
      </c>
      <c r="G305" s="11" t="str">
        <f>IF($A305="","",_xlfn.LET(_xlpm.t,MATCH($B305,'[1]Territory Definitions'!$B$5:$B$14,0),IF(ISNA(_xlpm.t),"NO TERRITORY",IF(INDEX('[1]Territory Definitions'!$D$5:$M$14,_xlpm.t,MATCH(G$4,'[1]Territory Definitions'!$D$4:$M$4,0))&lt;&gt;1,"NOT IN TERRITORY",IF(COUNTIFS('[1]Blackout Brand Fam Areas (Enc)'!$B$6:$B$998,$A305,'[1]Blackout Brand Fam Areas (Enc)'!$C$6:$C$998,G$4,'[1]Blackout Brand Fam Areas (Enc)'!$D$6:$D$998,"Inactive")&gt;0,"BLOCKED","CAN SELL")))))</f>
        <v/>
      </c>
      <c r="H305" s="11" t="str">
        <f>IF($A305="","",_xlfn.LET(_xlpm.t,MATCH($B305,'[1]Territory Definitions'!$B$5:$B$14,0),IF(ISNA(_xlpm.t),"NO TERRITORY",IF(INDEX('[1]Territory Definitions'!$D$5:$M$14,_xlpm.t,MATCH(H$4,'[1]Territory Definitions'!$D$4:$M$4,0))&lt;&gt;1,"NOT IN TERRITORY",IF(COUNTIFS('[1]Blackout Brand Fam Areas (Enc)'!$B$6:$B$998,$A305,'[1]Blackout Brand Fam Areas (Enc)'!$C$6:$C$998,H$4,'[1]Blackout Brand Fam Areas (Enc)'!$D$6:$D$998,"Inactive")&gt;0,"BLOCKED","CAN SELL")))))</f>
        <v/>
      </c>
      <c r="I305" s="11" t="str">
        <f>IF($A305="","",_xlfn.LET(_xlpm.t,MATCH($B305,'[1]Territory Definitions'!$B$5:$B$14,0),IF(ISNA(_xlpm.t),"NO TERRITORY",IF(INDEX('[1]Territory Definitions'!$D$5:$M$14,_xlpm.t,MATCH(I$4,'[1]Territory Definitions'!$D$4:$M$4,0))&lt;&gt;1,"NOT IN TERRITORY",IF(COUNTIFS('[1]Blackout Brand Fam Areas (Enc)'!$B$6:$B$998,$A305,'[1]Blackout Brand Fam Areas (Enc)'!$C$6:$C$998,I$4,'[1]Blackout Brand Fam Areas (Enc)'!$D$6:$D$998,"Inactive")&gt;0,"BLOCKED","CAN SELL")))))</f>
        <v/>
      </c>
      <c r="J305" s="11" t="str">
        <f>IF($A305="","",_xlfn.LET(_xlpm.t,MATCH($B305,'[1]Territory Definitions'!$B$5:$B$14,0),IF(ISNA(_xlpm.t),"NO TERRITORY",IF(INDEX('[1]Territory Definitions'!$D$5:$M$14,_xlpm.t,MATCH(J$4,'[1]Territory Definitions'!$D$4:$M$4,0))&lt;&gt;1,"NOT IN TERRITORY",IF(COUNTIFS('[1]Blackout Brand Fam Areas (Enc)'!$B$6:$B$998,$A305,'[1]Blackout Brand Fam Areas (Enc)'!$C$6:$C$998,J$4,'[1]Blackout Brand Fam Areas (Enc)'!$D$6:$D$998,"Inactive")&gt;0,"BLOCKED","CAN SELL")))))</f>
        <v/>
      </c>
      <c r="K305" s="11" t="str">
        <f>IF($A305="","",_xlfn.LET(_xlpm.t,MATCH($B305,'[1]Territory Definitions'!$B$5:$B$14,0),IF(ISNA(_xlpm.t),"NO TERRITORY",IF(INDEX('[1]Territory Definitions'!$D$5:$M$14,_xlpm.t,MATCH(K$4,'[1]Territory Definitions'!$D$4:$M$4,0))&lt;&gt;1,"NOT IN TERRITORY",IF(COUNTIFS('[1]Blackout Brand Fam Areas (Enc)'!$B$6:$B$998,$A305,'[1]Blackout Brand Fam Areas (Enc)'!$C$6:$C$998,K$4,'[1]Blackout Brand Fam Areas (Enc)'!$D$6:$D$998,"Inactive")&gt;0,"BLOCKED","CAN SELL")))))</f>
        <v/>
      </c>
      <c r="L305" s="11" t="str">
        <f>IF($A305="","",_xlfn.LET(_xlpm.t,MATCH($B305,'[1]Territory Definitions'!$B$5:$B$14,0),IF(ISNA(_xlpm.t),"NO TERRITORY",IF(INDEX('[1]Territory Definitions'!$D$5:$M$14,_xlpm.t,MATCH(L$4,'[1]Territory Definitions'!$D$4:$M$4,0))&lt;&gt;1,"NOT IN TERRITORY",IF(COUNTIFS('[1]Blackout Brand Fam Areas (Enc)'!$B$6:$B$998,$A305,'[1]Blackout Brand Fam Areas (Enc)'!$C$6:$C$998,L$4,'[1]Blackout Brand Fam Areas (Enc)'!$D$6:$D$998,"Inactive")&gt;0,"BLOCKED","CAN SELL")))))</f>
        <v/>
      </c>
      <c r="M305" s="12" t="str">
        <f>IF($A305="","",COUNTIF($C305:$L305,"CAN SELL"))</f>
        <v/>
      </c>
      <c r="N305" s="13" t="str" cm="1">
        <f t="array" ref="N305">IF($A305="","",SUMPRODUCT(($C305:$L305="CAN SELL")*$C$3:$L$3))</f>
        <v/>
      </c>
      <c r="O305" s="14" t="str">
        <f>IF($A305="","",IF(COUNTIF($A$5:$A$299,$A305)&gt;1,"DUPLICATE - two different territories assigned",IF($B305="** NO TERRITORY SET **","No territory on Brand Family Territory (Enc)","")))</f>
        <v/>
      </c>
      <c r="P305" t="str">
        <f>IF($A305="","",IFERROR(INDEX([1]Products!$H$4:$H$4801,MATCH($A305,[1]Products!$G$4:$G$4801,0)),"(no products)"))</f>
        <v/>
      </c>
      <c r="Q305" t="str">
        <f>IF($A305="","",COUNTIFS([1]Products!$G$4:$G$4801,$A305,[1]Products!$L$4:$L$4801,"Yes"))</f>
        <v/>
      </c>
      <c r="R305" t="str">
        <f>IF($A305="","",COUNTIFS([1]Products!$G$4:$G$4801,$A305,[1]Products!$L$4:$L$4801,"Yes",[1]Products!$K$4:$K$4801,"Draft"))</f>
        <v/>
      </c>
      <c r="S305" t="str">
        <f>IF($A305="","",COUNTIFS([1]Products!$G$4:$G$4801,$A305,[1]Products!$L$4:$L$4801,"Yes",[1]Products!$K$4:$K$4801,"Package"))</f>
        <v/>
      </c>
      <c r="T305" t="str" cm="1">
        <f t="array" ref="T305">IF($A305="","",_xlfn.IFS($Q305=0,"NO ACTIVE SKUs",AND($R305&gt;0,$S305&gt;0),"Draft &amp; Package",$R305&gt;0,"Draft only",TRUE,"Package only"))</f>
        <v/>
      </c>
    </row>
    <row r="306" spans="1:20" x14ac:dyDescent="0.2">
      <c r="A306" s="9"/>
      <c r="B306" s="10" t="str">
        <f>IF($A306="","",_xlfn.XLOOKUP($A306,'[1]Brand Family Territory (Enc)'!$A:$A,'[1]Brand Family Territory (Enc)'!$B:$B,"** NO TERRITORY SET **"))</f>
        <v/>
      </c>
      <c r="C306" s="11" t="str">
        <f>IF($A306="","",_xlfn.LET(_xlpm.t,MATCH($B306,'[1]Territory Definitions'!$B$5:$B$14,0),IF(ISNA(_xlpm.t),"NO TERRITORY",IF(INDEX('[1]Territory Definitions'!$D$5:$M$14,_xlpm.t,MATCH(C$4,'[1]Territory Definitions'!$D$4:$M$4,0))&lt;&gt;1,"NOT IN TERRITORY",IF(COUNTIFS('[1]Blackout Brand Fam Areas (Enc)'!$B$6:$B$998,$A306,'[1]Blackout Brand Fam Areas (Enc)'!$C$6:$C$998,C$4,'[1]Blackout Brand Fam Areas (Enc)'!$D$6:$D$998,"Inactive")&gt;0,"BLOCKED","CAN SELL")))))</f>
        <v/>
      </c>
      <c r="D306" s="11" t="str">
        <f>IF($A306="","",_xlfn.LET(_xlpm.t,MATCH($B306,'[1]Territory Definitions'!$B$5:$B$14,0),IF(ISNA(_xlpm.t),"NO TERRITORY",IF(INDEX('[1]Territory Definitions'!$D$5:$M$14,_xlpm.t,MATCH(D$4,'[1]Territory Definitions'!$D$4:$M$4,0))&lt;&gt;1,"NOT IN TERRITORY",IF(COUNTIFS('[1]Blackout Brand Fam Areas (Enc)'!$B$6:$B$998,$A306,'[1]Blackout Brand Fam Areas (Enc)'!$C$6:$C$998,D$4,'[1]Blackout Brand Fam Areas (Enc)'!$D$6:$D$998,"Inactive")&gt;0,"BLOCKED","CAN SELL")))))</f>
        <v/>
      </c>
      <c r="E306" s="11" t="str">
        <f>IF($A306="","",_xlfn.LET(_xlpm.t,MATCH($B306,'[1]Territory Definitions'!$B$5:$B$14,0),IF(ISNA(_xlpm.t),"NO TERRITORY",IF(INDEX('[1]Territory Definitions'!$D$5:$M$14,_xlpm.t,MATCH(E$4,'[1]Territory Definitions'!$D$4:$M$4,0))&lt;&gt;1,"NOT IN TERRITORY",IF(COUNTIFS('[1]Blackout Brand Fam Areas (Enc)'!$B$6:$B$998,$A306,'[1]Blackout Brand Fam Areas (Enc)'!$C$6:$C$998,E$4,'[1]Blackout Brand Fam Areas (Enc)'!$D$6:$D$998,"Inactive")&gt;0,"BLOCKED","CAN SELL")))))</f>
        <v/>
      </c>
      <c r="F306" s="11" t="str">
        <f>IF($A306="","",_xlfn.LET(_xlpm.t,MATCH($B306,'[1]Territory Definitions'!$B$5:$B$14,0),IF(ISNA(_xlpm.t),"NO TERRITORY",IF(INDEX('[1]Territory Definitions'!$D$5:$M$14,_xlpm.t,MATCH(F$4,'[1]Territory Definitions'!$D$4:$M$4,0))&lt;&gt;1,"NOT IN TERRITORY",IF(COUNTIFS('[1]Blackout Brand Fam Areas (Enc)'!$B$6:$B$998,$A306,'[1]Blackout Brand Fam Areas (Enc)'!$C$6:$C$998,F$4,'[1]Blackout Brand Fam Areas (Enc)'!$D$6:$D$998,"Inactive")&gt;0,"BLOCKED","CAN SELL")))))</f>
        <v/>
      </c>
      <c r="G306" s="11" t="str">
        <f>IF($A306="","",_xlfn.LET(_xlpm.t,MATCH($B306,'[1]Territory Definitions'!$B$5:$B$14,0),IF(ISNA(_xlpm.t),"NO TERRITORY",IF(INDEX('[1]Territory Definitions'!$D$5:$M$14,_xlpm.t,MATCH(G$4,'[1]Territory Definitions'!$D$4:$M$4,0))&lt;&gt;1,"NOT IN TERRITORY",IF(COUNTIFS('[1]Blackout Brand Fam Areas (Enc)'!$B$6:$B$998,$A306,'[1]Blackout Brand Fam Areas (Enc)'!$C$6:$C$998,G$4,'[1]Blackout Brand Fam Areas (Enc)'!$D$6:$D$998,"Inactive")&gt;0,"BLOCKED","CAN SELL")))))</f>
        <v/>
      </c>
      <c r="H306" s="11" t="str">
        <f>IF($A306="","",_xlfn.LET(_xlpm.t,MATCH($B306,'[1]Territory Definitions'!$B$5:$B$14,0),IF(ISNA(_xlpm.t),"NO TERRITORY",IF(INDEX('[1]Territory Definitions'!$D$5:$M$14,_xlpm.t,MATCH(H$4,'[1]Territory Definitions'!$D$4:$M$4,0))&lt;&gt;1,"NOT IN TERRITORY",IF(COUNTIFS('[1]Blackout Brand Fam Areas (Enc)'!$B$6:$B$998,$A306,'[1]Blackout Brand Fam Areas (Enc)'!$C$6:$C$998,H$4,'[1]Blackout Brand Fam Areas (Enc)'!$D$6:$D$998,"Inactive")&gt;0,"BLOCKED","CAN SELL")))))</f>
        <v/>
      </c>
      <c r="I306" s="11" t="str">
        <f>IF($A306="","",_xlfn.LET(_xlpm.t,MATCH($B306,'[1]Territory Definitions'!$B$5:$B$14,0),IF(ISNA(_xlpm.t),"NO TERRITORY",IF(INDEX('[1]Territory Definitions'!$D$5:$M$14,_xlpm.t,MATCH(I$4,'[1]Territory Definitions'!$D$4:$M$4,0))&lt;&gt;1,"NOT IN TERRITORY",IF(COUNTIFS('[1]Blackout Brand Fam Areas (Enc)'!$B$6:$B$998,$A306,'[1]Blackout Brand Fam Areas (Enc)'!$C$6:$C$998,I$4,'[1]Blackout Brand Fam Areas (Enc)'!$D$6:$D$998,"Inactive")&gt;0,"BLOCKED","CAN SELL")))))</f>
        <v/>
      </c>
      <c r="J306" s="11" t="str">
        <f>IF($A306="","",_xlfn.LET(_xlpm.t,MATCH($B306,'[1]Territory Definitions'!$B$5:$B$14,0),IF(ISNA(_xlpm.t),"NO TERRITORY",IF(INDEX('[1]Territory Definitions'!$D$5:$M$14,_xlpm.t,MATCH(J$4,'[1]Territory Definitions'!$D$4:$M$4,0))&lt;&gt;1,"NOT IN TERRITORY",IF(COUNTIFS('[1]Blackout Brand Fam Areas (Enc)'!$B$6:$B$998,$A306,'[1]Blackout Brand Fam Areas (Enc)'!$C$6:$C$998,J$4,'[1]Blackout Brand Fam Areas (Enc)'!$D$6:$D$998,"Inactive")&gt;0,"BLOCKED","CAN SELL")))))</f>
        <v/>
      </c>
      <c r="K306" s="11" t="str">
        <f>IF($A306="","",_xlfn.LET(_xlpm.t,MATCH($B306,'[1]Territory Definitions'!$B$5:$B$14,0),IF(ISNA(_xlpm.t),"NO TERRITORY",IF(INDEX('[1]Territory Definitions'!$D$5:$M$14,_xlpm.t,MATCH(K$4,'[1]Territory Definitions'!$D$4:$M$4,0))&lt;&gt;1,"NOT IN TERRITORY",IF(COUNTIFS('[1]Blackout Brand Fam Areas (Enc)'!$B$6:$B$998,$A306,'[1]Blackout Brand Fam Areas (Enc)'!$C$6:$C$998,K$4,'[1]Blackout Brand Fam Areas (Enc)'!$D$6:$D$998,"Inactive")&gt;0,"BLOCKED","CAN SELL")))))</f>
        <v/>
      </c>
      <c r="L306" s="11" t="str">
        <f>IF($A306="","",_xlfn.LET(_xlpm.t,MATCH($B306,'[1]Territory Definitions'!$B$5:$B$14,0),IF(ISNA(_xlpm.t),"NO TERRITORY",IF(INDEX('[1]Territory Definitions'!$D$5:$M$14,_xlpm.t,MATCH(L$4,'[1]Territory Definitions'!$D$4:$M$4,0))&lt;&gt;1,"NOT IN TERRITORY",IF(COUNTIFS('[1]Blackout Brand Fam Areas (Enc)'!$B$6:$B$998,$A306,'[1]Blackout Brand Fam Areas (Enc)'!$C$6:$C$998,L$4,'[1]Blackout Brand Fam Areas (Enc)'!$D$6:$D$998,"Inactive")&gt;0,"BLOCKED","CAN SELL")))))</f>
        <v/>
      </c>
      <c r="M306" s="12" t="str">
        <f>IF($A306="","",COUNTIF($C306:$L306,"CAN SELL"))</f>
        <v/>
      </c>
      <c r="N306" s="13" t="str" cm="1">
        <f t="array" ref="N306">IF($A306="","",SUMPRODUCT(($C306:$L306="CAN SELL")*$C$3:$L$3))</f>
        <v/>
      </c>
      <c r="O306" s="14" t="str">
        <f>IF($A306="","",IF(COUNTIF($A$5:$A$299,$A306)&gt;1,"DUPLICATE - two different territories assigned",IF($B306="** NO TERRITORY SET **","No territory on Brand Family Territory (Enc)","")))</f>
        <v/>
      </c>
      <c r="P306" t="str">
        <f>IF($A306="","",IFERROR(INDEX([1]Products!$H$4:$H$4801,MATCH($A306,[1]Products!$G$4:$G$4801,0)),"(no products)"))</f>
        <v/>
      </c>
      <c r="Q306" t="str">
        <f>IF($A306="","",COUNTIFS([1]Products!$G$4:$G$4801,$A306,[1]Products!$L$4:$L$4801,"Yes"))</f>
        <v/>
      </c>
      <c r="R306" t="str">
        <f>IF($A306="","",COUNTIFS([1]Products!$G$4:$G$4801,$A306,[1]Products!$L$4:$L$4801,"Yes",[1]Products!$K$4:$K$4801,"Draft"))</f>
        <v/>
      </c>
      <c r="S306" t="str">
        <f>IF($A306="","",COUNTIFS([1]Products!$G$4:$G$4801,$A306,[1]Products!$L$4:$L$4801,"Yes",[1]Products!$K$4:$K$4801,"Package"))</f>
        <v/>
      </c>
      <c r="T306" t="str" cm="1">
        <f t="array" ref="T306">IF($A306="","",_xlfn.IFS($Q306=0,"NO ACTIVE SKUs",AND($R306&gt;0,$S306&gt;0),"Draft &amp; Package",$R306&gt;0,"Draft only",TRUE,"Package only"))</f>
        <v/>
      </c>
    </row>
    <row r="307" spans="1:20" x14ac:dyDescent="0.2">
      <c r="A307" s="9"/>
      <c r="B307" s="10" t="str">
        <f>IF($A307="","",_xlfn.XLOOKUP($A307,'[1]Brand Family Territory (Enc)'!$A:$A,'[1]Brand Family Territory (Enc)'!$B:$B,"** NO TERRITORY SET **"))</f>
        <v/>
      </c>
      <c r="C307" s="11" t="str">
        <f>IF($A307="","",_xlfn.LET(_xlpm.t,MATCH($B307,'[1]Territory Definitions'!$B$5:$B$14,0),IF(ISNA(_xlpm.t),"NO TERRITORY",IF(INDEX('[1]Territory Definitions'!$D$5:$M$14,_xlpm.t,MATCH(C$4,'[1]Territory Definitions'!$D$4:$M$4,0))&lt;&gt;1,"NOT IN TERRITORY",IF(COUNTIFS('[1]Blackout Brand Fam Areas (Enc)'!$B$6:$B$998,$A307,'[1]Blackout Brand Fam Areas (Enc)'!$C$6:$C$998,C$4,'[1]Blackout Brand Fam Areas (Enc)'!$D$6:$D$998,"Inactive")&gt;0,"BLOCKED","CAN SELL")))))</f>
        <v/>
      </c>
      <c r="D307" s="11" t="str">
        <f>IF($A307="","",_xlfn.LET(_xlpm.t,MATCH($B307,'[1]Territory Definitions'!$B$5:$B$14,0),IF(ISNA(_xlpm.t),"NO TERRITORY",IF(INDEX('[1]Territory Definitions'!$D$5:$M$14,_xlpm.t,MATCH(D$4,'[1]Territory Definitions'!$D$4:$M$4,0))&lt;&gt;1,"NOT IN TERRITORY",IF(COUNTIFS('[1]Blackout Brand Fam Areas (Enc)'!$B$6:$B$998,$A307,'[1]Blackout Brand Fam Areas (Enc)'!$C$6:$C$998,D$4,'[1]Blackout Brand Fam Areas (Enc)'!$D$6:$D$998,"Inactive")&gt;0,"BLOCKED","CAN SELL")))))</f>
        <v/>
      </c>
      <c r="E307" s="11" t="str">
        <f>IF($A307="","",_xlfn.LET(_xlpm.t,MATCH($B307,'[1]Territory Definitions'!$B$5:$B$14,0),IF(ISNA(_xlpm.t),"NO TERRITORY",IF(INDEX('[1]Territory Definitions'!$D$5:$M$14,_xlpm.t,MATCH(E$4,'[1]Territory Definitions'!$D$4:$M$4,0))&lt;&gt;1,"NOT IN TERRITORY",IF(COUNTIFS('[1]Blackout Brand Fam Areas (Enc)'!$B$6:$B$998,$A307,'[1]Blackout Brand Fam Areas (Enc)'!$C$6:$C$998,E$4,'[1]Blackout Brand Fam Areas (Enc)'!$D$6:$D$998,"Inactive")&gt;0,"BLOCKED","CAN SELL")))))</f>
        <v/>
      </c>
      <c r="F307" s="11" t="str">
        <f>IF($A307="","",_xlfn.LET(_xlpm.t,MATCH($B307,'[1]Territory Definitions'!$B$5:$B$14,0),IF(ISNA(_xlpm.t),"NO TERRITORY",IF(INDEX('[1]Territory Definitions'!$D$5:$M$14,_xlpm.t,MATCH(F$4,'[1]Territory Definitions'!$D$4:$M$4,0))&lt;&gt;1,"NOT IN TERRITORY",IF(COUNTIFS('[1]Blackout Brand Fam Areas (Enc)'!$B$6:$B$998,$A307,'[1]Blackout Brand Fam Areas (Enc)'!$C$6:$C$998,F$4,'[1]Blackout Brand Fam Areas (Enc)'!$D$6:$D$998,"Inactive")&gt;0,"BLOCKED","CAN SELL")))))</f>
        <v/>
      </c>
      <c r="G307" s="11" t="str">
        <f>IF($A307="","",_xlfn.LET(_xlpm.t,MATCH($B307,'[1]Territory Definitions'!$B$5:$B$14,0),IF(ISNA(_xlpm.t),"NO TERRITORY",IF(INDEX('[1]Territory Definitions'!$D$5:$M$14,_xlpm.t,MATCH(G$4,'[1]Territory Definitions'!$D$4:$M$4,0))&lt;&gt;1,"NOT IN TERRITORY",IF(COUNTIFS('[1]Blackout Brand Fam Areas (Enc)'!$B$6:$B$998,$A307,'[1]Blackout Brand Fam Areas (Enc)'!$C$6:$C$998,G$4,'[1]Blackout Brand Fam Areas (Enc)'!$D$6:$D$998,"Inactive")&gt;0,"BLOCKED","CAN SELL")))))</f>
        <v/>
      </c>
      <c r="H307" s="11" t="str">
        <f>IF($A307="","",_xlfn.LET(_xlpm.t,MATCH($B307,'[1]Territory Definitions'!$B$5:$B$14,0),IF(ISNA(_xlpm.t),"NO TERRITORY",IF(INDEX('[1]Territory Definitions'!$D$5:$M$14,_xlpm.t,MATCH(H$4,'[1]Territory Definitions'!$D$4:$M$4,0))&lt;&gt;1,"NOT IN TERRITORY",IF(COUNTIFS('[1]Blackout Brand Fam Areas (Enc)'!$B$6:$B$998,$A307,'[1]Blackout Brand Fam Areas (Enc)'!$C$6:$C$998,H$4,'[1]Blackout Brand Fam Areas (Enc)'!$D$6:$D$998,"Inactive")&gt;0,"BLOCKED","CAN SELL")))))</f>
        <v/>
      </c>
      <c r="I307" s="11" t="str">
        <f>IF($A307="","",_xlfn.LET(_xlpm.t,MATCH($B307,'[1]Territory Definitions'!$B$5:$B$14,0),IF(ISNA(_xlpm.t),"NO TERRITORY",IF(INDEX('[1]Territory Definitions'!$D$5:$M$14,_xlpm.t,MATCH(I$4,'[1]Territory Definitions'!$D$4:$M$4,0))&lt;&gt;1,"NOT IN TERRITORY",IF(COUNTIFS('[1]Blackout Brand Fam Areas (Enc)'!$B$6:$B$998,$A307,'[1]Blackout Brand Fam Areas (Enc)'!$C$6:$C$998,I$4,'[1]Blackout Brand Fam Areas (Enc)'!$D$6:$D$998,"Inactive")&gt;0,"BLOCKED","CAN SELL")))))</f>
        <v/>
      </c>
      <c r="J307" s="11" t="str">
        <f>IF($A307="","",_xlfn.LET(_xlpm.t,MATCH($B307,'[1]Territory Definitions'!$B$5:$B$14,0),IF(ISNA(_xlpm.t),"NO TERRITORY",IF(INDEX('[1]Territory Definitions'!$D$5:$M$14,_xlpm.t,MATCH(J$4,'[1]Territory Definitions'!$D$4:$M$4,0))&lt;&gt;1,"NOT IN TERRITORY",IF(COUNTIFS('[1]Blackout Brand Fam Areas (Enc)'!$B$6:$B$998,$A307,'[1]Blackout Brand Fam Areas (Enc)'!$C$6:$C$998,J$4,'[1]Blackout Brand Fam Areas (Enc)'!$D$6:$D$998,"Inactive")&gt;0,"BLOCKED","CAN SELL")))))</f>
        <v/>
      </c>
      <c r="K307" s="11" t="str">
        <f>IF($A307="","",_xlfn.LET(_xlpm.t,MATCH($B307,'[1]Territory Definitions'!$B$5:$B$14,0),IF(ISNA(_xlpm.t),"NO TERRITORY",IF(INDEX('[1]Territory Definitions'!$D$5:$M$14,_xlpm.t,MATCH(K$4,'[1]Territory Definitions'!$D$4:$M$4,0))&lt;&gt;1,"NOT IN TERRITORY",IF(COUNTIFS('[1]Blackout Brand Fam Areas (Enc)'!$B$6:$B$998,$A307,'[1]Blackout Brand Fam Areas (Enc)'!$C$6:$C$998,K$4,'[1]Blackout Brand Fam Areas (Enc)'!$D$6:$D$998,"Inactive")&gt;0,"BLOCKED","CAN SELL")))))</f>
        <v/>
      </c>
      <c r="L307" s="11" t="str">
        <f>IF($A307="","",_xlfn.LET(_xlpm.t,MATCH($B307,'[1]Territory Definitions'!$B$5:$B$14,0),IF(ISNA(_xlpm.t),"NO TERRITORY",IF(INDEX('[1]Territory Definitions'!$D$5:$M$14,_xlpm.t,MATCH(L$4,'[1]Territory Definitions'!$D$4:$M$4,0))&lt;&gt;1,"NOT IN TERRITORY",IF(COUNTIFS('[1]Blackout Brand Fam Areas (Enc)'!$B$6:$B$998,$A307,'[1]Blackout Brand Fam Areas (Enc)'!$C$6:$C$998,L$4,'[1]Blackout Brand Fam Areas (Enc)'!$D$6:$D$998,"Inactive")&gt;0,"BLOCKED","CAN SELL")))))</f>
        <v/>
      </c>
      <c r="M307" s="12" t="str">
        <f>IF($A307="","",COUNTIF($C307:$L307,"CAN SELL"))</f>
        <v/>
      </c>
      <c r="N307" s="13" t="str" cm="1">
        <f t="array" ref="N307">IF($A307="","",SUMPRODUCT(($C307:$L307="CAN SELL")*$C$3:$L$3))</f>
        <v/>
      </c>
      <c r="O307" s="14" t="str">
        <f>IF($A307="","",IF(COUNTIF($A$5:$A$299,$A307)&gt;1,"DUPLICATE - two different territories assigned",IF($B307="** NO TERRITORY SET **","No territory on Brand Family Territory (Enc)","")))</f>
        <v/>
      </c>
      <c r="P307" t="str">
        <f>IF($A307="","",IFERROR(INDEX([1]Products!$H$4:$H$4801,MATCH($A307,[1]Products!$G$4:$G$4801,0)),"(no products)"))</f>
        <v/>
      </c>
      <c r="Q307" t="str">
        <f>IF($A307="","",COUNTIFS([1]Products!$G$4:$G$4801,$A307,[1]Products!$L$4:$L$4801,"Yes"))</f>
        <v/>
      </c>
      <c r="R307" t="str">
        <f>IF($A307="","",COUNTIFS([1]Products!$G$4:$G$4801,$A307,[1]Products!$L$4:$L$4801,"Yes",[1]Products!$K$4:$K$4801,"Draft"))</f>
        <v/>
      </c>
      <c r="S307" t="str">
        <f>IF($A307="","",COUNTIFS([1]Products!$G$4:$G$4801,$A307,[1]Products!$L$4:$L$4801,"Yes",[1]Products!$K$4:$K$4801,"Package"))</f>
        <v/>
      </c>
      <c r="T307" t="str" cm="1">
        <f t="array" ref="T307">IF($A307="","",_xlfn.IFS($Q307=0,"NO ACTIVE SKUs",AND($R307&gt;0,$S307&gt;0),"Draft &amp; Package",$R307&gt;0,"Draft only",TRUE,"Package only"))</f>
        <v/>
      </c>
    </row>
    <row r="308" spans="1:20" x14ac:dyDescent="0.2">
      <c r="A308" s="9"/>
      <c r="B308" s="10" t="str">
        <f>IF($A308="","",_xlfn.XLOOKUP($A308,'[1]Brand Family Territory (Enc)'!$A:$A,'[1]Brand Family Territory (Enc)'!$B:$B,"** NO TERRITORY SET **"))</f>
        <v/>
      </c>
      <c r="C308" s="11" t="str">
        <f>IF($A308="","",_xlfn.LET(_xlpm.t,MATCH($B308,'[1]Territory Definitions'!$B$5:$B$14,0),IF(ISNA(_xlpm.t),"NO TERRITORY",IF(INDEX('[1]Territory Definitions'!$D$5:$M$14,_xlpm.t,MATCH(C$4,'[1]Territory Definitions'!$D$4:$M$4,0))&lt;&gt;1,"NOT IN TERRITORY",IF(COUNTIFS('[1]Blackout Brand Fam Areas (Enc)'!$B$6:$B$998,$A308,'[1]Blackout Brand Fam Areas (Enc)'!$C$6:$C$998,C$4,'[1]Blackout Brand Fam Areas (Enc)'!$D$6:$D$998,"Inactive")&gt;0,"BLOCKED","CAN SELL")))))</f>
        <v/>
      </c>
      <c r="D308" s="11" t="str">
        <f>IF($A308="","",_xlfn.LET(_xlpm.t,MATCH($B308,'[1]Territory Definitions'!$B$5:$B$14,0),IF(ISNA(_xlpm.t),"NO TERRITORY",IF(INDEX('[1]Territory Definitions'!$D$5:$M$14,_xlpm.t,MATCH(D$4,'[1]Territory Definitions'!$D$4:$M$4,0))&lt;&gt;1,"NOT IN TERRITORY",IF(COUNTIFS('[1]Blackout Brand Fam Areas (Enc)'!$B$6:$B$998,$A308,'[1]Blackout Brand Fam Areas (Enc)'!$C$6:$C$998,D$4,'[1]Blackout Brand Fam Areas (Enc)'!$D$6:$D$998,"Inactive")&gt;0,"BLOCKED","CAN SELL")))))</f>
        <v/>
      </c>
      <c r="E308" s="11" t="str">
        <f>IF($A308="","",_xlfn.LET(_xlpm.t,MATCH($B308,'[1]Territory Definitions'!$B$5:$B$14,0),IF(ISNA(_xlpm.t),"NO TERRITORY",IF(INDEX('[1]Territory Definitions'!$D$5:$M$14,_xlpm.t,MATCH(E$4,'[1]Territory Definitions'!$D$4:$M$4,0))&lt;&gt;1,"NOT IN TERRITORY",IF(COUNTIFS('[1]Blackout Brand Fam Areas (Enc)'!$B$6:$B$998,$A308,'[1]Blackout Brand Fam Areas (Enc)'!$C$6:$C$998,E$4,'[1]Blackout Brand Fam Areas (Enc)'!$D$6:$D$998,"Inactive")&gt;0,"BLOCKED","CAN SELL")))))</f>
        <v/>
      </c>
      <c r="F308" s="11" t="str">
        <f>IF($A308="","",_xlfn.LET(_xlpm.t,MATCH($B308,'[1]Territory Definitions'!$B$5:$B$14,0),IF(ISNA(_xlpm.t),"NO TERRITORY",IF(INDEX('[1]Territory Definitions'!$D$5:$M$14,_xlpm.t,MATCH(F$4,'[1]Territory Definitions'!$D$4:$M$4,0))&lt;&gt;1,"NOT IN TERRITORY",IF(COUNTIFS('[1]Blackout Brand Fam Areas (Enc)'!$B$6:$B$998,$A308,'[1]Blackout Brand Fam Areas (Enc)'!$C$6:$C$998,F$4,'[1]Blackout Brand Fam Areas (Enc)'!$D$6:$D$998,"Inactive")&gt;0,"BLOCKED","CAN SELL")))))</f>
        <v/>
      </c>
      <c r="G308" s="11" t="str">
        <f>IF($A308="","",_xlfn.LET(_xlpm.t,MATCH($B308,'[1]Territory Definitions'!$B$5:$B$14,0),IF(ISNA(_xlpm.t),"NO TERRITORY",IF(INDEX('[1]Territory Definitions'!$D$5:$M$14,_xlpm.t,MATCH(G$4,'[1]Territory Definitions'!$D$4:$M$4,0))&lt;&gt;1,"NOT IN TERRITORY",IF(COUNTIFS('[1]Blackout Brand Fam Areas (Enc)'!$B$6:$B$998,$A308,'[1]Blackout Brand Fam Areas (Enc)'!$C$6:$C$998,G$4,'[1]Blackout Brand Fam Areas (Enc)'!$D$6:$D$998,"Inactive")&gt;0,"BLOCKED","CAN SELL")))))</f>
        <v/>
      </c>
      <c r="H308" s="11" t="str">
        <f>IF($A308="","",_xlfn.LET(_xlpm.t,MATCH($B308,'[1]Territory Definitions'!$B$5:$B$14,0),IF(ISNA(_xlpm.t),"NO TERRITORY",IF(INDEX('[1]Territory Definitions'!$D$5:$M$14,_xlpm.t,MATCH(H$4,'[1]Territory Definitions'!$D$4:$M$4,0))&lt;&gt;1,"NOT IN TERRITORY",IF(COUNTIFS('[1]Blackout Brand Fam Areas (Enc)'!$B$6:$B$998,$A308,'[1]Blackout Brand Fam Areas (Enc)'!$C$6:$C$998,H$4,'[1]Blackout Brand Fam Areas (Enc)'!$D$6:$D$998,"Inactive")&gt;0,"BLOCKED","CAN SELL")))))</f>
        <v/>
      </c>
      <c r="I308" s="11" t="str">
        <f>IF($A308="","",_xlfn.LET(_xlpm.t,MATCH($B308,'[1]Territory Definitions'!$B$5:$B$14,0),IF(ISNA(_xlpm.t),"NO TERRITORY",IF(INDEX('[1]Territory Definitions'!$D$5:$M$14,_xlpm.t,MATCH(I$4,'[1]Territory Definitions'!$D$4:$M$4,0))&lt;&gt;1,"NOT IN TERRITORY",IF(COUNTIFS('[1]Blackout Brand Fam Areas (Enc)'!$B$6:$B$998,$A308,'[1]Blackout Brand Fam Areas (Enc)'!$C$6:$C$998,I$4,'[1]Blackout Brand Fam Areas (Enc)'!$D$6:$D$998,"Inactive")&gt;0,"BLOCKED","CAN SELL")))))</f>
        <v/>
      </c>
      <c r="J308" s="11" t="str">
        <f>IF($A308="","",_xlfn.LET(_xlpm.t,MATCH($B308,'[1]Territory Definitions'!$B$5:$B$14,0),IF(ISNA(_xlpm.t),"NO TERRITORY",IF(INDEX('[1]Territory Definitions'!$D$5:$M$14,_xlpm.t,MATCH(J$4,'[1]Territory Definitions'!$D$4:$M$4,0))&lt;&gt;1,"NOT IN TERRITORY",IF(COUNTIFS('[1]Blackout Brand Fam Areas (Enc)'!$B$6:$B$998,$A308,'[1]Blackout Brand Fam Areas (Enc)'!$C$6:$C$998,J$4,'[1]Blackout Brand Fam Areas (Enc)'!$D$6:$D$998,"Inactive")&gt;0,"BLOCKED","CAN SELL")))))</f>
        <v/>
      </c>
      <c r="K308" s="11" t="str">
        <f>IF($A308="","",_xlfn.LET(_xlpm.t,MATCH($B308,'[1]Territory Definitions'!$B$5:$B$14,0),IF(ISNA(_xlpm.t),"NO TERRITORY",IF(INDEX('[1]Territory Definitions'!$D$5:$M$14,_xlpm.t,MATCH(K$4,'[1]Territory Definitions'!$D$4:$M$4,0))&lt;&gt;1,"NOT IN TERRITORY",IF(COUNTIFS('[1]Blackout Brand Fam Areas (Enc)'!$B$6:$B$998,$A308,'[1]Blackout Brand Fam Areas (Enc)'!$C$6:$C$998,K$4,'[1]Blackout Brand Fam Areas (Enc)'!$D$6:$D$998,"Inactive")&gt;0,"BLOCKED","CAN SELL")))))</f>
        <v/>
      </c>
      <c r="L308" s="11" t="str">
        <f>IF($A308="","",_xlfn.LET(_xlpm.t,MATCH($B308,'[1]Territory Definitions'!$B$5:$B$14,0),IF(ISNA(_xlpm.t),"NO TERRITORY",IF(INDEX('[1]Territory Definitions'!$D$5:$M$14,_xlpm.t,MATCH(L$4,'[1]Territory Definitions'!$D$4:$M$4,0))&lt;&gt;1,"NOT IN TERRITORY",IF(COUNTIFS('[1]Blackout Brand Fam Areas (Enc)'!$B$6:$B$998,$A308,'[1]Blackout Brand Fam Areas (Enc)'!$C$6:$C$998,L$4,'[1]Blackout Brand Fam Areas (Enc)'!$D$6:$D$998,"Inactive")&gt;0,"BLOCKED","CAN SELL")))))</f>
        <v/>
      </c>
      <c r="M308" s="12" t="str">
        <f>IF($A308="","",COUNTIF($C308:$L308,"CAN SELL"))</f>
        <v/>
      </c>
      <c r="N308" s="13" t="str" cm="1">
        <f t="array" ref="N308">IF($A308="","",SUMPRODUCT(($C308:$L308="CAN SELL")*$C$3:$L$3))</f>
        <v/>
      </c>
      <c r="O308" s="14" t="str">
        <f>IF($A308="","",IF(COUNTIF($A$5:$A$299,$A308)&gt;1,"DUPLICATE - two different territories assigned",IF($B308="** NO TERRITORY SET **","No territory on Brand Family Territory (Enc)","")))</f>
        <v/>
      </c>
      <c r="P308" t="str">
        <f>IF($A308="","",IFERROR(INDEX([1]Products!$H$4:$H$4801,MATCH($A308,[1]Products!$G$4:$G$4801,0)),"(no products)"))</f>
        <v/>
      </c>
      <c r="Q308" t="str">
        <f>IF($A308="","",COUNTIFS([1]Products!$G$4:$G$4801,$A308,[1]Products!$L$4:$L$4801,"Yes"))</f>
        <v/>
      </c>
      <c r="R308" t="str">
        <f>IF($A308="","",COUNTIFS([1]Products!$G$4:$G$4801,$A308,[1]Products!$L$4:$L$4801,"Yes",[1]Products!$K$4:$K$4801,"Draft"))</f>
        <v/>
      </c>
      <c r="S308" t="str">
        <f>IF($A308="","",COUNTIFS([1]Products!$G$4:$G$4801,$A308,[1]Products!$L$4:$L$4801,"Yes",[1]Products!$K$4:$K$4801,"Package"))</f>
        <v/>
      </c>
      <c r="T308" t="str" cm="1">
        <f t="array" ref="T308">IF($A308="","",_xlfn.IFS($Q308=0,"NO ACTIVE SKUs",AND($R308&gt;0,$S308&gt;0),"Draft &amp; Package",$R308&gt;0,"Draft only",TRUE,"Package only"))</f>
        <v/>
      </c>
    </row>
    <row r="309" spans="1:20" x14ac:dyDescent="0.2">
      <c r="A309" s="9"/>
      <c r="B309" s="10" t="str">
        <f>IF($A309="","",_xlfn.XLOOKUP($A309,'[1]Brand Family Territory (Enc)'!$A:$A,'[1]Brand Family Territory (Enc)'!$B:$B,"** NO TERRITORY SET **"))</f>
        <v/>
      </c>
      <c r="C309" s="11" t="str">
        <f>IF($A309="","",_xlfn.LET(_xlpm.t,MATCH($B309,'[1]Territory Definitions'!$B$5:$B$14,0),IF(ISNA(_xlpm.t),"NO TERRITORY",IF(INDEX('[1]Territory Definitions'!$D$5:$M$14,_xlpm.t,MATCH(C$4,'[1]Territory Definitions'!$D$4:$M$4,0))&lt;&gt;1,"NOT IN TERRITORY",IF(COUNTIFS('[1]Blackout Brand Fam Areas (Enc)'!$B$6:$B$998,$A309,'[1]Blackout Brand Fam Areas (Enc)'!$C$6:$C$998,C$4,'[1]Blackout Brand Fam Areas (Enc)'!$D$6:$D$998,"Inactive")&gt;0,"BLOCKED","CAN SELL")))))</f>
        <v/>
      </c>
      <c r="D309" s="11" t="str">
        <f>IF($A309="","",_xlfn.LET(_xlpm.t,MATCH($B309,'[1]Territory Definitions'!$B$5:$B$14,0),IF(ISNA(_xlpm.t),"NO TERRITORY",IF(INDEX('[1]Territory Definitions'!$D$5:$M$14,_xlpm.t,MATCH(D$4,'[1]Territory Definitions'!$D$4:$M$4,0))&lt;&gt;1,"NOT IN TERRITORY",IF(COUNTIFS('[1]Blackout Brand Fam Areas (Enc)'!$B$6:$B$998,$A309,'[1]Blackout Brand Fam Areas (Enc)'!$C$6:$C$998,D$4,'[1]Blackout Brand Fam Areas (Enc)'!$D$6:$D$998,"Inactive")&gt;0,"BLOCKED","CAN SELL")))))</f>
        <v/>
      </c>
      <c r="E309" s="11" t="str">
        <f>IF($A309="","",_xlfn.LET(_xlpm.t,MATCH($B309,'[1]Territory Definitions'!$B$5:$B$14,0),IF(ISNA(_xlpm.t),"NO TERRITORY",IF(INDEX('[1]Territory Definitions'!$D$5:$M$14,_xlpm.t,MATCH(E$4,'[1]Territory Definitions'!$D$4:$M$4,0))&lt;&gt;1,"NOT IN TERRITORY",IF(COUNTIFS('[1]Blackout Brand Fam Areas (Enc)'!$B$6:$B$998,$A309,'[1]Blackout Brand Fam Areas (Enc)'!$C$6:$C$998,E$4,'[1]Blackout Brand Fam Areas (Enc)'!$D$6:$D$998,"Inactive")&gt;0,"BLOCKED","CAN SELL")))))</f>
        <v/>
      </c>
      <c r="F309" s="11" t="str">
        <f>IF($A309="","",_xlfn.LET(_xlpm.t,MATCH($B309,'[1]Territory Definitions'!$B$5:$B$14,0),IF(ISNA(_xlpm.t),"NO TERRITORY",IF(INDEX('[1]Territory Definitions'!$D$5:$M$14,_xlpm.t,MATCH(F$4,'[1]Territory Definitions'!$D$4:$M$4,0))&lt;&gt;1,"NOT IN TERRITORY",IF(COUNTIFS('[1]Blackout Brand Fam Areas (Enc)'!$B$6:$B$998,$A309,'[1]Blackout Brand Fam Areas (Enc)'!$C$6:$C$998,F$4,'[1]Blackout Brand Fam Areas (Enc)'!$D$6:$D$998,"Inactive")&gt;0,"BLOCKED","CAN SELL")))))</f>
        <v/>
      </c>
      <c r="G309" s="11" t="str">
        <f>IF($A309="","",_xlfn.LET(_xlpm.t,MATCH($B309,'[1]Territory Definitions'!$B$5:$B$14,0),IF(ISNA(_xlpm.t),"NO TERRITORY",IF(INDEX('[1]Territory Definitions'!$D$5:$M$14,_xlpm.t,MATCH(G$4,'[1]Territory Definitions'!$D$4:$M$4,0))&lt;&gt;1,"NOT IN TERRITORY",IF(COUNTIFS('[1]Blackout Brand Fam Areas (Enc)'!$B$6:$B$998,$A309,'[1]Blackout Brand Fam Areas (Enc)'!$C$6:$C$998,G$4,'[1]Blackout Brand Fam Areas (Enc)'!$D$6:$D$998,"Inactive")&gt;0,"BLOCKED","CAN SELL")))))</f>
        <v/>
      </c>
      <c r="H309" s="11" t="str">
        <f>IF($A309="","",_xlfn.LET(_xlpm.t,MATCH($B309,'[1]Territory Definitions'!$B$5:$B$14,0),IF(ISNA(_xlpm.t),"NO TERRITORY",IF(INDEX('[1]Territory Definitions'!$D$5:$M$14,_xlpm.t,MATCH(H$4,'[1]Territory Definitions'!$D$4:$M$4,0))&lt;&gt;1,"NOT IN TERRITORY",IF(COUNTIFS('[1]Blackout Brand Fam Areas (Enc)'!$B$6:$B$998,$A309,'[1]Blackout Brand Fam Areas (Enc)'!$C$6:$C$998,H$4,'[1]Blackout Brand Fam Areas (Enc)'!$D$6:$D$998,"Inactive")&gt;0,"BLOCKED","CAN SELL")))))</f>
        <v/>
      </c>
      <c r="I309" s="11" t="str">
        <f>IF($A309="","",_xlfn.LET(_xlpm.t,MATCH($B309,'[1]Territory Definitions'!$B$5:$B$14,0),IF(ISNA(_xlpm.t),"NO TERRITORY",IF(INDEX('[1]Territory Definitions'!$D$5:$M$14,_xlpm.t,MATCH(I$4,'[1]Territory Definitions'!$D$4:$M$4,0))&lt;&gt;1,"NOT IN TERRITORY",IF(COUNTIFS('[1]Blackout Brand Fam Areas (Enc)'!$B$6:$B$998,$A309,'[1]Blackout Brand Fam Areas (Enc)'!$C$6:$C$998,I$4,'[1]Blackout Brand Fam Areas (Enc)'!$D$6:$D$998,"Inactive")&gt;0,"BLOCKED","CAN SELL")))))</f>
        <v/>
      </c>
      <c r="J309" s="11" t="str">
        <f>IF($A309="","",_xlfn.LET(_xlpm.t,MATCH($B309,'[1]Territory Definitions'!$B$5:$B$14,0),IF(ISNA(_xlpm.t),"NO TERRITORY",IF(INDEX('[1]Territory Definitions'!$D$5:$M$14,_xlpm.t,MATCH(J$4,'[1]Territory Definitions'!$D$4:$M$4,0))&lt;&gt;1,"NOT IN TERRITORY",IF(COUNTIFS('[1]Blackout Brand Fam Areas (Enc)'!$B$6:$B$998,$A309,'[1]Blackout Brand Fam Areas (Enc)'!$C$6:$C$998,J$4,'[1]Blackout Brand Fam Areas (Enc)'!$D$6:$D$998,"Inactive")&gt;0,"BLOCKED","CAN SELL")))))</f>
        <v/>
      </c>
      <c r="K309" s="11" t="str">
        <f>IF($A309="","",_xlfn.LET(_xlpm.t,MATCH($B309,'[1]Territory Definitions'!$B$5:$B$14,0),IF(ISNA(_xlpm.t),"NO TERRITORY",IF(INDEX('[1]Territory Definitions'!$D$5:$M$14,_xlpm.t,MATCH(K$4,'[1]Territory Definitions'!$D$4:$M$4,0))&lt;&gt;1,"NOT IN TERRITORY",IF(COUNTIFS('[1]Blackout Brand Fam Areas (Enc)'!$B$6:$B$998,$A309,'[1]Blackout Brand Fam Areas (Enc)'!$C$6:$C$998,K$4,'[1]Blackout Brand Fam Areas (Enc)'!$D$6:$D$998,"Inactive")&gt;0,"BLOCKED","CAN SELL")))))</f>
        <v/>
      </c>
      <c r="L309" s="11" t="str">
        <f>IF($A309="","",_xlfn.LET(_xlpm.t,MATCH($B309,'[1]Territory Definitions'!$B$5:$B$14,0),IF(ISNA(_xlpm.t),"NO TERRITORY",IF(INDEX('[1]Territory Definitions'!$D$5:$M$14,_xlpm.t,MATCH(L$4,'[1]Territory Definitions'!$D$4:$M$4,0))&lt;&gt;1,"NOT IN TERRITORY",IF(COUNTIFS('[1]Blackout Brand Fam Areas (Enc)'!$B$6:$B$998,$A309,'[1]Blackout Brand Fam Areas (Enc)'!$C$6:$C$998,L$4,'[1]Blackout Brand Fam Areas (Enc)'!$D$6:$D$998,"Inactive")&gt;0,"BLOCKED","CAN SELL")))))</f>
        <v/>
      </c>
      <c r="M309" s="12" t="str">
        <f>IF($A309="","",COUNTIF($C309:$L309,"CAN SELL"))</f>
        <v/>
      </c>
      <c r="N309" s="13" t="str" cm="1">
        <f t="array" ref="N309">IF($A309="","",SUMPRODUCT(($C309:$L309="CAN SELL")*$C$3:$L$3))</f>
        <v/>
      </c>
      <c r="O309" s="14" t="str">
        <f>IF($A309="","",IF(COUNTIF($A$5:$A$299,$A309)&gt;1,"DUPLICATE - two different territories assigned",IF($B309="** NO TERRITORY SET **","No territory on Brand Family Territory (Enc)","")))</f>
        <v/>
      </c>
      <c r="P309" t="str">
        <f>IF($A309="","",IFERROR(INDEX([1]Products!$H$4:$H$4801,MATCH($A309,[1]Products!$G$4:$G$4801,0)),"(no products)"))</f>
        <v/>
      </c>
      <c r="Q309" t="str">
        <f>IF($A309="","",COUNTIFS([1]Products!$G$4:$G$4801,$A309,[1]Products!$L$4:$L$4801,"Yes"))</f>
        <v/>
      </c>
      <c r="R309" t="str">
        <f>IF($A309="","",COUNTIFS([1]Products!$G$4:$G$4801,$A309,[1]Products!$L$4:$L$4801,"Yes",[1]Products!$K$4:$K$4801,"Draft"))</f>
        <v/>
      </c>
      <c r="S309" t="str">
        <f>IF($A309="","",COUNTIFS([1]Products!$G$4:$G$4801,$A309,[1]Products!$L$4:$L$4801,"Yes",[1]Products!$K$4:$K$4801,"Package"))</f>
        <v/>
      </c>
      <c r="T309" t="str" cm="1">
        <f t="array" ref="T309">IF($A309="","",_xlfn.IFS($Q309=0,"NO ACTIVE SKUs",AND($R309&gt;0,$S309&gt;0),"Draft &amp; Package",$R309&gt;0,"Draft only",TRUE,"Package only"))</f>
        <v/>
      </c>
    </row>
  </sheetData>
  <autoFilter ref="A4:N299" xr:uid="{FB8ACFB8-D2A0-45D5-9402-76DC0E6089CB}"/>
  <conditionalFormatting sqref="C5:L309">
    <cfRule type="containsText" dxfId="4" priority="1" operator="containsText" text="CAN SELL">
      <formula>NOT(ISERROR(SEARCH("CAN SELL",C5)))</formula>
    </cfRule>
  </conditionalFormatting>
  <conditionalFormatting sqref="C5:L309">
    <cfRule type="containsText" dxfId="3" priority="2" operator="containsText" text="BLOCKED">
      <formula>NOT(ISERROR(SEARCH("BLOCKED",C5)))</formula>
    </cfRule>
  </conditionalFormatting>
  <conditionalFormatting sqref="C5:L309">
    <cfRule type="containsText" dxfId="2" priority="3" operator="containsText" text="NOT IN TERRITORY">
      <formula>NOT(ISERROR(SEARCH("NOT IN TERRITORY",C5)))</formula>
    </cfRule>
  </conditionalFormatting>
  <conditionalFormatting sqref="T5:T309">
    <cfRule type="containsText" dxfId="1" priority="4" operator="containsText" text="NO ACTIVE">
      <formula>NOT(ISERROR(SEARCH("NO ACTIVE",T5)))</formula>
    </cfRule>
  </conditionalFormatting>
  <conditionalFormatting sqref="T5:T309">
    <cfRule type="containsText" dxfId="0" priority="5" operator="containsText" text="Draft">
      <formula>NOT(ISERROR(SEARCH("Draft",T5)))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 Permissions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Sharkey</dc:creator>
  <cp:lastModifiedBy>Gavin Sharkey</cp:lastModifiedBy>
  <dcterms:created xsi:type="dcterms:W3CDTF">2026-09-10T15:49:18Z</dcterms:created>
  <dcterms:modified xsi:type="dcterms:W3CDTF">2026-09-10T17:00:53Z</dcterms:modified>
</cp:coreProperties>
</file>