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urrent Pricing" sheetId="2" state="visible" r:id="rId4"/>
    <sheet name="New Pricing" sheetId="3" state="visible" r:id="rId5"/>
    <sheet name="Summary" sheetId="4" state="visible" r:id="rId6"/>
    <sheet name="Kohler Actuals" sheetId="5" state="visible" r:id="rId7"/>
    <sheet name="Source Data" sheetId="6" state="visible" r:id="rId8"/>
  </sheets>
  <definedNames>
    <definedName function="false" hidden="true" localSheetId="1" name="_xlnm._FilterDatabase" vbProcedure="false">'Current Pricing'!$A$4:$Q$44</definedName>
    <definedName function="false" hidden="true" localSheetId="2" name="_xlnm._FilterDatabase" vbProcedure="false">'New Pricing'!$A$4:$S$44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<sst xmlns="http://schemas.openxmlformats.org/spreadsheetml/2006/main" count="529" uniqueCount="195">
  <si>
    <t xml:space="preserve">Boston Beer Margin Comparison — Read Me, Controls &amp; Assumptions</t>
  </si>
  <si>
    <t xml:space="preserve">Built from Boston_Pricing_Analysis.xlsx (all pricing per keg) + InvoiceTransReport_GSHARKEY_20260903 (Kohler actuals 7/1/2026–8/31/2026).</t>
  </si>
  <si>
    <t xml:space="preserve">CONTROLS — change these and every margin in the workbook recalculates</t>
  </si>
  <si>
    <t xml:space="preserve">Apply DA to FRONTLINE margin?</t>
  </si>
  <si>
    <t xml:space="preserve">N</t>
  </si>
  <si>
    <t xml:space="preserve">Default N. In the source file the DA is annotated only on best-price cells, so it is treated as funding the discounted price, not everyday frontline business. Set to Y if the allowance is earned on every case/keg regardless of the price sold at.</t>
  </si>
  <si>
    <t xml:space="preserve">Apply DA to BEST-PRICE margin?</t>
  </si>
  <si>
    <t xml:space="preserve">Y</t>
  </si>
  <si>
    <t xml:space="preserve">Default Y. Effective cost on best-price business = laid-in cost − DA. This is the assumption that makes Truly 15.5 at $115 profitable (see note below).</t>
  </si>
  <si>
    <t xml:space="preserve">COLOR LEGEND</t>
  </si>
  <si>
    <t xml:space="preserve">Blue text on pale blue fill</t>
  </si>
  <si>
    <t xml:space="preserve">EDITABLE INPUT — type over these (laid-in cost, DA, frontline price, best price)</t>
  </si>
  <si>
    <t xml:space="preserve">Black text</t>
  </si>
  <si>
    <t xml:space="preserve">CALCULATED — formula driven, do not type over</t>
  </si>
  <si>
    <t xml:space="preserve">Green text</t>
  </si>
  <si>
    <t xml:space="preserve">LINK to another tab in this workbook</t>
  </si>
  <si>
    <t xml:space="preserve">Yellow fill</t>
  </si>
  <si>
    <t xml:space="preserve">Key assumption / control cell</t>
  </si>
  <si>
    <t xml:space="preserve">HOW MARGIN IS CALCULATED</t>
  </si>
  <si>
    <t xml:space="preserve">Frontline margin $</t>
  </si>
  <si>
    <t xml:space="preserve">Frontline price − frontline cost basis</t>
  </si>
  <si>
    <t xml:space="preserve">Frontline margin %</t>
  </si>
  <si>
    <t xml:space="preserve">Frontline margin $ ÷ frontline price   (gross margin on selling price, not markup on cost)</t>
  </si>
  <si>
    <t xml:space="preserve">Best-price margin $</t>
  </si>
  <si>
    <t xml:space="preserve">Best price − best-price cost basis</t>
  </si>
  <si>
    <t xml:space="preserve">Best-price margin %</t>
  </si>
  <si>
    <t xml:space="preserve">Best-price margin $ ÷ best price</t>
  </si>
  <si>
    <t xml:space="preserve">Frontline cost basis</t>
  </si>
  <si>
    <t xml:space="preserve">Laid-in cost — or laid-in − DA, if the FRONTLINE control above is set to Y</t>
  </si>
  <si>
    <t xml:space="preserve">Best-price cost basis</t>
  </si>
  <si>
    <t xml:space="preserve">Laid-in − DA when the BEST-PRICE control is Y (default), otherwise plain laid-in cost</t>
  </si>
  <si>
    <t xml:space="preserve">ASSUMPTIONS &amp; JUDGEMENT CALLS (read before using the numbers)</t>
  </si>
  <si>
    <t xml:space="preserve">DA is a cost reducer, not a price reducer</t>
  </si>
  <si>
    <t xml:space="preserve">The source file records DA as free text inside the price cell — Twisted Tea 5.2 best price "58 ($9 DA)" and Truly 15.5 "$115 ($35.40 DA)". Those are read as: the number shown IS the selling price, and the DA lowers our cost. Truly 15.5 proves it — $115 against a $114.11 laid-in is $0.89 of margin (0.8%), which is not a real price. Net of the $35.40 DA the cost is $78.71 and the margin is $36.29 / 31.6%, right in line with the rest of the book. The DA has been split into its own editable column so it is no longer buried in text.</t>
  </si>
  <si>
    <t xml:space="preserve">DA applies only where the source annotated it</t>
  </si>
  <si>
    <t xml:space="preserve">Current book: Twisted Tea 5.2 ($9) and Truly 15.5 ($35.40), on Kohler and on the Boston Beer suggested price. New book: the same two SKUs carry the same allowances. Peerless and Shore Point DA is UNKNOWN — entered as 0, so their best-price margins are shown before any allowance they may receive and are therefore conservative (understated). Enter their DA if you learn it.</t>
  </si>
  <si>
    <t xml:space="preserve">One laid-in cost per product, applied to every distributor</t>
  </si>
  <si>
    <t xml:space="preserve">The source file carries a single "Laid In" column, not one per wholesaler. Competitor margins are therefore modelled on KOHLER'S laid-in cost. Freight, fuel and any supplier-specific terms will move a competitor's real cost, so treat Peerless / Shore Point margin figures as directional, not as their books. The cost cell is editable per row if you want to model a different competitor cost.</t>
  </si>
  <si>
    <t xml:space="preserve">"Suggested" is a benchmark, not a competitor</t>
  </si>
  <si>
    <t xml:space="preserve">The Suggested columns are Boston Beer's suggested pricing. It is carried as a fourth row per product so you can see how far each wholesaler sits off the supplier's intent, but it is not a distributor in the market.</t>
  </si>
  <si>
    <t xml:space="preserve">Pack size = keg size</t>
  </si>
  <si>
    <t xml:space="preserve">15.5 = half barrel, 5.2 = sixtel. Every price and cost in the source is per keg, so no case-pack conversion is applied anywhere. $/gallon columns are added so a 15.5 and a 5.2 can be compared on the same basis (price ÷ gallons).</t>
  </si>
  <si>
    <t xml:space="preserve">Truly 15.5 — Peerless does not carry it</t>
  </si>
  <si>
    <t xml:space="preserve">The source shows "NA". Those cells are left blank and no margin is computed, rather than being scored as a zero.</t>
  </si>
  <si>
    <t xml:space="preserve">New-scenario prices are SEEDED, not sourced</t>
  </si>
  <si>
    <t xml:space="preserve">The source file supplies new laid-in cost and new SUGGESTED prices only — the Kohler and competitor new-price cells were blank question marks. On the New Pricing tab, Kohler / Peerless / Shore Point frontline and best prices are seeded with their CURRENT prices, i.e. "hold price and eat the cost increase". They are blue editable cells — overwrite them with what you actually intend to charge and every margin follows.</t>
  </si>
  <si>
    <t xml:space="preserve">Twisted Tea 15.5 new suggested best price</t>
  </si>
  <si>
    <t xml:space="preserve">The source shows a new suggested best of $184 against a new suggested frontline of $189 — only $5 of promotional room, versus $16 in the current book. Carried through as written; worth confirming with the supplier.</t>
  </si>
  <si>
    <t xml:space="preserve">Kohler Actuals tab</t>
  </si>
  <si>
    <t xml:space="preserve">Weighted-average realized price = Σ(units × unit price) ÷ units, from the invoice transaction report for 7/1/2026–8/31/2026. Zero-price lines (18 lines / 21 kegs of samples and comps) and backorder-only lines are excluded. The realized prices confirm the Kohler columns in the pricing file: every frontline and best price in the analysis appears in the invoice data as an actual charged price.</t>
  </si>
  <si>
    <t xml:space="preserve">TABS</t>
  </si>
  <si>
    <t xml:space="preserve">Current Pricing</t>
  </si>
  <si>
    <t xml:space="preserve">Today's laid-in cost and today's prices — every product × every distributor.</t>
  </si>
  <si>
    <t xml:space="preserve">New Pricing</t>
  </si>
  <si>
    <t xml:space="preserve">New laid-in cost, new suggested pricing, and your editable new prices. Shows the margin change vs today.</t>
  </si>
  <si>
    <t xml:space="preserve">Summary</t>
  </si>
  <si>
    <t xml:space="preserve">Kohler vs Peerless vs Shore Point vs Suggested, by product, on one screen.</t>
  </si>
  <si>
    <t xml:space="preserve">Kohler Actuals</t>
  </si>
  <si>
    <t xml:space="preserve">What Kohler actually charged and shipped, 7/1–8/31/2026, per product.</t>
  </si>
  <si>
    <t xml:space="preserve">Source Data</t>
  </si>
  <si>
    <t xml:space="preserve">The original Boston_Pricing_Analysis.xlsx sheet, untouched.</t>
  </si>
  <si>
    <t xml:space="preserve">Current Pricing &amp; Margin — by Product and Distributor</t>
  </si>
  <si>
    <t xml:space="preserve">Laid-in cost and prices per keg. Blue cells are editable; everything else recalculates. Competitor margins use Kohler's laid-in cost (see Assumptions).</t>
  </si>
  <si>
    <t xml:space="preserve">Product</t>
  </si>
  <si>
    <t xml:space="preserve">Keg Size (Gal)</t>
  </si>
  <si>
    <t xml:space="preserve">Distributor</t>
  </si>
  <si>
    <t xml:space="preserve">Old Laid-In Cost ($/keg)</t>
  </si>
  <si>
    <t xml:space="preserve">DA ($/keg)</t>
  </si>
  <si>
    <t xml:space="preserve">Frontline Price ($/keg)</t>
  </si>
  <si>
    <t xml:space="preserve">Best Price ($/keg)</t>
  </si>
  <si>
    <t xml:space="preserve">Frontline Cost Basis ($)</t>
  </si>
  <si>
    <t xml:space="preserve">Frontline Margin $</t>
  </si>
  <si>
    <t xml:space="preserve">Frontline Margin %</t>
  </si>
  <si>
    <t xml:space="preserve">Best-Price Cost Basis ($)</t>
  </si>
  <si>
    <t xml:space="preserve">Best-Price Margin $</t>
  </si>
  <si>
    <t xml:space="preserve">Best-Price Margin %</t>
  </si>
  <si>
    <t xml:space="preserve">Best vs Frontline ($)</t>
  </si>
  <si>
    <t xml:space="preserve">Frontline $/Gal</t>
  </si>
  <si>
    <t xml:space="preserve">Best $/Gal</t>
  </si>
  <si>
    <t xml:space="preserve">Notes</t>
  </si>
  <si>
    <t xml:space="preserve">Sam Adams 15.5</t>
  </si>
  <si>
    <t xml:space="preserve">Kohler</t>
  </si>
  <si>
    <t xml:space="preserve">Peerless</t>
  </si>
  <si>
    <t xml:space="preserve">Shore Point</t>
  </si>
  <si>
    <t xml:space="preserve">Suggested (Boston Beer)</t>
  </si>
  <si>
    <t xml:space="preserve">Boston Beer suggested price — benchmark, not a distributor.</t>
  </si>
  <si>
    <t xml:space="preserve">Sam Adams 5.2</t>
  </si>
  <si>
    <t xml:space="preserve">Twisted Tea 15.5</t>
  </si>
  <si>
    <t xml:space="preserve">Twisted Tea 5.2</t>
  </si>
  <si>
    <t xml:space="preserve">Source shows best price with a $9.00 DA; DA broken out to col E.</t>
  </si>
  <si>
    <t xml:space="preserve">Competitor DA unknown — entered as 0; best-price margin is conservative.</t>
  </si>
  <si>
    <t xml:space="preserve">Angry Orchard 15.5</t>
  </si>
  <si>
    <t xml:space="preserve">Angry Orchard 5.2</t>
  </si>
  <si>
    <t xml:space="preserve">Dogfish Head 15.5</t>
  </si>
  <si>
    <t xml:space="preserve">Dogfish Head 5.2</t>
  </si>
  <si>
    <t xml:space="preserve">Truly 15.5</t>
  </si>
  <si>
    <t xml:space="preserve">Source shows best price with a $35.40 DA; DA broken out to col E.</t>
  </si>
  <si>
    <t xml:space="preserve">Source shows "NA" — Peerless does not carry this SKU.</t>
  </si>
  <si>
    <t xml:space="preserve">Truly 5.2</t>
  </si>
  <si>
    <t xml:space="preserve">Source: Boston_Pricing_Analysis.xlsx, Sheet1 rows 1–11 (current book). DA amounts extracted from the free text in the source best-price cells.</t>
  </si>
  <si>
    <t xml:space="preserve">New Pricing &amp; Margin — by Product and Distributor</t>
  </si>
  <si>
    <t xml:space="preserve">New laid-in cost from the source file. Kohler / Peerless / Shore Point new prices are SEEDED with current prices (= hold price, absorb the increase) — overwrite the blue cells with your intended pricing.</t>
  </si>
  <si>
    <t xml:space="preserve">Old Laid-In ($/keg)</t>
  </si>
  <si>
    <t xml:space="preserve">New Laid-In ($/keg)</t>
  </si>
  <si>
    <t xml:space="preserve">Δ Laid-In ($)</t>
  </si>
  <si>
    <t xml:space="preserve">Δ Frontline Margin % vs Current</t>
  </si>
  <si>
    <t xml:space="preserve">Δ Best-Price Margin % vs Current</t>
  </si>
  <si>
    <t xml:space="preserve">SEEDED with current price — source gave no new price for this distributor. Edit.</t>
  </si>
  <si>
    <t xml:space="preserve">New suggested frontline / best price from the source file.</t>
  </si>
  <si>
    <t xml:space="preserve">SEEDED with current price — source gave no new price for this distributor. Edit. Current $9.00 DA carried forward.</t>
  </si>
  <si>
    <t xml:space="preserve">New suggested frontline / best price from the source file. Source annotates a $9.00 DA — broken out to col G.</t>
  </si>
  <si>
    <t xml:space="preserve">SEEDED with current price — source gave no new price for this distributor. Edit. Current $35.40 DA carried forward.</t>
  </si>
  <si>
    <t xml:space="preserve">Peerless does not carry this SKU ("NA" in source).</t>
  </si>
  <si>
    <t xml:space="preserve">New suggested frontline / best price from the source file. Source annotates a $35.40 DA — broken out to col G.</t>
  </si>
  <si>
    <t xml:space="preserve">Source: Boston_Pricing_Analysis.xlsx, Sheet1 rows 13–23 (new book). Only new laid-in cost and new SUGGESTED prices exist in the source; distributor new prices are seeded and editable.</t>
  </si>
  <si>
    <t xml:space="preserve">Summary — Kohler vs the Market, by Product</t>
  </si>
  <si>
    <t xml:space="preserve">Every figure links live to Current Pricing / New Pricing. Change a price on those tabs and this tab moves with it.</t>
  </si>
  <si>
    <t xml:space="preserve">A.  FRONTLINE — CURRENT BOOK</t>
  </si>
  <si>
    <t xml:space="preserve">Frontline price and frontline margin % at today's laid-in cost. Positive "Kohler vs" = Kohler is priced ABOVE that distributor.</t>
  </si>
  <si>
    <t xml:space="preserve">Keg Size</t>
  </si>
  <si>
    <t xml:space="preserve">Kohler Price</t>
  </si>
  <si>
    <t xml:space="preserve">Kohler Mgn %</t>
  </si>
  <si>
    <t xml:space="preserve">Peerless Price</t>
  </si>
  <si>
    <t xml:space="preserve">Peerless Mgn %</t>
  </si>
  <si>
    <t xml:space="preserve">Shore Point Price</t>
  </si>
  <si>
    <t xml:space="preserve">Shore Pt Mgn %</t>
  </si>
  <si>
    <t xml:space="preserve">Suggested Price</t>
  </si>
  <si>
    <t xml:space="preserve">Suggested Mgn %</t>
  </si>
  <si>
    <t xml:space="preserve">Kohler vs Peerless ($)</t>
  </si>
  <si>
    <t xml:space="preserve">Kohler vs Shore Pt ($)</t>
  </si>
  <si>
    <t xml:space="preserve">Kohler vs Suggested ($)</t>
  </si>
  <si>
    <t xml:space="preserve">Kohler Mgn % vs Competitor Avg</t>
  </si>
  <si>
    <t xml:space="preserve">B.  BEST PRICE — CURRENT BOOK</t>
  </si>
  <si>
    <t xml:space="preserve">Best (promotional) price and margin %, net of DA where one applies. Peerless / Shore Point DA is unknown and set to 0, so their margins here are understated.</t>
  </si>
  <si>
    <t xml:space="preserve">C.  FRONTLINE — NEW BOOK</t>
  </si>
  <si>
    <t xml:space="preserve">Same view at the NEW laid-in cost, using whatever prices are entered on the New Pricing tab (seeded with current prices until you change them).</t>
  </si>
  <si>
    <t xml:space="preserve">D.  BEST PRICE — NEW BOOK</t>
  </si>
  <si>
    <t xml:space="preserve">Best price and margin % at the new laid-in cost.</t>
  </si>
  <si>
    <t xml:space="preserve">E.  KOHLER MARGIN IMPACT — NEW BOOK vs CURRENT BOOK</t>
  </si>
  <si>
    <t xml:space="preserve">What the cost increase does to Kohler at the prices currently entered on the New Pricing tab. Negative = margin lost.</t>
  </si>
  <si>
    <t xml:space="preserve">Current FL Price</t>
  </si>
  <si>
    <t xml:space="preserve">New FL Price</t>
  </si>
  <si>
    <t xml:space="preserve">Current FL Mgn %</t>
  </si>
  <si>
    <t xml:space="preserve">New FL Mgn %</t>
  </si>
  <si>
    <t xml:space="preserve">Δ FL Mgn %</t>
  </si>
  <si>
    <t xml:space="preserve">Current Best Price</t>
  </si>
  <si>
    <t xml:space="preserve">New Best Price</t>
  </si>
  <si>
    <t xml:space="preserve">Current Best Mgn %</t>
  </si>
  <si>
    <t xml:space="preserve">New Best Mgn %</t>
  </si>
  <si>
    <t xml:space="preserve">Δ Best Mgn %</t>
  </si>
  <si>
    <t xml:space="preserve">FL Price Needed to Hold Current FL Mgn %</t>
  </si>
  <si>
    <t xml:space="preserve">Kohler Actuals — What We Really Charged, 7/1/2026 – 8/31/2026</t>
  </si>
  <si>
    <t xml:space="preserve">From InvoiceTransReport_GSHARKEY_20260903. Reality check on the pricing file: the realized prices match the Kohler columns in the analysis exactly.</t>
  </si>
  <si>
    <t xml:space="preserve">Kegs Shipped</t>
  </si>
  <si>
    <t xml:space="preserve">Accounts Bought</t>
  </si>
  <si>
    <t xml:space="preserve">Weighted Avg Realized $/keg</t>
  </si>
  <si>
    <t xml:space="preserve">Frontline Price</t>
  </si>
  <si>
    <t xml:space="preserve">Best Price</t>
  </si>
  <si>
    <t xml:space="preserve">Realized vs Frontline ($)</t>
  </si>
  <si>
    <t xml:space="preserve">% of Kegs at Frontline</t>
  </si>
  <si>
    <t xml:space="preserve">% of Kegs at Best Price or Lower</t>
  </si>
  <si>
    <t xml:space="preserve">Weighted DA Credit ($/keg)</t>
  </si>
  <si>
    <t xml:space="preserve">Effective Cost — Current Laid-In</t>
  </si>
  <si>
    <t xml:space="preserve">Realized Margin $ (current cost)</t>
  </si>
  <si>
    <t xml:space="preserve">Realized Margin % (current cost)</t>
  </si>
  <si>
    <t xml:space="preserve">Effective Cost — New Laid-In</t>
  </si>
  <si>
    <t xml:space="preserve">Realized Margin $ (new cost, price held)</t>
  </si>
  <si>
    <t xml:space="preserve">Realized Margin % (new cost, price held)</t>
  </si>
  <si>
    <t xml:space="preserve">Margin $ at Risk on This Volume</t>
  </si>
  <si>
    <t xml:space="preserve">TOTAL</t>
  </si>
  <si>
    <t xml:space="preserve">Weighted average realized price excludes zero-price lines (18 lines / 21 kegs of samples and comps) and backorder-only lines.</t>
  </si>
  <si>
    <t xml:space="preserve">Weighted DA credit = DA x % of kegs sold at best price or lower — i.e. the allowance is credited only against the share of volume that actually moved on the promoted price. Without it, Truly 15.5 reads as a 5% margin product, which is an artefact of ignoring a $35.40 allowance on 90% of its volume.</t>
  </si>
  <si>
    <t xml:space="preserve">Margin $ at Risk = (new-cost margin - current-cost margin) x kegs shipped in this two-month window. It is what holding price through the cost increase would have cost on July-August volume, not a forecast.</t>
  </si>
  <si>
    <t xml:space="preserve">Sam Adams 15.5 shows only 34% at frontline and 19% at best price because a large share ships at $179 and $181 — intermediate prices between the two, which the pricing analysis does not capture.</t>
  </si>
  <si>
    <t xml:space="preserve">Source Data — Boston_Pricing_Analysis.xlsx (unmodified)</t>
  </si>
  <si>
    <t xml:space="preserve">Verbatim copy of the original Sheet1, including the DA notes recorded as free text inside price cells. Nothing on this tab feeds the calculations.</t>
  </si>
  <si>
    <t xml:space="preserve">Laid In</t>
  </si>
  <si>
    <t xml:space="preserve">Frontline Current Suggested</t>
  </si>
  <si>
    <t xml:space="preserve">Kohler Current Frontline </t>
  </si>
  <si>
    <t xml:space="preserve">Peerless Current Frontline</t>
  </si>
  <si>
    <t xml:space="preserve">Shore Point Current Frontline</t>
  </si>
  <si>
    <t xml:space="preserve">Suggested Current Best Price</t>
  </si>
  <si>
    <t xml:space="preserve">Kohler Current Best Price </t>
  </si>
  <si>
    <t xml:space="preserve">Peerless Current Best Price</t>
  </si>
  <si>
    <t xml:space="preserve">Shore Point Current Best Price</t>
  </si>
  <si>
    <t xml:space="preserve">58 ($9 DA)</t>
  </si>
  <si>
    <t xml:space="preserve">NA</t>
  </si>
  <si>
    <t xml:space="preserve">$115 ($35.40 DA)</t>
  </si>
  <si>
    <t xml:space="preserve">New Laid In</t>
  </si>
  <si>
    <t xml:space="preserve">Frontline New Suggested  Suggested</t>
  </si>
  <si>
    <t xml:space="preserve">Kohler New Frontline ?</t>
  </si>
  <si>
    <t xml:space="preserve">Suggested New Best Price</t>
  </si>
  <si>
    <t xml:space="preserve">Kohler New Best Price ?</t>
  </si>
  <si>
    <t xml:space="preserve">$61 ($9 DA)</t>
  </si>
  <si>
    <t xml:space="preserve">$120 ($35.40 DA)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</si>
</sst>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\$#,##0.00;&quot;($&quot;#,##0.00\);\-"/>
    <numFmt numFmtId="167" formatCode="0.0%;\(0.0%\);\-"/>
    <numFmt numFmtId="168" formatCode="#,##0;\(#,##0\);\-"/>
    <numFmt numFmtId="169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F1FB"/>
        <bgColor rgb="FFF5F5F5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EAF1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activeCell="A1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04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43.5" hidden="false" customHeight="true" outlineLevel="0" collapsed="false">
      <c r="A6" s="4" t="s">
        <v>3</v>
      </c>
      <c r="B6" s="5" t="s">
        <v>4</v>
      </c>
      <c r="C6" s="6" t="s">
        <v>5</v>
      </c>
    </row>
    <row r="7" customFormat="false" ht="43.5" hidden="false" customHeight="true" outlineLevel="0" collapsed="false">
      <c r="A7" s="4" t="s">
        <v>6</v>
      </c>
      <c r="B7" s="5" t="s">
        <v>7</v>
      </c>
      <c r="C7" s="6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7" t="s">
        <v>10</v>
      </c>
      <c r="B10" s="8"/>
      <c r="C10" s="6" t="s">
        <v>11</v>
      </c>
    </row>
    <row r="11" customFormat="false" ht="15" hidden="false" customHeight="false" outlineLevel="0" collapsed="false">
      <c r="A11" s="9" t="s">
        <v>12</v>
      </c>
      <c r="B11" s="9"/>
      <c r="C11" s="6" t="s">
        <v>13</v>
      </c>
    </row>
    <row r="12" customFormat="false" ht="15" hidden="false" customHeight="false" outlineLevel="0" collapsed="false">
      <c r="A12" s="10" t="s">
        <v>14</v>
      </c>
      <c r="B12" s="9"/>
      <c r="C12" s="6" t="s">
        <v>15</v>
      </c>
    </row>
    <row r="13" customFormat="false" ht="15" hidden="false" customHeight="false" outlineLevel="0" collapsed="false">
      <c r="A13" s="11" t="s">
        <v>16</v>
      </c>
      <c r="B13" s="12"/>
      <c r="C13" s="6" t="s">
        <v>17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4" t="s">
        <v>19</v>
      </c>
      <c r="C16" s="6" t="s">
        <v>20</v>
      </c>
    </row>
    <row r="17" customFormat="false" ht="15" hidden="false" customHeight="false" outlineLevel="0" collapsed="false">
      <c r="A17" s="4" t="s">
        <v>21</v>
      </c>
      <c r="C17" s="6" t="s">
        <v>22</v>
      </c>
    </row>
    <row r="18" customFormat="false" ht="15" hidden="false" customHeight="false" outlineLevel="0" collapsed="false">
      <c r="A18" s="4" t="s">
        <v>23</v>
      </c>
      <c r="C18" s="6" t="s">
        <v>24</v>
      </c>
    </row>
    <row r="19" customFormat="false" ht="15" hidden="false" customHeight="false" outlineLevel="0" collapsed="false">
      <c r="A19" s="4" t="s">
        <v>25</v>
      </c>
      <c r="C19" s="6" t="s">
        <v>26</v>
      </c>
    </row>
    <row r="20" customFormat="false" ht="15" hidden="false" customHeight="false" outlineLevel="0" collapsed="false">
      <c r="A20" s="4" t="s">
        <v>27</v>
      </c>
      <c r="C20" s="6" t="s">
        <v>28</v>
      </c>
    </row>
    <row r="21" customFormat="false" ht="15" hidden="false" customHeight="false" outlineLevel="0" collapsed="false">
      <c r="A21" s="4" t="s">
        <v>29</v>
      </c>
      <c r="C21" s="6" t="s">
        <v>30</v>
      </c>
    </row>
    <row r="23" customFormat="false" ht="15" hidden="false" customHeight="false" outlineLevel="0" collapsed="false">
      <c r="A23" s="3" t="s">
        <v>31</v>
      </c>
    </row>
    <row r="24" customFormat="false" ht="69.75" hidden="false" customHeight="true" outlineLevel="0" collapsed="false">
      <c r="A24" s="13" t="s">
        <v>32</v>
      </c>
      <c r="C24" s="6" t="s">
        <v>33</v>
      </c>
    </row>
    <row r="25" customFormat="false" ht="55.5" hidden="false" customHeight="true" outlineLevel="0" collapsed="false">
      <c r="A25" s="13" t="s">
        <v>34</v>
      </c>
      <c r="C25" s="6" t="s">
        <v>35</v>
      </c>
    </row>
    <row r="26" customFormat="false" ht="55.5" hidden="false" customHeight="true" outlineLevel="0" collapsed="false">
      <c r="A26" s="13" t="s">
        <v>36</v>
      </c>
      <c r="C26" s="6" t="s">
        <v>37</v>
      </c>
    </row>
    <row r="27" customFormat="false" ht="27.75" hidden="false" customHeight="true" outlineLevel="0" collapsed="false">
      <c r="A27" s="13" t="s">
        <v>38</v>
      </c>
      <c r="C27" s="6" t="s">
        <v>39</v>
      </c>
    </row>
    <row r="28" customFormat="false" ht="42" hidden="false" customHeight="true" outlineLevel="0" collapsed="false">
      <c r="A28" s="13" t="s">
        <v>40</v>
      </c>
      <c r="C28" s="6" t="s">
        <v>41</v>
      </c>
    </row>
    <row r="29" customFormat="false" ht="27.75" hidden="false" customHeight="true" outlineLevel="0" collapsed="false">
      <c r="A29" s="13" t="s">
        <v>42</v>
      </c>
      <c r="C29" s="6" t="s">
        <v>43</v>
      </c>
    </row>
    <row r="30" customFormat="false" ht="55.5" hidden="false" customHeight="true" outlineLevel="0" collapsed="false">
      <c r="A30" s="13" t="s">
        <v>44</v>
      </c>
      <c r="C30" s="6" t="s">
        <v>45</v>
      </c>
    </row>
    <row r="31" customFormat="false" ht="27.75" hidden="false" customHeight="true" outlineLevel="0" collapsed="false">
      <c r="A31" s="13" t="s">
        <v>46</v>
      </c>
      <c r="C31" s="6" t="s">
        <v>47</v>
      </c>
    </row>
    <row r="32" customFormat="false" ht="55.5" hidden="false" customHeight="true" outlineLevel="0" collapsed="false">
      <c r="A32" s="13" t="s">
        <v>48</v>
      </c>
      <c r="C32" s="6" t="s">
        <v>49</v>
      </c>
    </row>
    <row r="34" customFormat="false" ht="15" hidden="false" customHeight="false" outlineLevel="0" collapsed="false">
      <c r="A34" s="3" t="s">
        <v>50</v>
      </c>
    </row>
    <row r="35" customFormat="false" ht="15" hidden="false" customHeight="false" outlineLevel="0" collapsed="false">
      <c r="A35" s="4" t="s">
        <v>51</v>
      </c>
      <c r="C35" s="14" t="s">
        <v>52</v>
      </c>
    </row>
    <row r="36" customFormat="false" ht="15" hidden="false" customHeight="false" outlineLevel="0" collapsed="false">
      <c r="A36" s="4" t="s">
        <v>53</v>
      </c>
      <c r="C36" s="14" t="s">
        <v>54</v>
      </c>
    </row>
    <row r="37" customFormat="false" ht="15" hidden="false" customHeight="false" outlineLevel="0" collapsed="false">
      <c r="A37" s="4" t="s">
        <v>55</v>
      </c>
      <c r="C37" s="14" t="s">
        <v>56</v>
      </c>
    </row>
    <row r="38" customFormat="false" ht="15" hidden="false" customHeight="false" outlineLevel="0" collapsed="false">
      <c r="A38" s="4" t="s">
        <v>57</v>
      </c>
      <c r="C38" s="14" t="s">
        <v>58</v>
      </c>
    </row>
    <row r="39" customFormat="false" ht="15" hidden="false" customHeight="false" outlineLevel="0" collapsed="false">
      <c r="A39" s="4" t="s">
        <v>59</v>
      </c>
      <c r="C39" s="14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bottomRight" activeCell="D5" sqref="D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4" min="12" style="0" width="11"/>
    <col collapsed="false" customWidth="true" hidden="false" outlineLevel="0" max="16" min="15" style="0" width="10"/>
    <col collapsed="false" customWidth="true" hidden="false" outlineLevel="0" max="17" min="17" style="0" width="42"/>
  </cols>
  <sheetData>
    <row r="1" customFormat="false" ht="19.5" hidden="false" customHeight="tru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3.75" hidden="false" customHeight="true" outlineLevel="0" collapsed="false">
      <c r="A4" s="15" t="s">
        <v>63</v>
      </c>
      <c r="B4" s="15" t="s">
        <v>64</v>
      </c>
      <c r="C4" s="15" t="s">
        <v>65</v>
      </c>
      <c r="D4" s="15" t="s">
        <v>66</v>
      </c>
      <c r="E4" s="15" t="s">
        <v>67</v>
      </c>
      <c r="F4" s="15" t="s">
        <v>68</v>
      </c>
      <c r="G4" s="15" t="s">
        <v>69</v>
      </c>
      <c r="H4" s="15" t="s">
        <v>70</v>
      </c>
      <c r="I4" s="15" t="s">
        <v>71</v>
      </c>
      <c r="J4" s="15" t="s">
        <v>72</v>
      </c>
      <c r="K4" s="15" t="s">
        <v>73</v>
      </c>
      <c r="L4" s="15" t="s">
        <v>74</v>
      </c>
      <c r="M4" s="15" t="s">
        <v>75</v>
      </c>
      <c r="N4" s="15" t="s">
        <v>76</v>
      </c>
      <c r="O4" s="15" t="s">
        <v>77</v>
      </c>
      <c r="P4" s="15" t="s">
        <v>78</v>
      </c>
      <c r="Q4" s="15" t="s">
        <v>79</v>
      </c>
    </row>
    <row r="5" customFormat="false" ht="15" hidden="false" customHeight="false" outlineLevel="0" collapsed="false">
      <c r="A5" s="16" t="s">
        <v>80</v>
      </c>
      <c r="B5" s="17" t="n">
        <v>15.5</v>
      </c>
      <c r="C5" s="18" t="s">
        <v>81</v>
      </c>
      <c r="D5" s="19" t="n">
        <v>114.61</v>
      </c>
      <c r="E5" s="19" t="n">
        <v>0</v>
      </c>
      <c r="F5" s="19" t="n">
        <v>185</v>
      </c>
      <c r="G5" s="19" t="n">
        <v>175</v>
      </c>
      <c r="H5" s="20" t="n">
        <f aca="false">IF($D5="","",IF(UPPER(Assumptions!$B$6)="Y",$D5-$E5,$D5))</f>
        <v>114.61</v>
      </c>
      <c r="I5" s="20" t="n">
        <f aca="false">IF(OR($F5="",$H5=""),"",$F5-$H5)</f>
        <v>70.39</v>
      </c>
      <c r="J5" s="21" t="n">
        <f aca="false">IF(OR($I5="",$F5=""),"",IFERROR($I5/$F5,""))</f>
        <v>0.380486486486487</v>
      </c>
      <c r="K5" s="20" t="n">
        <f aca="false">IF($D5="","",IF(UPPER(Assumptions!$B$7)="Y",$D5-$E5,$D5))</f>
        <v>114.61</v>
      </c>
      <c r="L5" s="20" t="n">
        <f aca="false">IF(OR($G5="",$K5=""),"",$G5-$K5)</f>
        <v>60.39</v>
      </c>
      <c r="M5" s="21" t="n">
        <f aca="false">IF(OR($L5="",$G5=""),"",IFERROR($L5/$G5,""))</f>
        <v>0.345085714285714</v>
      </c>
      <c r="N5" s="20" t="n">
        <f aca="false">IF(OR($F5="",$G5=""),"",$G5-$F5)</f>
        <v>-10</v>
      </c>
      <c r="O5" s="20" t="n">
        <f aca="false">IF($F5="","",IFERROR($F5/$B5,""))</f>
        <v>11.9354838709677</v>
      </c>
      <c r="P5" s="20" t="n">
        <f aca="false">IF($G5="","",IFERROR($G5/$B5,""))</f>
        <v>11.2903225806452</v>
      </c>
      <c r="Q5" s="22"/>
    </row>
    <row r="6" customFormat="false" ht="15" hidden="false" customHeight="false" outlineLevel="0" collapsed="false">
      <c r="A6" s="9" t="s">
        <v>80</v>
      </c>
      <c r="B6" s="23" t="n">
        <v>15.5</v>
      </c>
      <c r="C6" s="9" t="s">
        <v>82</v>
      </c>
      <c r="D6" s="19" t="n">
        <v>114.61</v>
      </c>
      <c r="E6" s="19" t="n">
        <v>0</v>
      </c>
      <c r="F6" s="19" t="n">
        <v>209</v>
      </c>
      <c r="G6" s="19" t="n">
        <v>188</v>
      </c>
      <c r="H6" s="24" t="n">
        <f aca="false">IF($D6="","",IF(UPPER(Assumptions!$B$6)="Y",$D6-$E6,$D6))</f>
        <v>114.61</v>
      </c>
      <c r="I6" s="24" t="n">
        <f aca="false">IF(OR($F6="",$H6=""),"",$F6-$H6)</f>
        <v>94.39</v>
      </c>
      <c r="J6" s="25" t="n">
        <f aca="false">IF(OR($I6="",$F6=""),"",IFERROR($I6/$F6,""))</f>
        <v>0.451626794258373</v>
      </c>
      <c r="K6" s="24" t="n">
        <f aca="false">IF($D6="","",IF(UPPER(Assumptions!$B$7)="Y",$D6-$E6,$D6))</f>
        <v>114.61</v>
      </c>
      <c r="L6" s="24" t="n">
        <f aca="false">IF(OR($G6="",$K6=""),"",$G6-$K6)</f>
        <v>73.39</v>
      </c>
      <c r="M6" s="25" t="n">
        <f aca="false">IF(OR($L6="",$G6=""),"",IFERROR($L6/$G6,""))</f>
        <v>0.390372340425532</v>
      </c>
      <c r="N6" s="24" t="n">
        <f aca="false">IF(OR($F6="",$G6=""),"",$G6-$F6)</f>
        <v>-21</v>
      </c>
      <c r="O6" s="24" t="n">
        <f aca="false">IF($F6="","",IFERROR($F6/$B6,""))</f>
        <v>13.4838709677419</v>
      </c>
      <c r="P6" s="24" t="n">
        <f aca="false">IF($G6="","",IFERROR($G6/$B6,""))</f>
        <v>12.1290322580645</v>
      </c>
      <c r="Q6" s="26"/>
    </row>
    <row r="7" customFormat="false" ht="15" hidden="false" customHeight="false" outlineLevel="0" collapsed="false">
      <c r="A7" s="9" t="s">
        <v>80</v>
      </c>
      <c r="B7" s="23" t="n">
        <v>15.5</v>
      </c>
      <c r="C7" s="9" t="s">
        <v>83</v>
      </c>
      <c r="D7" s="19" t="n">
        <v>114.61</v>
      </c>
      <c r="E7" s="19" t="n">
        <v>0</v>
      </c>
      <c r="F7" s="19" t="n">
        <v>207</v>
      </c>
      <c r="G7" s="19" t="n">
        <v>188</v>
      </c>
      <c r="H7" s="24" t="n">
        <f aca="false">IF($D7="","",IF(UPPER(Assumptions!$B$6)="Y",$D7-$E7,$D7))</f>
        <v>114.61</v>
      </c>
      <c r="I7" s="24" t="n">
        <f aca="false">IF(OR($F7="",$H7=""),"",$F7-$H7)</f>
        <v>92.39</v>
      </c>
      <c r="J7" s="25" t="n">
        <f aca="false">IF(OR($I7="",$F7=""),"",IFERROR($I7/$F7,""))</f>
        <v>0.446328502415459</v>
      </c>
      <c r="K7" s="24" t="n">
        <f aca="false">IF($D7="","",IF(UPPER(Assumptions!$B$7)="Y",$D7-$E7,$D7))</f>
        <v>114.61</v>
      </c>
      <c r="L7" s="24" t="n">
        <f aca="false">IF(OR($G7="",$K7=""),"",$G7-$K7)</f>
        <v>73.39</v>
      </c>
      <c r="M7" s="25" t="n">
        <f aca="false">IF(OR($L7="",$G7=""),"",IFERROR($L7/$G7,""))</f>
        <v>0.390372340425532</v>
      </c>
      <c r="N7" s="24" t="n">
        <f aca="false">IF(OR($F7="",$G7=""),"",$G7-$F7)</f>
        <v>-19</v>
      </c>
      <c r="O7" s="24" t="n">
        <f aca="false">IF($F7="","",IFERROR($F7/$B7,""))</f>
        <v>13.3548387096774</v>
      </c>
      <c r="P7" s="24" t="n">
        <f aca="false">IF($G7="","",IFERROR($G7/$B7,""))</f>
        <v>12.1290322580645</v>
      </c>
      <c r="Q7" s="26"/>
    </row>
    <row r="8" customFormat="false" ht="15" hidden="false" customHeight="false" outlineLevel="0" collapsed="false">
      <c r="A8" s="9" t="s">
        <v>80</v>
      </c>
      <c r="B8" s="23" t="n">
        <v>15.5</v>
      </c>
      <c r="C8" s="9" t="s">
        <v>84</v>
      </c>
      <c r="D8" s="19" t="n">
        <v>114.61</v>
      </c>
      <c r="E8" s="19" t="n">
        <v>0</v>
      </c>
      <c r="F8" s="19" t="n">
        <v>185</v>
      </c>
      <c r="G8" s="19" t="n">
        <v>169</v>
      </c>
      <c r="H8" s="24" t="n">
        <f aca="false">IF($D8="","",IF(UPPER(Assumptions!$B$6)="Y",$D8-$E8,$D8))</f>
        <v>114.61</v>
      </c>
      <c r="I8" s="24" t="n">
        <f aca="false">IF(OR($F8="",$H8=""),"",$F8-$H8)</f>
        <v>70.39</v>
      </c>
      <c r="J8" s="25" t="n">
        <f aca="false">IF(OR($I8="",$F8=""),"",IFERROR($I8/$F8,""))</f>
        <v>0.380486486486487</v>
      </c>
      <c r="K8" s="24" t="n">
        <f aca="false">IF($D8="","",IF(UPPER(Assumptions!$B$7)="Y",$D8-$E8,$D8))</f>
        <v>114.61</v>
      </c>
      <c r="L8" s="24" t="n">
        <f aca="false">IF(OR($G8="",$K8=""),"",$G8-$K8)</f>
        <v>54.39</v>
      </c>
      <c r="M8" s="25" t="n">
        <f aca="false">IF(OR($L8="",$G8=""),"",IFERROR($L8/$G8,""))</f>
        <v>0.321834319526627</v>
      </c>
      <c r="N8" s="24" t="n">
        <f aca="false">IF(OR($F8="",$G8=""),"",$G8-$F8)</f>
        <v>-16</v>
      </c>
      <c r="O8" s="24" t="n">
        <f aca="false">IF($F8="","",IFERROR($F8/$B8,""))</f>
        <v>11.9354838709677</v>
      </c>
      <c r="P8" s="24" t="n">
        <f aca="false">IF($G8="","",IFERROR($G8/$B8,""))</f>
        <v>10.9032258064516</v>
      </c>
      <c r="Q8" s="26" t="s">
        <v>85</v>
      </c>
    </row>
    <row r="9" customFormat="false" ht="15" hidden="false" customHeight="false" outlineLevel="0" collapsed="false">
      <c r="A9" s="16" t="s">
        <v>86</v>
      </c>
      <c r="B9" s="17" t="n">
        <v>5.2</v>
      </c>
      <c r="C9" s="18" t="s">
        <v>81</v>
      </c>
      <c r="D9" s="19" t="n">
        <v>48.12</v>
      </c>
      <c r="E9" s="19" t="n">
        <v>0</v>
      </c>
      <c r="F9" s="19" t="n">
        <v>80</v>
      </c>
      <c r="G9" s="19" t="n">
        <v>78</v>
      </c>
      <c r="H9" s="20" t="n">
        <f aca="false">IF($D9="","",IF(UPPER(Assumptions!$B$6)="Y",$D9-$E9,$D9))</f>
        <v>48.12</v>
      </c>
      <c r="I9" s="20" t="n">
        <f aca="false">IF(OR($F9="",$H9=""),"",$F9-$H9)</f>
        <v>31.88</v>
      </c>
      <c r="J9" s="21" t="n">
        <f aca="false">IF(OR($I9="",$F9=""),"",IFERROR($I9/$F9,""))</f>
        <v>0.3985</v>
      </c>
      <c r="K9" s="20" t="n">
        <f aca="false">IF($D9="","",IF(UPPER(Assumptions!$B$7)="Y",$D9-$E9,$D9))</f>
        <v>48.12</v>
      </c>
      <c r="L9" s="20" t="n">
        <f aca="false">IF(OR($G9="",$K9=""),"",$G9-$K9)</f>
        <v>29.88</v>
      </c>
      <c r="M9" s="21" t="n">
        <f aca="false">IF(OR($L9="",$G9=""),"",IFERROR($L9/$G9,""))</f>
        <v>0.383076923076923</v>
      </c>
      <c r="N9" s="20" t="n">
        <f aca="false">IF(OR($F9="",$G9=""),"",$G9-$F9)</f>
        <v>-2</v>
      </c>
      <c r="O9" s="20" t="n">
        <f aca="false">IF($F9="","",IFERROR($F9/$B9,""))</f>
        <v>15.3846153846154</v>
      </c>
      <c r="P9" s="20" t="n">
        <f aca="false">IF($G9="","",IFERROR($G9/$B9,""))</f>
        <v>15</v>
      </c>
      <c r="Q9" s="22"/>
    </row>
    <row r="10" customFormat="false" ht="15" hidden="false" customHeight="false" outlineLevel="0" collapsed="false">
      <c r="A10" s="27" t="s">
        <v>86</v>
      </c>
      <c r="B10" s="28" t="n">
        <v>5.2</v>
      </c>
      <c r="C10" s="27" t="s">
        <v>82</v>
      </c>
      <c r="D10" s="19" t="n">
        <v>48.12</v>
      </c>
      <c r="E10" s="19" t="n">
        <v>0</v>
      </c>
      <c r="F10" s="19" t="n">
        <v>97.5</v>
      </c>
      <c r="G10" s="19" t="n">
        <v>88.5</v>
      </c>
      <c r="H10" s="29" t="n">
        <f aca="false">IF($D10="","",IF(UPPER(Assumptions!$B$6)="Y",$D10-$E10,$D10))</f>
        <v>48.12</v>
      </c>
      <c r="I10" s="29" t="n">
        <f aca="false">IF(OR($F10="",$H10=""),"",$F10-$H10)</f>
        <v>49.38</v>
      </c>
      <c r="J10" s="30" t="n">
        <f aca="false">IF(OR($I10="",$F10=""),"",IFERROR($I10/$F10,""))</f>
        <v>0.506461538461539</v>
      </c>
      <c r="K10" s="29" t="n">
        <f aca="false">IF($D10="","",IF(UPPER(Assumptions!$B$7)="Y",$D10-$E10,$D10))</f>
        <v>48.12</v>
      </c>
      <c r="L10" s="29" t="n">
        <f aca="false">IF(OR($G10="",$K10=""),"",$G10-$K10)</f>
        <v>40.38</v>
      </c>
      <c r="M10" s="30" t="n">
        <f aca="false">IF(OR($L10="",$G10=""),"",IFERROR($L10/$G10,""))</f>
        <v>0.456271186440678</v>
      </c>
      <c r="N10" s="29" t="n">
        <f aca="false">IF(OR($F10="",$G10=""),"",$G10-$F10)</f>
        <v>-9</v>
      </c>
      <c r="O10" s="29" t="n">
        <f aca="false">IF($F10="","",IFERROR($F10/$B10,""))</f>
        <v>18.75</v>
      </c>
      <c r="P10" s="29" t="n">
        <f aca="false">IF($G10="","",IFERROR($G10/$B10,""))</f>
        <v>17.0192307692308</v>
      </c>
      <c r="Q10" s="31"/>
    </row>
    <row r="11" customFormat="false" ht="15" hidden="false" customHeight="false" outlineLevel="0" collapsed="false">
      <c r="A11" s="27" t="s">
        <v>86</v>
      </c>
      <c r="B11" s="28" t="n">
        <v>5.2</v>
      </c>
      <c r="C11" s="27" t="s">
        <v>83</v>
      </c>
      <c r="D11" s="19" t="n">
        <v>48.12</v>
      </c>
      <c r="E11" s="19" t="n">
        <v>0</v>
      </c>
      <c r="F11" s="19" t="n">
        <v>90</v>
      </c>
      <c r="G11" s="19" t="n">
        <v>80</v>
      </c>
      <c r="H11" s="29" t="n">
        <f aca="false">IF($D11="","",IF(UPPER(Assumptions!$B$6)="Y",$D11-$E11,$D11))</f>
        <v>48.12</v>
      </c>
      <c r="I11" s="29" t="n">
        <f aca="false">IF(OR($F11="",$H11=""),"",$F11-$H11)</f>
        <v>41.88</v>
      </c>
      <c r="J11" s="30" t="n">
        <f aca="false">IF(OR($I11="",$F11=""),"",IFERROR($I11/$F11,""))</f>
        <v>0.465333333333333</v>
      </c>
      <c r="K11" s="29" t="n">
        <f aca="false">IF($D11="","",IF(UPPER(Assumptions!$B$7)="Y",$D11-$E11,$D11))</f>
        <v>48.12</v>
      </c>
      <c r="L11" s="29" t="n">
        <f aca="false">IF(OR($G11="",$K11=""),"",$G11-$K11)</f>
        <v>31.88</v>
      </c>
      <c r="M11" s="30" t="n">
        <f aca="false">IF(OR($L11="",$G11=""),"",IFERROR($L11/$G11,""))</f>
        <v>0.3985</v>
      </c>
      <c r="N11" s="29" t="n">
        <f aca="false">IF(OR($F11="",$G11=""),"",$G11-$F11)</f>
        <v>-10</v>
      </c>
      <c r="O11" s="29" t="n">
        <f aca="false">IF($F11="","",IFERROR($F11/$B11,""))</f>
        <v>17.3076923076923</v>
      </c>
      <c r="P11" s="29" t="n">
        <f aca="false">IF($G11="","",IFERROR($G11/$B11,""))</f>
        <v>15.3846153846154</v>
      </c>
      <c r="Q11" s="31"/>
    </row>
    <row r="12" customFormat="false" ht="15" hidden="false" customHeight="false" outlineLevel="0" collapsed="false">
      <c r="A12" s="27" t="s">
        <v>86</v>
      </c>
      <c r="B12" s="28" t="n">
        <v>5.2</v>
      </c>
      <c r="C12" s="27" t="s">
        <v>84</v>
      </c>
      <c r="D12" s="19" t="n">
        <v>48.12</v>
      </c>
      <c r="E12" s="19" t="n">
        <v>0</v>
      </c>
      <c r="F12" s="19" t="n">
        <v>73</v>
      </c>
      <c r="G12" s="19" t="n">
        <v>63</v>
      </c>
      <c r="H12" s="29" t="n">
        <f aca="false">IF($D12="","",IF(UPPER(Assumptions!$B$6)="Y",$D12-$E12,$D12))</f>
        <v>48.12</v>
      </c>
      <c r="I12" s="29" t="n">
        <f aca="false">IF(OR($F12="",$H12=""),"",$F12-$H12)</f>
        <v>24.88</v>
      </c>
      <c r="J12" s="30" t="n">
        <f aca="false">IF(OR($I12="",$F12=""),"",IFERROR($I12/$F12,""))</f>
        <v>0.340821917808219</v>
      </c>
      <c r="K12" s="29" t="n">
        <f aca="false">IF($D12="","",IF(UPPER(Assumptions!$B$7)="Y",$D12-$E12,$D12))</f>
        <v>48.12</v>
      </c>
      <c r="L12" s="29" t="n">
        <f aca="false">IF(OR($G12="",$K12=""),"",$G12-$K12)</f>
        <v>14.88</v>
      </c>
      <c r="M12" s="30" t="n">
        <f aca="false">IF(OR($L12="",$G12=""),"",IFERROR($L12/$G12,""))</f>
        <v>0.236190476190476</v>
      </c>
      <c r="N12" s="29" t="n">
        <f aca="false">IF(OR($F12="",$G12=""),"",$G12-$F12)</f>
        <v>-10</v>
      </c>
      <c r="O12" s="29" t="n">
        <f aca="false">IF($F12="","",IFERROR($F12/$B12,""))</f>
        <v>14.0384615384615</v>
      </c>
      <c r="P12" s="29" t="n">
        <f aca="false">IF($G12="","",IFERROR($G12/$B12,""))</f>
        <v>12.1153846153846</v>
      </c>
      <c r="Q12" s="31" t="s">
        <v>85</v>
      </c>
    </row>
    <row r="13" customFormat="false" ht="15" hidden="false" customHeight="false" outlineLevel="0" collapsed="false">
      <c r="A13" s="16" t="s">
        <v>87</v>
      </c>
      <c r="B13" s="17" t="n">
        <v>15.5</v>
      </c>
      <c r="C13" s="18" t="s">
        <v>81</v>
      </c>
      <c r="D13" s="19" t="n">
        <v>114.11</v>
      </c>
      <c r="E13" s="19" t="n">
        <v>0</v>
      </c>
      <c r="F13" s="19" t="n">
        <v>185</v>
      </c>
      <c r="G13" s="19" t="n">
        <v>175</v>
      </c>
      <c r="H13" s="20" t="n">
        <f aca="false">IF($D13="","",IF(UPPER(Assumptions!$B$6)="Y",$D13-$E13,$D13))</f>
        <v>114.11</v>
      </c>
      <c r="I13" s="20" t="n">
        <f aca="false">IF(OR($F13="",$H13=""),"",$F13-$H13)</f>
        <v>70.89</v>
      </c>
      <c r="J13" s="21" t="n">
        <f aca="false">IF(OR($I13="",$F13=""),"",IFERROR($I13/$F13,""))</f>
        <v>0.383189189189189</v>
      </c>
      <c r="K13" s="20" t="n">
        <f aca="false">IF($D13="","",IF(UPPER(Assumptions!$B$7)="Y",$D13-$E13,$D13))</f>
        <v>114.11</v>
      </c>
      <c r="L13" s="20" t="n">
        <f aca="false">IF(OR($G13="",$K13=""),"",$G13-$K13)</f>
        <v>60.89</v>
      </c>
      <c r="M13" s="21" t="n">
        <f aca="false">IF(OR($L13="",$G13=""),"",IFERROR($L13/$G13,""))</f>
        <v>0.347942857142857</v>
      </c>
      <c r="N13" s="20" t="n">
        <f aca="false">IF(OR($F13="",$G13=""),"",$G13-$F13)</f>
        <v>-10</v>
      </c>
      <c r="O13" s="20" t="n">
        <f aca="false">IF($F13="","",IFERROR($F13/$B13,""))</f>
        <v>11.9354838709677</v>
      </c>
      <c r="P13" s="20" t="n">
        <f aca="false">IF($G13="","",IFERROR($G13/$B13,""))</f>
        <v>11.2903225806452</v>
      </c>
      <c r="Q13" s="22"/>
    </row>
    <row r="14" customFormat="false" ht="15" hidden="false" customHeight="false" outlineLevel="0" collapsed="false">
      <c r="A14" s="9" t="s">
        <v>87</v>
      </c>
      <c r="B14" s="23" t="n">
        <v>15.5</v>
      </c>
      <c r="C14" s="9" t="s">
        <v>82</v>
      </c>
      <c r="D14" s="19" t="n">
        <v>114.11</v>
      </c>
      <c r="E14" s="19" t="n">
        <v>0</v>
      </c>
      <c r="F14" s="19" t="n">
        <v>209</v>
      </c>
      <c r="G14" s="19" t="n">
        <v>188</v>
      </c>
      <c r="H14" s="24" t="n">
        <f aca="false">IF($D14="","",IF(UPPER(Assumptions!$B$6)="Y",$D14-$E14,$D14))</f>
        <v>114.11</v>
      </c>
      <c r="I14" s="24" t="n">
        <f aca="false">IF(OR($F14="",$H14=""),"",$F14-$H14)</f>
        <v>94.89</v>
      </c>
      <c r="J14" s="25" t="n">
        <f aca="false">IF(OR($I14="",$F14=""),"",IFERROR($I14/$F14,""))</f>
        <v>0.454019138755981</v>
      </c>
      <c r="K14" s="24" t="n">
        <f aca="false">IF($D14="","",IF(UPPER(Assumptions!$B$7)="Y",$D14-$E14,$D14))</f>
        <v>114.11</v>
      </c>
      <c r="L14" s="24" t="n">
        <f aca="false">IF(OR($G14="",$K14=""),"",$G14-$K14)</f>
        <v>73.89</v>
      </c>
      <c r="M14" s="25" t="n">
        <f aca="false">IF(OR($L14="",$G14=""),"",IFERROR($L14/$G14,""))</f>
        <v>0.393031914893617</v>
      </c>
      <c r="N14" s="24" t="n">
        <f aca="false">IF(OR($F14="",$G14=""),"",$G14-$F14)</f>
        <v>-21</v>
      </c>
      <c r="O14" s="24" t="n">
        <f aca="false">IF($F14="","",IFERROR($F14/$B14,""))</f>
        <v>13.4838709677419</v>
      </c>
      <c r="P14" s="24" t="n">
        <f aca="false">IF($G14="","",IFERROR($G14/$B14,""))</f>
        <v>12.1290322580645</v>
      </c>
      <c r="Q14" s="26"/>
    </row>
    <row r="15" customFormat="false" ht="15" hidden="false" customHeight="false" outlineLevel="0" collapsed="false">
      <c r="A15" s="9" t="s">
        <v>87</v>
      </c>
      <c r="B15" s="23" t="n">
        <v>15.5</v>
      </c>
      <c r="C15" s="9" t="s">
        <v>83</v>
      </c>
      <c r="D15" s="19" t="n">
        <v>114.11</v>
      </c>
      <c r="E15" s="19" t="n">
        <v>0</v>
      </c>
      <c r="F15" s="19" t="n">
        <v>207</v>
      </c>
      <c r="G15" s="19" t="n">
        <v>188</v>
      </c>
      <c r="H15" s="24" t="n">
        <f aca="false">IF($D15="","",IF(UPPER(Assumptions!$B$6)="Y",$D15-$E15,$D15))</f>
        <v>114.11</v>
      </c>
      <c r="I15" s="24" t="n">
        <f aca="false">IF(OR($F15="",$H15=""),"",$F15-$H15)</f>
        <v>92.89</v>
      </c>
      <c r="J15" s="25" t="n">
        <f aca="false">IF(OR($I15="",$F15=""),"",IFERROR($I15/$F15,""))</f>
        <v>0.448743961352657</v>
      </c>
      <c r="K15" s="24" t="n">
        <f aca="false">IF($D15="","",IF(UPPER(Assumptions!$B$7)="Y",$D15-$E15,$D15))</f>
        <v>114.11</v>
      </c>
      <c r="L15" s="24" t="n">
        <f aca="false">IF(OR($G15="",$K15=""),"",$G15-$K15)</f>
        <v>73.89</v>
      </c>
      <c r="M15" s="25" t="n">
        <f aca="false">IF(OR($L15="",$G15=""),"",IFERROR($L15/$G15,""))</f>
        <v>0.393031914893617</v>
      </c>
      <c r="N15" s="24" t="n">
        <f aca="false">IF(OR($F15="",$G15=""),"",$G15-$F15)</f>
        <v>-19</v>
      </c>
      <c r="O15" s="24" t="n">
        <f aca="false">IF($F15="","",IFERROR($F15/$B15,""))</f>
        <v>13.3548387096774</v>
      </c>
      <c r="P15" s="24" t="n">
        <f aca="false">IF($G15="","",IFERROR($G15/$B15,""))</f>
        <v>12.1290322580645</v>
      </c>
      <c r="Q15" s="26"/>
    </row>
    <row r="16" customFormat="false" ht="15" hidden="false" customHeight="false" outlineLevel="0" collapsed="false">
      <c r="A16" s="9" t="s">
        <v>87</v>
      </c>
      <c r="B16" s="23" t="n">
        <v>15.5</v>
      </c>
      <c r="C16" s="9" t="s">
        <v>84</v>
      </c>
      <c r="D16" s="19" t="n">
        <v>114.11</v>
      </c>
      <c r="E16" s="19" t="n">
        <v>0</v>
      </c>
      <c r="F16" s="19" t="n">
        <v>184</v>
      </c>
      <c r="G16" s="19" t="n">
        <v>168</v>
      </c>
      <c r="H16" s="24" t="n">
        <f aca="false">IF($D16="","",IF(UPPER(Assumptions!$B$6)="Y",$D16-$E16,$D16))</f>
        <v>114.11</v>
      </c>
      <c r="I16" s="24" t="n">
        <f aca="false">IF(OR($F16="",$H16=""),"",$F16-$H16)</f>
        <v>69.89</v>
      </c>
      <c r="J16" s="25" t="n">
        <f aca="false">IF(OR($I16="",$F16=""),"",IFERROR($I16/$F16,""))</f>
        <v>0.379836956521739</v>
      </c>
      <c r="K16" s="24" t="n">
        <f aca="false">IF($D16="","",IF(UPPER(Assumptions!$B$7)="Y",$D16-$E16,$D16))</f>
        <v>114.11</v>
      </c>
      <c r="L16" s="24" t="n">
        <f aca="false">IF(OR($G16="",$K16=""),"",$G16-$K16)</f>
        <v>53.89</v>
      </c>
      <c r="M16" s="25" t="n">
        <f aca="false">IF(OR($L16="",$G16=""),"",IFERROR($L16/$G16,""))</f>
        <v>0.32077380952381</v>
      </c>
      <c r="N16" s="24" t="n">
        <f aca="false">IF(OR($F16="",$G16=""),"",$G16-$F16)</f>
        <v>-16</v>
      </c>
      <c r="O16" s="24" t="n">
        <f aca="false">IF($F16="","",IFERROR($F16/$B16,""))</f>
        <v>11.8709677419355</v>
      </c>
      <c r="P16" s="24" t="n">
        <f aca="false">IF($G16="","",IFERROR($G16/$B16,""))</f>
        <v>10.8387096774194</v>
      </c>
      <c r="Q16" s="26" t="s">
        <v>85</v>
      </c>
    </row>
    <row r="17" customFormat="false" ht="15" hidden="false" customHeight="false" outlineLevel="0" collapsed="false">
      <c r="A17" s="16" t="s">
        <v>88</v>
      </c>
      <c r="B17" s="17" t="n">
        <v>5.2</v>
      </c>
      <c r="C17" s="18" t="s">
        <v>81</v>
      </c>
      <c r="D17" s="19" t="n">
        <v>48.12</v>
      </c>
      <c r="E17" s="19" t="n">
        <v>9</v>
      </c>
      <c r="F17" s="19" t="n">
        <v>77</v>
      </c>
      <c r="G17" s="19" t="n">
        <v>58</v>
      </c>
      <c r="H17" s="20" t="n">
        <f aca="false">IF($D17="","",IF(UPPER(Assumptions!$B$6)="Y",$D17-$E17,$D17))</f>
        <v>48.12</v>
      </c>
      <c r="I17" s="20" t="n">
        <f aca="false">IF(OR($F17="",$H17=""),"",$F17-$H17)</f>
        <v>28.88</v>
      </c>
      <c r="J17" s="21" t="n">
        <f aca="false">IF(OR($I17="",$F17=""),"",IFERROR($I17/$F17,""))</f>
        <v>0.375064935064935</v>
      </c>
      <c r="K17" s="20" t="n">
        <f aca="false">IF($D17="","",IF(UPPER(Assumptions!$B$7)="Y",$D17-$E17,$D17))</f>
        <v>39.12</v>
      </c>
      <c r="L17" s="20" t="n">
        <f aca="false">IF(OR($G17="",$K17=""),"",$G17-$K17)</f>
        <v>18.88</v>
      </c>
      <c r="M17" s="21" t="n">
        <f aca="false">IF(OR($L17="",$G17=""),"",IFERROR($L17/$G17,""))</f>
        <v>0.32551724137931</v>
      </c>
      <c r="N17" s="20" t="n">
        <f aca="false">IF(OR($F17="",$G17=""),"",$G17-$F17)</f>
        <v>-19</v>
      </c>
      <c r="O17" s="20" t="n">
        <f aca="false">IF($F17="","",IFERROR($F17/$B17,""))</f>
        <v>14.8076923076923</v>
      </c>
      <c r="P17" s="20" t="n">
        <f aca="false">IF($G17="","",IFERROR($G17/$B17,""))</f>
        <v>11.1538461538462</v>
      </c>
      <c r="Q17" s="22" t="s">
        <v>89</v>
      </c>
    </row>
    <row r="18" customFormat="false" ht="15" hidden="false" customHeight="false" outlineLevel="0" collapsed="false">
      <c r="A18" s="27" t="s">
        <v>88</v>
      </c>
      <c r="B18" s="28" t="n">
        <v>5.2</v>
      </c>
      <c r="C18" s="27" t="s">
        <v>82</v>
      </c>
      <c r="D18" s="19" t="n">
        <v>48.12</v>
      </c>
      <c r="E18" s="19" t="n">
        <v>0</v>
      </c>
      <c r="F18" s="19" t="n">
        <v>97.5</v>
      </c>
      <c r="G18" s="19" t="n">
        <v>88.5</v>
      </c>
      <c r="H18" s="29" t="n">
        <f aca="false">IF($D18="","",IF(UPPER(Assumptions!$B$6)="Y",$D18-$E18,$D18))</f>
        <v>48.12</v>
      </c>
      <c r="I18" s="29" t="n">
        <f aca="false">IF(OR($F18="",$H18=""),"",$F18-$H18)</f>
        <v>49.38</v>
      </c>
      <c r="J18" s="30" t="n">
        <f aca="false">IF(OR($I18="",$F18=""),"",IFERROR($I18/$F18,""))</f>
        <v>0.506461538461539</v>
      </c>
      <c r="K18" s="29" t="n">
        <f aca="false">IF($D18="","",IF(UPPER(Assumptions!$B$7)="Y",$D18-$E18,$D18))</f>
        <v>48.12</v>
      </c>
      <c r="L18" s="29" t="n">
        <f aca="false">IF(OR($G18="",$K18=""),"",$G18-$K18)</f>
        <v>40.38</v>
      </c>
      <c r="M18" s="30" t="n">
        <f aca="false">IF(OR($L18="",$G18=""),"",IFERROR($L18/$G18,""))</f>
        <v>0.456271186440678</v>
      </c>
      <c r="N18" s="29" t="n">
        <f aca="false">IF(OR($F18="",$G18=""),"",$G18-$F18)</f>
        <v>-9</v>
      </c>
      <c r="O18" s="29" t="n">
        <f aca="false">IF($F18="","",IFERROR($F18/$B18,""))</f>
        <v>18.75</v>
      </c>
      <c r="P18" s="29" t="n">
        <f aca="false">IF($G18="","",IFERROR($G18/$B18,""))</f>
        <v>17.0192307692308</v>
      </c>
      <c r="Q18" s="31" t="s">
        <v>90</v>
      </c>
    </row>
    <row r="19" customFormat="false" ht="15" hidden="false" customHeight="false" outlineLevel="0" collapsed="false">
      <c r="A19" s="27" t="s">
        <v>88</v>
      </c>
      <c r="B19" s="28" t="n">
        <v>5.2</v>
      </c>
      <c r="C19" s="27" t="s">
        <v>83</v>
      </c>
      <c r="D19" s="19" t="n">
        <v>48.12</v>
      </c>
      <c r="E19" s="19" t="n">
        <v>0</v>
      </c>
      <c r="F19" s="19" t="n">
        <v>90</v>
      </c>
      <c r="G19" s="19" t="n">
        <v>80</v>
      </c>
      <c r="H19" s="29" t="n">
        <f aca="false">IF($D19="","",IF(UPPER(Assumptions!$B$6)="Y",$D19-$E19,$D19))</f>
        <v>48.12</v>
      </c>
      <c r="I19" s="29" t="n">
        <f aca="false">IF(OR($F19="",$H19=""),"",$F19-$H19)</f>
        <v>41.88</v>
      </c>
      <c r="J19" s="30" t="n">
        <f aca="false">IF(OR($I19="",$F19=""),"",IFERROR($I19/$F19,""))</f>
        <v>0.465333333333333</v>
      </c>
      <c r="K19" s="29" t="n">
        <f aca="false">IF($D19="","",IF(UPPER(Assumptions!$B$7)="Y",$D19-$E19,$D19))</f>
        <v>48.12</v>
      </c>
      <c r="L19" s="29" t="n">
        <f aca="false">IF(OR($G19="",$K19=""),"",$G19-$K19)</f>
        <v>31.88</v>
      </c>
      <c r="M19" s="30" t="n">
        <f aca="false">IF(OR($L19="",$G19=""),"",IFERROR($L19/$G19,""))</f>
        <v>0.3985</v>
      </c>
      <c r="N19" s="29" t="n">
        <f aca="false">IF(OR($F19="",$G19=""),"",$G19-$F19)</f>
        <v>-10</v>
      </c>
      <c r="O19" s="29" t="n">
        <f aca="false">IF($F19="","",IFERROR($F19/$B19,""))</f>
        <v>17.3076923076923</v>
      </c>
      <c r="P19" s="29" t="n">
        <f aca="false">IF($G19="","",IFERROR($G19/$B19,""))</f>
        <v>15.3846153846154</v>
      </c>
      <c r="Q19" s="31" t="s">
        <v>90</v>
      </c>
    </row>
    <row r="20" customFormat="false" ht="15" hidden="false" customHeight="false" outlineLevel="0" collapsed="false">
      <c r="A20" s="27" t="s">
        <v>88</v>
      </c>
      <c r="B20" s="28" t="n">
        <v>5.2</v>
      </c>
      <c r="C20" s="27" t="s">
        <v>84</v>
      </c>
      <c r="D20" s="19" t="n">
        <v>48.12</v>
      </c>
      <c r="E20" s="19" t="n">
        <v>9</v>
      </c>
      <c r="F20" s="19" t="n">
        <v>77</v>
      </c>
      <c r="G20" s="19" t="n">
        <v>58</v>
      </c>
      <c r="H20" s="29" t="n">
        <f aca="false">IF($D20="","",IF(UPPER(Assumptions!$B$6)="Y",$D20-$E20,$D20))</f>
        <v>48.12</v>
      </c>
      <c r="I20" s="29" t="n">
        <f aca="false">IF(OR($F20="",$H20=""),"",$F20-$H20)</f>
        <v>28.88</v>
      </c>
      <c r="J20" s="30" t="n">
        <f aca="false">IF(OR($I20="",$F20=""),"",IFERROR($I20/$F20,""))</f>
        <v>0.375064935064935</v>
      </c>
      <c r="K20" s="29" t="n">
        <f aca="false">IF($D20="","",IF(UPPER(Assumptions!$B$7)="Y",$D20-$E20,$D20))</f>
        <v>39.12</v>
      </c>
      <c r="L20" s="29" t="n">
        <f aca="false">IF(OR($G20="",$K20=""),"",$G20-$K20)</f>
        <v>18.88</v>
      </c>
      <c r="M20" s="30" t="n">
        <f aca="false">IF(OR($L20="",$G20=""),"",IFERROR($L20/$G20,""))</f>
        <v>0.32551724137931</v>
      </c>
      <c r="N20" s="29" t="n">
        <f aca="false">IF(OR($F20="",$G20=""),"",$G20-$F20)</f>
        <v>-19</v>
      </c>
      <c r="O20" s="29" t="n">
        <f aca="false">IF($F20="","",IFERROR($F20/$B20,""))</f>
        <v>14.8076923076923</v>
      </c>
      <c r="P20" s="29" t="n">
        <f aca="false">IF($G20="","",IFERROR($G20/$B20,""))</f>
        <v>11.1538461538462</v>
      </c>
      <c r="Q20" s="31" t="s">
        <v>89</v>
      </c>
    </row>
    <row r="21" customFormat="false" ht="15" hidden="false" customHeight="false" outlineLevel="0" collapsed="false">
      <c r="A21" s="16" t="s">
        <v>91</v>
      </c>
      <c r="B21" s="17" t="n">
        <v>15.5</v>
      </c>
      <c r="C21" s="18" t="s">
        <v>81</v>
      </c>
      <c r="D21" s="19" t="n">
        <v>114.61</v>
      </c>
      <c r="E21" s="19" t="n">
        <v>0</v>
      </c>
      <c r="F21" s="19" t="n">
        <v>182</v>
      </c>
      <c r="G21" s="19" t="n">
        <v>156</v>
      </c>
      <c r="H21" s="20" t="n">
        <f aca="false">IF($D21="","",IF(UPPER(Assumptions!$B$6)="Y",$D21-$E21,$D21))</f>
        <v>114.61</v>
      </c>
      <c r="I21" s="20" t="n">
        <f aca="false">IF(OR($F21="",$H21=""),"",$F21-$H21)</f>
        <v>67.39</v>
      </c>
      <c r="J21" s="21" t="n">
        <f aca="false">IF(OR($I21="",$F21=""),"",IFERROR($I21/$F21,""))</f>
        <v>0.370274725274725</v>
      </c>
      <c r="K21" s="20" t="n">
        <f aca="false">IF($D21="","",IF(UPPER(Assumptions!$B$7)="Y",$D21-$E21,$D21))</f>
        <v>114.61</v>
      </c>
      <c r="L21" s="20" t="n">
        <f aca="false">IF(OR($G21="",$K21=""),"",$G21-$K21)</f>
        <v>41.39</v>
      </c>
      <c r="M21" s="21" t="n">
        <f aca="false">IF(OR($L21="",$G21=""),"",IFERROR($L21/$G21,""))</f>
        <v>0.265320512820513</v>
      </c>
      <c r="N21" s="20" t="n">
        <f aca="false">IF(OR($F21="",$G21=""),"",$G21-$F21)</f>
        <v>-26</v>
      </c>
      <c r="O21" s="20" t="n">
        <f aca="false">IF($F21="","",IFERROR($F21/$B21,""))</f>
        <v>11.741935483871</v>
      </c>
      <c r="P21" s="20" t="n">
        <f aca="false">IF($G21="","",IFERROR($G21/$B21,""))</f>
        <v>10.0645161290323</v>
      </c>
      <c r="Q21" s="22"/>
    </row>
    <row r="22" customFormat="false" ht="15" hidden="false" customHeight="false" outlineLevel="0" collapsed="false">
      <c r="A22" s="9" t="s">
        <v>91</v>
      </c>
      <c r="B22" s="23" t="n">
        <v>15.5</v>
      </c>
      <c r="C22" s="9" t="s">
        <v>82</v>
      </c>
      <c r="D22" s="19" t="n">
        <v>114.61</v>
      </c>
      <c r="E22" s="19" t="n">
        <v>0</v>
      </c>
      <c r="F22" s="19" t="n">
        <v>200</v>
      </c>
      <c r="G22" s="19" t="n">
        <v>189</v>
      </c>
      <c r="H22" s="24" t="n">
        <f aca="false">IF($D22="","",IF(UPPER(Assumptions!$B$6)="Y",$D22-$E22,$D22))</f>
        <v>114.61</v>
      </c>
      <c r="I22" s="24" t="n">
        <f aca="false">IF(OR($F22="",$H22=""),"",$F22-$H22)</f>
        <v>85.39</v>
      </c>
      <c r="J22" s="25" t="n">
        <f aca="false">IF(OR($I22="",$F22=""),"",IFERROR($I22/$F22,""))</f>
        <v>0.42695</v>
      </c>
      <c r="K22" s="24" t="n">
        <f aca="false">IF($D22="","",IF(UPPER(Assumptions!$B$7)="Y",$D22-$E22,$D22))</f>
        <v>114.61</v>
      </c>
      <c r="L22" s="24" t="n">
        <f aca="false">IF(OR($G22="",$K22=""),"",$G22-$K22)</f>
        <v>74.39</v>
      </c>
      <c r="M22" s="25" t="n">
        <f aca="false">IF(OR($L22="",$G22=""),"",IFERROR($L22/$G22,""))</f>
        <v>0.393597883597884</v>
      </c>
      <c r="N22" s="24" t="n">
        <f aca="false">IF(OR($F22="",$G22=""),"",$G22-$F22)</f>
        <v>-11</v>
      </c>
      <c r="O22" s="24" t="n">
        <f aca="false">IF($F22="","",IFERROR($F22/$B22,""))</f>
        <v>12.9032258064516</v>
      </c>
      <c r="P22" s="24" t="n">
        <f aca="false">IF($G22="","",IFERROR($G22/$B22,""))</f>
        <v>12.1935483870968</v>
      </c>
      <c r="Q22" s="26"/>
    </row>
    <row r="23" customFormat="false" ht="15" hidden="false" customHeight="false" outlineLevel="0" collapsed="false">
      <c r="A23" s="9" t="s">
        <v>91</v>
      </c>
      <c r="B23" s="23" t="n">
        <v>15.5</v>
      </c>
      <c r="C23" s="9" t="s">
        <v>83</v>
      </c>
      <c r="D23" s="19" t="n">
        <v>114.61</v>
      </c>
      <c r="E23" s="19" t="n">
        <v>0</v>
      </c>
      <c r="F23" s="19" t="n">
        <v>207</v>
      </c>
      <c r="G23" s="19" t="n">
        <v>188</v>
      </c>
      <c r="H23" s="24" t="n">
        <f aca="false">IF($D23="","",IF(UPPER(Assumptions!$B$6)="Y",$D23-$E23,$D23))</f>
        <v>114.61</v>
      </c>
      <c r="I23" s="24" t="n">
        <f aca="false">IF(OR($F23="",$H23=""),"",$F23-$H23)</f>
        <v>92.39</v>
      </c>
      <c r="J23" s="25" t="n">
        <f aca="false">IF(OR($I23="",$F23=""),"",IFERROR($I23/$F23,""))</f>
        <v>0.446328502415459</v>
      </c>
      <c r="K23" s="24" t="n">
        <f aca="false">IF($D23="","",IF(UPPER(Assumptions!$B$7)="Y",$D23-$E23,$D23))</f>
        <v>114.61</v>
      </c>
      <c r="L23" s="24" t="n">
        <f aca="false">IF(OR($G23="",$K23=""),"",$G23-$K23)</f>
        <v>73.39</v>
      </c>
      <c r="M23" s="25" t="n">
        <f aca="false">IF(OR($L23="",$G23=""),"",IFERROR($L23/$G23,""))</f>
        <v>0.390372340425532</v>
      </c>
      <c r="N23" s="24" t="n">
        <f aca="false">IF(OR($F23="",$G23=""),"",$G23-$F23)</f>
        <v>-19</v>
      </c>
      <c r="O23" s="24" t="n">
        <f aca="false">IF($F23="","",IFERROR($F23/$B23,""))</f>
        <v>13.3548387096774</v>
      </c>
      <c r="P23" s="24" t="n">
        <f aca="false">IF($G23="","",IFERROR($G23/$B23,""))</f>
        <v>12.1290322580645</v>
      </c>
      <c r="Q23" s="26"/>
    </row>
    <row r="24" customFormat="false" ht="15" hidden="false" customHeight="false" outlineLevel="0" collapsed="false">
      <c r="A24" s="9" t="s">
        <v>91</v>
      </c>
      <c r="B24" s="23" t="n">
        <v>15.5</v>
      </c>
      <c r="C24" s="9" t="s">
        <v>84</v>
      </c>
      <c r="D24" s="19" t="n">
        <v>114.61</v>
      </c>
      <c r="E24" s="19" t="n">
        <v>0</v>
      </c>
      <c r="F24" s="19" t="n">
        <v>185</v>
      </c>
      <c r="G24" s="19" t="n">
        <v>169</v>
      </c>
      <c r="H24" s="24" t="n">
        <f aca="false">IF($D24="","",IF(UPPER(Assumptions!$B$6)="Y",$D24-$E24,$D24))</f>
        <v>114.61</v>
      </c>
      <c r="I24" s="24" t="n">
        <f aca="false">IF(OR($F24="",$H24=""),"",$F24-$H24)</f>
        <v>70.39</v>
      </c>
      <c r="J24" s="25" t="n">
        <f aca="false">IF(OR($I24="",$F24=""),"",IFERROR($I24/$F24,""))</f>
        <v>0.380486486486487</v>
      </c>
      <c r="K24" s="24" t="n">
        <f aca="false">IF($D24="","",IF(UPPER(Assumptions!$B$7)="Y",$D24-$E24,$D24))</f>
        <v>114.61</v>
      </c>
      <c r="L24" s="24" t="n">
        <f aca="false">IF(OR($G24="",$K24=""),"",$G24-$K24)</f>
        <v>54.39</v>
      </c>
      <c r="M24" s="25" t="n">
        <f aca="false">IF(OR($L24="",$G24=""),"",IFERROR($L24/$G24,""))</f>
        <v>0.321834319526627</v>
      </c>
      <c r="N24" s="24" t="n">
        <f aca="false">IF(OR($F24="",$G24=""),"",$G24-$F24)</f>
        <v>-16</v>
      </c>
      <c r="O24" s="24" t="n">
        <f aca="false">IF($F24="","",IFERROR($F24/$B24,""))</f>
        <v>11.9354838709677</v>
      </c>
      <c r="P24" s="24" t="n">
        <f aca="false">IF($G24="","",IFERROR($G24/$B24,""))</f>
        <v>10.9032258064516</v>
      </c>
      <c r="Q24" s="26" t="s">
        <v>85</v>
      </c>
    </row>
    <row r="25" customFormat="false" ht="15" hidden="false" customHeight="false" outlineLevel="0" collapsed="false">
      <c r="A25" s="16" t="s">
        <v>92</v>
      </c>
      <c r="B25" s="17" t="n">
        <v>5.2</v>
      </c>
      <c r="C25" s="18" t="s">
        <v>81</v>
      </c>
      <c r="D25" s="19" t="n">
        <v>48.12</v>
      </c>
      <c r="E25" s="19" t="n">
        <v>0</v>
      </c>
      <c r="F25" s="19" t="n">
        <v>75</v>
      </c>
      <c r="G25" s="19" t="n">
        <v>73</v>
      </c>
      <c r="H25" s="20" t="n">
        <f aca="false">IF($D25="","",IF(UPPER(Assumptions!$B$6)="Y",$D25-$E25,$D25))</f>
        <v>48.12</v>
      </c>
      <c r="I25" s="20" t="n">
        <f aca="false">IF(OR($F25="",$H25=""),"",$F25-$H25)</f>
        <v>26.88</v>
      </c>
      <c r="J25" s="21" t="n">
        <f aca="false">IF(OR($I25="",$F25=""),"",IFERROR($I25/$F25,""))</f>
        <v>0.3584</v>
      </c>
      <c r="K25" s="20" t="n">
        <f aca="false">IF($D25="","",IF(UPPER(Assumptions!$B$7)="Y",$D25-$E25,$D25))</f>
        <v>48.12</v>
      </c>
      <c r="L25" s="20" t="n">
        <f aca="false">IF(OR($G25="",$K25=""),"",$G25-$K25)</f>
        <v>24.88</v>
      </c>
      <c r="M25" s="21" t="n">
        <f aca="false">IF(OR($L25="",$G25=""),"",IFERROR($L25/$G25,""))</f>
        <v>0.340821917808219</v>
      </c>
      <c r="N25" s="20" t="n">
        <f aca="false">IF(OR($F25="",$G25=""),"",$G25-$F25)</f>
        <v>-2</v>
      </c>
      <c r="O25" s="20" t="n">
        <f aca="false">IF($F25="","",IFERROR($F25/$B25,""))</f>
        <v>14.4230769230769</v>
      </c>
      <c r="P25" s="20" t="n">
        <f aca="false">IF($G25="","",IFERROR($G25/$B25,""))</f>
        <v>14.0384615384615</v>
      </c>
      <c r="Q25" s="22"/>
    </row>
    <row r="26" customFormat="false" ht="15" hidden="false" customHeight="false" outlineLevel="0" collapsed="false">
      <c r="A26" s="27" t="s">
        <v>92</v>
      </c>
      <c r="B26" s="28" t="n">
        <v>5.2</v>
      </c>
      <c r="C26" s="27" t="s">
        <v>82</v>
      </c>
      <c r="D26" s="19" t="n">
        <v>48.12</v>
      </c>
      <c r="E26" s="19" t="n">
        <v>0</v>
      </c>
      <c r="F26" s="19" t="n">
        <v>95</v>
      </c>
      <c r="G26" s="19" t="n">
        <v>87</v>
      </c>
      <c r="H26" s="29" t="n">
        <f aca="false">IF($D26="","",IF(UPPER(Assumptions!$B$6)="Y",$D26-$E26,$D26))</f>
        <v>48.12</v>
      </c>
      <c r="I26" s="29" t="n">
        <f aca="false">IF(OR($F26="",$H26=""),"",$F26-$H26)</f>
        <v>46.88</v>
      </c>
      <c r="J26" s="30" t="n">
        <f aca="false">IF(OR($I26="",$F26=""),"",IFERROR($I26/$F26,""))</f>
        <v>0.493473684210526</v>
      </c>
      <c r="K26" s="29" t="n">
        <f aca="false">IF($D26="","",IF(UPPER(Assumptions!$B$7)="Y",$D26-$E26,$D26))</f>
        <v>48.12</v>
      </c>
      <c r="L26" s="29" t="n">
        <f aca="false">IF(OR($G26="",$K26=""),"",$G26-$K26)</f>
        <v>38.88</v>
      </c>
      <c r="M26" s="30" t="n">
        <f aca="false">IF(OR($L26="",$G26=""),"",IFERROR($L26/$G26,""))</f>
        <v>0.446896551724138</v>
      </c>
      <c r="N26" s="29" t="n">
        <f aca="false">IF(OR($F26="",$G26=""),"",$G26-$F26)</f>
        <v>-8</v>
      </c>
      <c r="O26" s="29" t="n">
        <f aca="false">IF($F26="","",IFERROR($F26/$B26,""))</f>
        <v>18.2692307692308</v>
      </c>
      <c r="P26" s="29" t="n">
        <f aca="false">IF($G26="","",IFERROR($G26/$B26,""))</f>
        <v>16.7307692307692</v>
      </c>
      <c r="Q26" s="31"/>
    </row>
    <row r="27" customFormat="false" ht="15" hidden="false" customHeight="false" outlineLevel="0" collapsed="false">
      <c r="A27" s="27" t="s">
        <v>92</v>
      </c>
      <c r="B27" s="28" t="n">
        <v>5.2</v>
      </c>
      <c r="C27" s="27" t="s">
        <v>83</v>
      </c>
      <c r="D27" s="19" t="n">
        <v>48.12</v>
      </c>
      <c r="E27" s="19" t="n">
        <v>0</v>
      </c>
      <c r="F27" s="19" t="n">
        <v>90</v>
      </c>
      <c r="G27" s="19" t="n">
        <v>80</v>
      </c>
      <c r="H27" s="29" t="n">
        <f aca="false">IF($D27="","",IF(UPPER(Assumptions!$B$6)="Y",$D27-$E27,$D27))</f>
        <v>48.12</v>
      </c>
      <c r="I27" s="29" t="n">
        <f aca="false">IF(OR($F27="",$H27=""),"",$F27-$H27)</f>
        <v>41.88</v>
      </c>
      <c r="J27" s="30" t="n">
        <f aca="false">IF(OR($I27="",$F27=""),"",IFERROR($I27/$F27,""))</f>
        <v>0.465333333333333</v>
      </c>
      <c r="K27" s="29" t="n">
        <f aca="false">IF($D27="","",IF(UPPER(Assumptions!$B$7)="Y",$D27-$E27,$D27))</f>
        <v>48.12</v>
      </c>
      <c r="L27" s="29" t="n">
        <f aca="false">IF(OR($G27="",$K27=""),"",$G27-$K27)</f>
        <v>31.88</v>
      </c>
      <c r="M27" s="30" t="n">
        <f aca="false">IF(OR($L27="",$G27=""),"",IFERROR($L27/$G27,""))</f>
        <v>0.3985</v>
      </c>
      <c r="N27" s="29" t="n">
        <f aca="false">IF(OR($F27="",$G27=""),"",$G27-$F27)</f>
        <v>-10</v>
      </c>
      <c r="O27" s="29" t="n">
        <f aca="false">IF($F27="","",IFERROR($F27/$B27,""))</f>
        <v>17.3076923076923</v>
      </c>
      <c r="P27" s="29" t="n">
        <f aca="false">IF($G27="","",IFERROR($G27/$B27,""))</f>
        <v>15.3846153846154</v>
      </c>
      <c r="Q27" s="31"/>
    </row>
    <row r="28" customFormat="false" ht="15" hidden="false" customHeight="false" outlineLevel="0" collapsed="false">
      <c r="A28" s="27" t="s">
        <v>92</v>
      </c>
      <c r="B28" s="28" t="n">
        <v>5.2</v>
      </c>
      <c r="C28" s="27" t="s">
        <v>84</v>
      </c>
      <c r="D28" s="19" t="n">
        <v>48.12</v>
      </c>
      <c r="E28" s="19" t="n">
        <v>0</v>
      </c>
      <c r="F28" s="19" t="n">
        <v>77</v>
      </c>
      <c r="G28" s="19" t="n">
        <v>73</v>
      </c>
      <c r="H28" s="29" t="n">
        <f aca="false">IF($D28="","",IF(UPPER(Assumptions!$B$6)="Y",$D28-$E28,$D28))</f>
        <v>48.12</v>
      </c>
      <c r="I28" s="29" t="n">
        <f aca="false">IF(OR($F28="",$H28=""),"",$F28-$H28)</f>
        <v>28.88</v>
      </c>
      <c r="J28" s="30" t="n">
        <f aca="false">IF(OR($I28="",$F28=""),"",IFERROR($I28/$F28,""))</f>
        <v>0.375064935064935</v>
      </c>
      <c r="K28" s="29" t="n">
        <f aca="false">IF($D28="","",IF(UPPER(Assumptions!$B$7)="Y",$D28-$E28,$D28))</f>
        <v>48.12</v>
      </c>
      <c r="L28" s="29" t="n">
        <f aca="false">IF(OR($G28="",$K28=""),"",$G28-$K28)</f>
        <v>24.88</v>
      </c>
      <c r="M28" s="30" t="n">
        <f aca="false">IF(OR($L28="",$G28=""),"",IFERROR($L28/$G28,""))</f>
        <v>0.340821917808219</v>
      </c>
      <c r="N28" s="29" t="n">
        <f aca="false">IF(OR($F28="",$G28=""),"",$G28-$F28)</f>
        <v>-4</v>
      </c>
      <c r="O28" s="29" t="n">
        <f aca="false">IF($F28="","",IFERROR($F28/$B28,""))</f>
        <v>14.8076923076923</v>
      </c>
      <c r="P28" s="29" t="n">
        <f aca="false">IF($G28="","",IFERROR($G28/$B28,""))</f>
        <v>14.0384615384615</v>
      </c>
      <c r="Q28" s="31" t="s">
        <v>85</v>
      </c>
    </row>
    <row r="29" customFormat="false" ht="15" hidden="false" customHeight="false" outlineLevel="0" collapsed="false">
      <c r="A29" s="16" t="s">
        <v>93</v>
      </c>
      <c r="B29" s="17" t="n">
        <v>15.5</v>
      </c>
      <c r="C29" s="18" t="s">
        <v>81</v>
      </c>
      <c r="D29" s="19" t="n">
        <v>121.95</v>
      </c>
      <c r="E29" s="19" t="n">
        <v>0</v>
      </c>
      <c r="F29" s="19" t="n">
        <v>185</v>
      </c>
      <c r="G29" s="19" t="n">
        <v>180</v>
      </c>
      <c r="H29" s="20" t="n">
        <f aca="false">IF($D29="","",IF(UPPER(Assumptions!$B$6)="Y",$D29-$E29,$D29))</f>
        <v>121.95</v>
      </c>
      <c r="I29" s="20" t="n">
        <f aca="false">IF(OR($F29="",$H29=""),"",$F29-$H29)</f>
        <v>63.05</v>
      </c>
      <c r="J29" s="21" t="n">
        <f aca="false">IF(OR($I29="",$F29=""),"",IFERROR($I29/$F29,""))</f>
        <v>0.340810810810811</v>
      </c>
      <c r="K29" s="20" t="n">
        <f aca="false">IF($D29="","",IF(UPPER(Assumptions!$B$7)="Y",$D29-$E29,$D29))</f>
        <v>121.95</v>
      </c>
      <c r="L29" s="20" t="n">
        <f aca="false">IF(OR($G29="",$K29=""),"",$G29-$K29)</f>
        <v>58.05</v>
      </c>
      <c r="M29" s="21" t="n">
        <f aca="false">IF(OR($L29="",$G29=""),"",IFERROR($L29/$G29,""))</f>
        <v>0.3225</v>
      </c>
      <c r="N29" s="20" t="n">
        <f aca="false">IF(OR($F29="",$G29=""),"",$G29-$F29)</f>
        <v>-5</v>
      </c>
      <c r="O29" s="20" t="n">
        <f aca="false">IF($F29="","",IFERROR($F29/$B29,""))</f>
        <v>11.9354838709677</v>
      </c>
      <c r="P29" s="20" t="n">
        <f aca="false">IF($G29="","",IFERROR($G29/$B29,""))</f>
        <v>11.6129032258065</v>
      </c>
      <c r="Q29" s="22"/>
    </row>
    <row r="30" customFormat="false" ht="15" hidden="false" customHeight="false" outlineLevel="0" collapsed="false">
      <c r="A30" s="9" t="s">
        <v>93</v>
      </c>
      <c r="B30" s="23" t="n">
        <v>15.5</v>
      </c>
      <c r="C30" s="9" t="s">
        <v>82</v>
      </c>
      <c r="D30" s="19" t="n">
        <v>121.95</v>
      </c>
      <c r="E30" s="19" t="n">
        <v>0</v>
      </c>
      <c r="F30" s="19" t="n">
        <v>209</v>
      </c>
      <c r="G30" s="19" t="n">
        <v>188</v>
      </c>
      <c r="H30" s="24" t="n">
        <f aca="false">IF($D30="","",IF(UPPER(Assumptions!$B$6)="Y",$D30-$E30,$D30))</f>
        <v>121.95</v>
      </c>
      <c r="I30" s="24" t="n">
        <f aca="false">IF(OR($F30="",$H30=""),"",$F30-$H30)</f>
        <v>87.05</v>
      </c>
      <c r="J30" s="25" t="n">
        <f aca="false">IF(OR($I30="",$F30=""),"",IFERROR($I30/$F30,""))</f>
        <v>0.416507177033493</v>
      </c>
      <c r="K30" s="24" t="n">
        <f aca="false">IF($D30="","",IF(UPPER(Assumptions!$B$7)="Y",$D30-$E30,$D30))</f>
        <v>121.95</v>
      </c>
      <c r="L30" s="24" t="n">
        <f aca="false">IF(OR($G30="",$K30=""),"",$G30-$K30)</f>
        <v>66.05</v>
      </c>
      <c r="M30" s="25" t="n">
        <f aca="false">IF(OR($L30="",$G30=""),"",IFERROR($L30/$G30,""))</f>
        <v>0.351329787234043</v>
      </c>
      <c r="N30" s="24" t="n">
        <f aca="false">IF(OR($F30="",$G30=""),"",$G30-$F30)</f>
        <v>-21</v>
      </c>
      <c r="O30" s="24" t="n">
        <f aca="false">IF($F30="","",IFERROR($F30/$B30,""))</f>
        <v>13.4838709677419</v>
      </c>
      <c r="P30" s="24" t="n">
        <f aca="false">IF($G30="","",IFERROR($G30/$B30,""))</f>
        <v>12.1290322580645</v>
      </c>
      <c r="Q30" s="26"/>
    </row>
    <row r="31" customFormat="false" ht="15" hidden="false" customHeight="false" outlineLevel="0" collapsed="false">
      <c r="A31" s="9" t="s">
        <v>93</v>
      </c>
      <c r="B31" s="23" t="n">
        <v>15.5</v>
      </c>
      <c r="C31" s="9" t="s">
        <v>83</v>
      </c>
      <c r="D31" s="19" t="n">
        <v>121.95</v>
      </c>
      <c r="E31" s="19" t="n">
        <v>0</v>
      </c>
      <c r="F31" s="19" t="n">
        <v>203</v>
      </c>
      <c r="G31" s="19" t="n">
        <v>188</v>
      </c>
      <c r="H31" s="24" t="n">
        <f aca="false">IF($D31="","",IF(UPPER(Assumptions!$B$6)="Y",$D31-$E31,$D31))</f>
        <v>121.95</v>
      </c>
      <c r="I31" s="24" t="n">
        <f aca="false">IF(OR($F31="",$H31=""),"",$F31-$H31)</f>
        <v>81.05</v>
      </c>
      <c r="J31" s="25" t="n">
        <f aca="false">IF(OR($I31="",$F31=""),"",IFERROR($I31/$F31,""))</f>
        <v>0.399261083743842</v>
      </c>
      <c r="K31" s="24" t="n">
        <f aca="false">IF($D31="","",IF(UPPER(Assumptions!$B$7)="Y",$D31-$E31,$D31))</f>
        <v>121.95</v>
      </c>
      <c r="L31" s="24" t="n">
        <f aca="false">IF(OR($G31="",$K31=""),"",$G31-$K31)</f>
        <v>66.05</v>
      </c>
      <c r="M31" s="25" t="n">
        <f aca="false">IF(OR($L31="",$G31=""),"",IFERROR($L31/$G31,""))</f>
        <v>0.351329787234043</v>
      </c>
      <c r="N31" s="24" t="n">
        <f aca="false">IF(OR($F31="",$G31=""),"",$G31-$F31)</f>
        <v>-15</v>
      </c>
      <c r="O31" s="24" t="n">
        <f aca="false">IF($F31="","",IFERROR($F31/$B31,""))</f>
        <v>13.0967741935484</v>
      </c>
      <c r="P31" s="24" t="n">
        <f aca="false">IF($G31="","",IFERROR($G31/$B31,""))</f>
        <v>12.1290322580645</v>
      </c>
      <c r="Q31" s="26"/>
    </row>
    <row r="32" customFormat="false" ht="15" hidden="false" customHeight="false" outlineLevel="0" collapsed="false">
      <c r="A32" s="9" t="s">
        <v>93</v>
      </c>
      <c r="B32" s="23" t="n">
        <v>15.5</v>
      </c>
      <c r="C32" s="9" t="s">
        <v>84</v>
      </c>
      <c r="D32" s="19" t="n">
        <v>121.95</v>
      </c>
      <c r="E32" s="19" t="n">
        <v>0</v>
      </c>
      <c r="F32" s="19" t="n">
        <v>189</v>
      </c>
      <c r="G32" s="19" t="n">
        <v>161</v>
      </c>
      <c r="H32" s="24" t="n">
        <f aca="false">IF($D32="","",IF(UPPER(Assumptions!$B$6)="Y",$D32-$E32,$D32))</f>
        <v>121.95</v>
      </c>
      <c r="I32" s="24" t="n">
        <f aca="false">IF(OR($F32="",$H32=""),"",$F32-$H32)</f>
        <v>67.05</v>
      </c>
      <c r="J32" s="25" t="n">
        <f aca="false">IF(OR($I32="",$F32=""),"",IFERROR($I32/$F32,""))</f>
        <v>0.354761904761905</v>
      </c>
      <c r="K32" s="24" t="n">
        <f aca="false">IF($D32="","",IF(UPPER(Assumptions!$B$7)="Y",$D32-$E32,$D32))</f>
        <v>121.95</v>
      </c>
      <c r="L32" s="24" t="n">
        <f aca="false">IF(OR($G32="",$K32=""),"",$G32-$K32)</f>
        <v>39.05</v>
      </c>
      <c r="M32" s="25" t="n">
        <f aca="false">IF(OR($L32="",$G32=""),"",IFERROR($L32/$G32,""))</f>
        <v>0.242546583850932</v>
      </c>
      <c r="N32" s="24" t="n">
        <f aca="false">IF(OR($F32="",$G32=""),"",$G32-$F32)</f>
        <v>-28</v>
      </c>
      <c r="O32" s="24" t="n">
        <f aca="false">IF($F32="","",IFERROR($F32/$B32,""))</f>
        <v>12.1935483870968</v>
      </c>
      <c r="P32" s="24" t="n">
        <f aca="false">IF($G32="","",IFERROR($G32/$B32,""))</f>
        <v>10.3870967741935</v>
      </c>
      <c r="Q32" s="26" t="s">
        <v>85</v>
      </c>
    </row>
    <row r="33" customFormat="false" ht="15" hidden="false" customHeight="false" outlineLevel="0" collapsed="false">
      <c r="A33" s="16" t="s">
        <v>94</v>
      </c>
      <c r="B33" s="17" t="n">
        <v>5.2</v>
      </c>
      <c r="C33" s="18" t="s">
        <v>81</v>
      </c>
      <c r="D33" s="19" t="n">
        <v>59.68</v>
      </c>
      <c r="E33" s="19" t="n">
        <v>0</v>
      </c>
      <c r="F33" s="19" t="n">
        <v>90</v>
      </c>
      <c r="G33" s="19" t="n">
        <v>87</v>
      </c>
      <c r="H33" s="20" t="n">
        <f aca="false">IF($D33="","",IF(UPPER(Assumptions!$B$6)="Y",$D33-$E33,$D33))</f>
        <v>59.68</v>
      </c>
      <c r="I33" s="20" t="n">
        <f aca="false">IF(OR($F33="",$H33=""),"",$F33-$H33)</f>
        <v>30.32</v>
      </c>
      <c r="J33" s="21" t="n">
        <f aca="false">IF(OR($I33="",$F33=""),"",IFERROR($I33/$F33,""))</f>
        <v>0.336888888888889</v>
      </c>
      <c r="K33" s="20" t="n">
        <f aca="false">IF($D33="","",IF(UPPER(Assumptions!$B$7)="Y",$D33-$E33,$D33))</f>
        <v>59.68</v>
      </c>
      <c r="L33" s="20" t="n">
        <f aca="false">IF(OR($G33="",$K33=""),"",$G33-$K33)</f>
        <v>27.32</v>
      </c>
      <c r="M33" s="21" t="n">
        <f aca="false">IF(OR($L33="",$G33=""),"",IFERROR($L33/$G33,""))</f>
        <v>0.314022988505747</v>
      </c>
      <c r="N33" s="20" t="n">
        <f aca="false">IF(OR($F33="",$G33=""),"",$G33-$F33)</f>
        <v>-3</v>
      </c>
      <c r="O33" s="20" t="n">
        <f aca="false">IF($F33="","",IFERROR($F33/$B33,""))</f>
        <v>17.3076923076923</v>
      </c>
      <c r="P33" s="20" t="n">
        <f aca="false">IF($G33="","",IFERROR($G33/$B33,""))</f>
        <v>16.7307692307692</v>
      </c>
      <c r="Q33" s="22"/>
    </row>
    <row r="34" customFormat="false" ht="15" hidden="false" customHeight="false" outlineLevel="0" collapsed="false">
      <c r="A34" s="27" t="s">
        <v>94</v>
      </c>
      <c r="B34" s="28" t="n">
        <v>5.2</v>
      </c>
      <c r="C34" s="27" t="s">
        <v>82</v>
      </c>
      <c r="D34" s="19" t="n">
        <v>59.68</v>
      </c>
      <c r="E34" s="19" t="n">
        <v>0</v>
      </c>
      <c r="F34" s="19" t="n">
        <v>97.5</v>
      </c>
      <c r="G34" s="19" t="n">
        <v>88.5</v>
      </c>
      <c r="H34" s="29" t="n">
        <f aca="false">IF($D34="","",IF(UPPER(Assumptions!$B$6)="Y",$D34-$E34,$D34))</f>
        <v>59.68</v>
      </c>
      <c r="I34" s="29" t="n">
        <f aca="false">IF(OR($F34="",$H34=""),"",$F34-$H34)</f>
        <v>37.82</v>
      </c>
      <c r="J34" s="30" t="n">
        <f aca="false">IF(OR($I34="",$F34=""),"",IFERROR($I34/$F34,""))</f>
        <v>0.387897435897436</v>
      </c>
      <c r="K34" s="29" t="n">
        <f aca="false">IF($D34="","",IF(UPPER(Assumptions!$B$7)="Y",$D34-$E34,$D34))</f>
        <v>59.68</v>
      </c>
      <c r="L34" s="29" t="n">
        <f aca="false">IF(OR($G34="",$K34=""),"",$G34-$K34)</f>
        <v>28.82</v>
      </c>
      <c r="M34" s="30" t="n">
        <f aca="false">IF(OR($L34="",$G34=""),"",IFERROR($L34/$G34,""))</f>
        <v>0.325649717514124</v>
      </c>
      <c r="N34" s="29" t="n">
        <f aca="false">IF(OR($F34="",$G34=""),"",$G34-$F34)</f>
        <v>-9</v>
      </c>
      <c r="O34" s="29" t="n">
        <f aca="false">IF($F34="","",IFERROR($F34/$B34,""))</f>
        <v>18.75</v>
      </c>
      <c r="P34" s="29" t="n">
        <f aca="false">IF($G34="","",IFERROR($G34/$B34,""))</f>
        <v>17.0192307692308</v>
      </c>
      <c r="Q34" s="31"/>
    </row>
    <row r="35" customFormat="false" ht="15" hidden="false" customHeight="false" outlineLevel="0" collapsed="false">
      <c r="A35" s="27" t="s">
        <v>94</v>
      </c>
      <c r="B35" s="28" t="n">
        <v>5.2</v>
      </c>
      <c r="C35" s="27" t="s">
        <v>83</v>
      </c>
      <c r="D35" s="19" t="n">
        <v>59.68</v>
      </c>
      <c r="E35" s="19" t="n">
        <v>0</v>
      </c>
      <c r="F35" s="19" t="n">
        <v>98</v>
      </c>
      <c r="G35" s="19" t="n">
        <v>94</v>
      </c>
      <c r="H35" s="29" t="n">
        <f aca="false">IF($D35="","",IF(UPPER(Assumptions!$B$6)="Y",$D35-$E35,$D35))</f>
        <v>59.68</v>
      </c>
      <c r="I35" s="29" t="n">
        <f aca="false">IF(OR($F35="",$H35=""),"",$F35-$H35)</f>
        <v>38.32</v>
      </c>
      <c r="J35" s="30" t="n">
        <f aca="false">IF(OR($I35="",$F35=""),"",IFERROR($I35/$F35,""))</f>
        <v>0.391020408163265</v>
      </c>
      <c r="K35" s="29" t="n">
        <f aca="false">IF($D35="","",IF(UPPER(Assumptions!$B$7)="Y",$D35-$E35,$D35))</f>
        <v>59.68</v>
      </c>
      <c r="L35" s="29" t="n">
        <f aca="false">IF(OR($G35="",$K35=""),"",$G35-$K35)</f>
        <v>34.32</v>
      </c>
      <c r="M35" s="30" t="n">
        <f aca="false">IF(OR($L35="",$G35=""),"",IFERROR($L35/$G35,""))</f>
        <v>0.365106382978723</v>
      </c>
      <c r="N35" s="29" t="n">
        <f aca="false">IF(OR($F35="",$G35=""),"",$G35-$F35)</f>
        <v>-4</v>
      </c>
      <c r="O35" s="29" t="n">
        <f aca="false">IF($F35="","",IFERROR($F35/$B35,""))</f>
        <v>18.8461538461538</v>
      </c>
      <c r="P35" s="29" t="n">
        <f aca="false">IF($G35="","",IFERROR($G35/$B35,""))</f>
        <v>18.0769230769231</v>
      </c>
      <c r="Q35" s="31"/>
    </row>
    <row r="36" customFormat="false" ht="15" hidden="false" customHeight="false" outlineLevel="0" collapsed="false">
      <c r="A36" s="27" t="s">
        <v>94</v>
      </c>
      <c r="B36" s="28" t="n">
        <v>5.2</v>
      </c>
      <c r="C36" s="27" t="s">
        <v>84</v>
      </c>
      <c r="D36" s="19" t="n">
        <v>59.68</v>
      </c>
      <c r="E36" s="19" t="n">
        <v>0</v>
      </c>
      <c r="F36" s="19" t="n">
        <v>87</v>
      </c>
      <c r="G36" s="19" t="n">
        <v>83</v>
      </c>
      <c r="H36" s="29" t="n">
        <f aca="false">IF($D36="","",IF(UPPER(Assumptions!$B$6)="Y",$D36-$E36,$D36))</f>
        <v>59.68</v>
      </c>
      <c r="I36" s="29" t="n">
        <f aca="false">IF(OR($F36="",$H36=""),"",$F36-$H36)</f>
        <v>27.32</v>
      </c>
      <c r="J36" s="30" t="n">
        <f aca="false">IF(OR($I36="",$F36=""),"",IFERROR($I36/$F36,""))</f>
        <v>0.314022988505747</v>
      </c>
      <c r="K36" s="29" t="n">
        <f aca="false">IF($D36="","",IF(UPPER(Assumptions!$B$7)="Y",$D36-$E36,$D36))</f>
        <v>59.68</v>
      </c>
      <c r="L36" s="29" t="n">
        <f aca="false">IF(OR($G36="",$K36=""),"",$G36-$K36)</f>
        <v>23.32</v>
      </c>
      <c r="M36" s="30" t="n">
        <f aca="false">IF(OR($L36="",$G36=""),"",IFERROR($L36/$G36,""))</f>
        <v>0.280963855421687</v>
      </c>
      <c r="N36" s="29" t="n">
        <f aca="false">IF(OR($F36="",$G36=""),"",$G36-$F36)</f>
        <v>-4</v>
      </c>
      <c r="O36" s="29" t="n">
        <f aca="false">IF($F36="","",IFERROR($F36/$B36,""))</f>
        <v>16.7307692307692</v>
      </c>
      <c r="P36" s="29" t="n">
        <f aca="false">IF($G36="","",IFERROR($G36/$B36,""))</f>
        <v>15.9615384615385</v>
      </c>
      <c r="Q36" s="31" t="s">
        <v>85</v>
      </c>
    </row>
    <row r="37" customFormat="false" ht="15" hidden="false" customHeight="false" outlineLevel="0" collapsed="false">
      <c r="A37" s="16" t="s">
        <v>95</v>
      </c>
      <c r="B37" s="17" t="n">
        <v>15.5</v>
      </c>
      <c r="C37" s="18" t="s">
        <v>81</v>
      </c>
      <c r="D37" s="19" t="n">
        <v>114.11</v>
      </c>
      <c r="E37" s="19" t="n">
        <v>35.4</v>
      </c>
      <c r="F37" s="19" t="n">
        <v>168</v>
      </c>
      <c r="G37" s="19" t="n">
        <v>115</v>
      </c>
      <c r="H37" s="20" t="n">
        <f aca="false">IF($D37="","",IF(UPPER(Assumptions!$B$6)="Y",$D37-$E37,$D37))</f>
        <v>114.11</v>
      </c>
      <c r="I37" s="20" t="n">
        <f aca="false">IF(OR($F37="",$H37=""),"",$F37-$H37)</f>
        <v>53.89</v>
      </c>
      <c r="J37" s="21" t="n">
        <f aca="false">IF(OR($I37="",$F37=""),"",IFERROR($I37/$F37,""))</f>
        <v>0.32077380952381</v>
      </c>
      <c r="K37" s="20" t="n">
        <f aca="false">IF($D37="","",IF(UPPER(Assumptions!$B$7)="Y",$D37-$E37,$D37))</f>
        <v>78.71</v>
      </c>
      <c r="L37" s="20" t="n">
        <f aca="false">IF(OR($G37="",$K37=""),"",$G37-$K37)</f>
        <v>36.29</v>
      </c>
      <c r="M37" s="21" t="n">
        <f aca="false">IF(OR($L37="",$G37=""),"",IFERROR($L37/$G37,""))</f>
        <v>0.315565217391304</v>
      </c>
      <c r="N37" s="20" t="n">
        <f aca="false">IF(OR($F37="",$G37=""),"",$G37-$F37)</f>
        <v>-53</v>
      </c>
      <c r="O37" s="20" t="n">
        <f aca="false">IF($F37="","",IFERROR($F37/$B37,""))</f>
        <v>10.8387096774194</v>
      </c>
      <c r="P37" s="20" t="n">
        <f aca="false">IF($G37="","",IFERROR($G37/$B37,""))</f>
        <v>7.41935483870968</v>
      </c>
      <c r="Q37" s="22" t="s">
        <v>96</v>
      </c>
    </row>
    <row r="38" customFormat="false" ht="15" hidden="false" customHeight="false" outlineLevel="0" collapsed="false">
      <c r="A38" s="9" t="s">
        <v>95</v>
      </c>
      <c r="B38" s="23" t="n">
        <v>15.5</v>
      </c>
      <c r="C38" s="9" t="s">
        <v>82</v>
      </c>
      <c r="D38" s="19" t="n">
        <v>114.11</v>
      </c>
      <c r="E38" s="19"/>
      <c r="F38" s="19"/>
      <c r="G38" s="19"/>
      <c r="H38" s="24" t="n">
        <f aca="false">IF($D38="","",IF(UPPER(Assumptions!$B$6)="Y",$D38-$E38,$D38))</f>
        <v>114.11</v>
      </c>
      <c r="I38" s="24" t="str">
        <f aca="false">IF(OR($F38="",$H38=""),"",$F38-$H38)</f>
        <v/>
      </c>
      <c r="J38" s="25" t="str">
        <f aca="false">IF(OR($I38="",$F38=""),"",IFERROR($I38/$F38,""))</f>
        <v/>
      </c>
      <c r="K38" s="24" t="n">
        <f aca="false">IF($D38="","",IF(UPPER(Assumptions!$B$7)="Y",$D38-$E38,$D38))</f>
        <v>114.11</v>
      </c>
      <c r="L38" s="24" t="str">
        <f aca="false">IF(OR($G38="",$K38=""),"",$G38-$K38)</f>
        <v/>
      </c>
      <c r="M38" s="25" t="str">
        <f aca="false">IF(OR($L38="",$G38=""),"",IFERROR($L38/$G38,""))</f>
        <v/>
      </c>
      <c r="N38" s="24" t="str">
        <f aca="false">IF(OR($F38="",$G38=""),"",$G38-$F38)</f>
        <v/>
      </c>
      <c r="O38" s="24" t="str">
        <f aca="false">IF($F38="","",IFERROR($F38/$B38,""))</f>
        <v/>
      </c>
      <c r="P38" s="24" t="str">
        <f aca="false">IF($G38="","",IFERROR($G38/$B38,""))</f>
        <v/>
      </c>
      <c r="Q38" s="26" t="s">
        <v>97</v>
      </c>
    </row>
    <row r="39" customFormat="false" ht="15" hidden="false" customHeight="false" outlineLevel="0" collapsed="false">
      <c r="A39" s="9" t="s">
        <v>95</v>
      </c>
      <c r="B39" s="23" t="n">
        <v>15.5</v>
      </c>
      <c r="C39" s="9" t="s">
        <v>83</v>
      </c>
      <c r="D39" s="19" t="n">
        <v>114.11</v>
      </c>
      <c r="E39" s="19" t="n">
        <v>0</v>
      </c>
      <c r="F39" s="19" t="n">
        <v>207</v>
      </c>
      <c r="G39" s="19" t="n">
        <v>188</v>
      </c>
      <c r="H39" s="24" t="n">
        <f aca="false">IF($D39="","",IF(UPPER(Assumptions!$B$6)="Y",$D39-$E39,$D39))</f>
        <v>114.11</v>
      </c>
      <c r="I39" s="24" t="n">
        <f aca="false">IF(OR($F39="",$H39=""),"",$F39-$H39)</f>
        <v>92.89</v>
      </c>
      <c r="J39" s="25" t="n">
        <f aca="false">IF(OR($I39="",$F39=""),"",IFERROR($I39/$F39,""))</f>
        <v>0.448743961352657</v>
      </c>
      <c r="K39" s="24" t="n">
        <f aca="false">IF($D39="","",IF(UPPER(Assumptions!$B$7)="Y",$D39-$E39,$D39))</f>
        <v>114.11</v>
      </c>
      <c r="L39" s="24" t="n">
        <f aca="false">IF(OR($G39="",$K39=""),"",$G39-$K39)</f>
        <v>73.89</v>
      </c>
      <c r="M39" s="25" t="n">
        <f aca="false">IF(OR($L39="",$G39=""),"",IFERROR($L39/$G39,""))</f>
        <v>0.393031914893617</v>
      </c>
      <c r="N39" s="24" t="n">
        <f aca="false">IF(OR($F39="",$G39=""),"",$G39-$F39)</f>
        <v>-19</v>
      </c>
      <c r="O39" s="24" t="n">
        <f aca="false">IF($F39="","",IFERROR($F39/$B39,""))</f>
        <v>13.3548387096774</v>
      </c>
      <c r="P39" s="24" t="n">
        <f aca="false">IF($G39="","",IFERROR($G39/$B39,""))</f>
        <v>12.1290322580645</v>
      </c>
      <c r="Q39" s="26" t="s">
        <v>90</v>
      </c>
    </row>
    <row r="40" customFormat="false" ht="15" hidden="false" customHeight="false" outlineLevel="0" collapsed="false">
      <c r="A40" s="9" t="s">
        <v>95</v>
      </c>
      <c r="B40" s="23" t="n">
        <v>15.5</v>
      </c>
      <c r="C40" s="9" t="s">
        <v>84</v>
      </c>
      <c r="D40" s="19" t="n">
        <v>114.11</v>
      </c>
      <c r="E40" s="19" t="n">
        <v>35.4</v>
      </c>
      <c r="F40" s="19" t="n">
        <v>184</v>
      </c>
      <c r="G40" s="19" t="n">
        <v>115</v>
      </c>
      <c r="H40" s="24" t="n">
        <f aca="false">IF($D40="","",IF(UPPER(Assumptions!$B$6)="Y",$D40-$E40,$D40))</f>
        <v>114.11</v>
      </c>
      <c r="I40" s="24" t="n">
        <f aca="false">IF(OR($F40="",$H40=""),"",$F40-$H40)</f>
        <v>69.89</v>
      </c>
      <c r="J40" s="25" t="n">
        <f aca="false">IF(OR($I40="",$F40=""),"",IFERROR($I40/$F40,""))</f>
        <v>0.379836956521739</v>
      </c>
      <c r="K40" s="24" t="n">
        <f aca="false">IF($D40="","",IF(UPPER(Assumptions!$B$7)="Y",$D40-$E40,$D40))</f>
        <v>78.71</v>
      </c>
      <c r="L40" s="24" t="n">
        <f aca="false">IF(OR($G40="",$K40=""),"",$G40-$K40)</f>
        <v>36.29</v>
      </c>
      <c r="M40" s="25" t="n">
        <f aca="false">IF(OR($L40="",$G40=""),"",IFERROR($L40/$G40,""))</f>
        <v>0.315565217391304</v>
      </c>
      <c r="N40" s="24" t="n">
        <f aca="false">IF(OR($F40="",$G40=""),"",$G40-$F40)</f>
        <v>-69</v>
      </c>
      <c r="O40" s="24" t="n">
        <f aca="false">IF($F40="","",IFERROR($F40/$B40,""))</f>
        <v>11.8709677419355</v>
      </c>
      <c r="P40" s="24" t="n">
        <f aca="false">IF($G40="","",IFERROR($G40/$B40,""))</f>
        <v>7.41935483870968</v>
      </c>
      <c r="Q40" s="26" t="s">
        <v>96</v>
      </c>
    </row>
    <row r="41" customFormat="false" ht="15" hidden="false" customHeight="false" outlineLevel="0" collapsed="false">
      <c r="A41" s="16" t="s">
        <v>98</v>
      </c>
      <c r="B41" s="17" t="n">
        <v>5.2</v>
      </c>
      <c r="C41" s="18" t="s">
        <v>81</v>
      </c>
      <c r="D41" s="19" t="n">
        <v>48.12</v>
      </c>
      <c r="E41" s="19" t="n">
        <v>0</v>
      </c>
      <c r="F41" s="19" t="n">
        <v>70</v>
      </c>
      <c r="G41" s="19" t="n">
        <v>68</v>
      </c>
      <c r="H41" s="20" t="n">
        <f aca="false">IF($D41="","",IF(UPPER(Assumptions!$B$6)="Y",$D41-$E41,$D41))</f>
        <v>48.12</v>
      </c>
      <c r="I41" s="20" t="n">
        <f aca="false">IF(OR($F41="",$H41=""),"",$F41-$H41)</f>
        <v>21.88</v>
      </c>
      <c r="J41" s="21" t="n">
        <f aca="false">IF(OR($I41="",$F41=""),"",IFERROR($I41/$F41,""))</f>
        <v>0.312571428571429</v>
      </c>
      <c r="K41" s="20" t="n">
        <f aca="false">IF($D41="","",IF(UPPER(Assumptions!$B$7)="Y",$D41-$E41,$D41))</f>
        <v>48.12</v>
      </c>
      <c r="L41" s="20" t="n">
        <f aca="false">IF(OR($G41="",$K41=""),"",$G41-$K41)</f>
        <v>19.88</v>
      </c>
      <c r="M41" s="21" t="n">
        <f aca="false">IF(OR($L41="",$G41=""),"",IFERROR($L41/$G41,""))</f>
        <v>0.292352941176471</v>
      </c>
      <c r="N41" s="20" t="n">
        <f aca="false">IF(OR($F41="",$G41=""),"",$G41-$F41)</f>
        <v>-2</v>
      </c>
      <c r="O41" s="20" t="n">
        <f aca="false">IF($F41="","",IFERROR($F41/$B41,""))</f>
        <v>13.4615384615385</v>
      </c>
      <c r="P41" s="20" t="n">
        <f aca="false">IF($G41="","",IFERROR($G41/$B41,""))</f>
        <v>13.0769230769231</v>
      </c>
      <c r="Q41" s="22"/>
    </row>
    <row r="42" customFormat="false" ht="15" hidden="false" customHeight="false" outlineLevel="0" collapsed="false">
      <c r="A42" s="27" t="s">
        <v>98</v>
      </c>
      <c r="B42" s="28" t="n">
        <v>5.2</v>
      </c>
      <c r="C42" s="27" t="s">
        <v>82</v>
      </c>
      <c r="D42" s="19" t="n">
        <v>48.12</v>
      </c>
      <c r="E42" s="19" t="n">
        <v>0</v>
      </c>
      <c r="F42" s="19" t="n">
        <v>97.5</v>
      </c>
      <c r="G42" s="19" t="n">
        <v>88.5</v>
      </c>
      <c r="H42" s="29" t="n">
        <f aca="false">IF($D42="","",IF(UPPER(Assumptions!$B$6)="Y",$D42-$E42,$D42))</f>
        <v>48.12</v>
      </c>
      <c r="I42" s="29" t="n">
        <f aca="false">IF(OR($F42="",$H42=""),"",$F42-$H42)</f>
        <v>49.38</v>
      </c>
      <c r="J42" s="30" t="n">
        <f aca="false">IF(OR($I42="",$F42=""),"",IFERROR($I42/$F42,""))</f>
        <v>0.506461538461539</v>
      </c>
      <c r="K42" s="29" t="n">
        <f aca="false">IF($D42="","",IF(UPPER(Assumptions!$B$7)="Y",$D42-$E42,$D42))</f>
        <v>48.12</v>
      </c>
      <c r="L42" s="29" t="n">
        <f aca="false">IF(OR($G42="",$K42=""),"",$G42-$K42)</f>
        <v>40.38</v>
      </c>
      <c r="M42" s="30" t="n">
        <f aca="false">IF(OR($L42="",$G42=""),"",IFERROR($L42/$G42,""))</f>
        <v>0.456271186440678</v>
      </c>
      <c r="N42" s="29" t="n">
        <f aca="false">IF(OR($F42="",$G42=""),"",$G42-$F42)</f>
        <v>-9</v>
      </c>
      <c r="O42" s="29" t="n">
        <f aca="false">IF($F42="","",IFERROR($F42/$B42,""))</f>
        <v>18.75</v>
      </c>
      <c r="P42" s="29" t="n">
        <f aca="false">IF($G42="","",IFERROR($G42/$B42,""))</f>
        <v>17.0192307692308</v>
      </c>
      <c r="Q42" s="31"/>
    </row>
    <row r="43" customFormat="false" ht="15" hidden="false" customHeight="false" outlineLevel="0" collapsed="false">
      <c r="A43" s="27" t="s">
        <v>98</v>
      </c>
      <c r="B43" s="28" t="n">
        <v>5.2</v>
      </c>
      <c r="C43" s="27" t="s">
        <v>83</v>
      </c>
      <c r="D43" s="19" t="n">
        <v>48.12</v>
      </c>
      <c r="E43" s="19" t="n">
        <v>0</v>
      </c>
      <c r="F43" s="19" t="n">
        <v>90</v>
      </c>
      <c r="G43" s="19" t="n">
        <v>80</v>
      </c>
      <c r="H43" s="29" t="n">
        <f aca="false">IF($D43="","",IF(UPPER(Assumptions!$B$6)="Y",$D43-$E43,$D43))</f>
        <v>48.12</v>
      </c>
      <c r="I43" s="29" t="n">
        <f aca="false">IF(OR($F43="",$H43=""),"",$F43-$H43)</f>
        <v>41.88</v>
      </c>
      <c r="J43" s="30" t="n">
        <f aca="false">IF(OR($I43="",$F43=""),"",IFERROR($I43/$F43,""))</f>
        <v>0.465333333333333</v>
      </c>
      <c r="K43" s="29" t="n">
        <f aca="false">IF($D43="","",IF(UPPER(Assumptions!$B$7)="Y",$D43-$E43,$D43))</f>
        <v>48.12</v>
      </c>
      <c r="L43" s="29" t="n">
        <f aca="false">IF(OR($G43="",$K43=""),"",$G43-$K43)</f>
        <v>31.88</v>
      </c>
      <c r="M43" s="30" t="n">
        <f aca="false">IF(OR($L43="",$G43=""),"",IFERROR($L43/$G43,""))</f>
        <v>0.3985</v>
      </c>
      <c r="N43" s="29" t="n">
        <f aca="false">IF(OR($F43="",$G43=""),"",$G43-$F43)</f>
        <v>-10</v>
      </c>
      <c r="O43" s="29" t="n">
        <f aca="false">IF($F43="","",IFERROR($F43/$B43,""))</f>
        <v>17.3076923076923</v>
      </c>
      <c r="P43" s="29" t="n">
        <f aca="false">IF($G43="","",IFERROR($G43/$B43,""))</f>
        <v>15.3846153846154</v>
      </c>
      <c r="Q43" s="31"/>
    </row>
    <row r="44" customFormat="false" ht="15" hidden="false" customHeight="false" outlineLevel="0" collapsed="false">
      <c r="A44" s="27" t="s">
        <v>98</v>
      </c>
      <c r="B44" s="28" t="n">
        <v>5.2</v>
      </c>
      <c r="C44" s="27" t="s">
        <v>84</v>
      </c>
      <c r="D44" s="19" t="n">
        <v>48.12</v>
      </c>
      <c r="E44" s="19" t="n">
        <v>0</v>
      </c>
      <c r="F44" s="19" t="n">
        <v>77</v>
      </c>
      <c r="G44" s="19" t="n">
        <v>67</v>
      </c>
      <c r="H44" s="29" t="n">
        <f aca="false">IF($D44="","",IF(UPPER(Assumptions!$B$6)="Y",$D44-$E44,$D44))</f>
        <v>48.12</v>
      </c>
      <c r="I44" s="29" t="n">
        <f aca="false">IF(OR($F44="",$H44=""),"",$F44-$H44)</f>
        <v>28.88</v>
      </c>
      <c r="J44" s="30" t="n">
        <f aca="false">IF(OR($I44="",$F44=""),"",IFERROR($I44/$F44,""))</f>
        <v>0.375064935064935</v>
      </c>
      <c r="K44" s="29" t="n">
        <f aca="false">IF($D44="","",IF(UPPER(Assumptions!$B$7)="Y",$D44-$E44,$D44))</f>
        <v>48.12</v>
      </c>
      <c r="L44" s="29" t="n">
        <f aca="false">IF(OR($G44="",$K44=""),"",$G44-$K44)</f>
        <v>18.88</v>
      </c>
      <c r="M44" s="30" t="n">
        <f aca="false">IF(OR($L44="",$G44=""),"",IFERROR($L44/$G44,""))</f>
        <v>0.281791044776119</v>
      </c>
      <c r="N44" s="29" t="n">
        <f aca="false">IF(OR($F44="",$G44=""),"",$G44-$F44)</f>
        <v>-10</v>
      </c>
      <c r="O44" s="29" t="n">
        <f aca="false">IF($F44="","",IFERROR($F44/$B44,""))</f>
        <v>14.8076923076923</v>
      </c>
      <c r="P44" s="29" t="n">
        <f aca="false">IF($G44="","",IFERROR($G44/$B44,""))</f>
        <v>12.8846153846154</v>
      </c>
      <c r="Q44" s="31" t="s">
        <v>85</v>
      </c>
    </row>
    <row r="46" customFormat="false" ht="15" hidden="false" customHeight="false" outlineLevel="0" collapsed="false">
      <c r="A46" s="2" t="s">
        <v>99</v>
      </c>
    </row>
  </sheetData>
  <autoFilter ref="A4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bottomRight" activeCell="D5" sqref="D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1"/>
    <col collapsed="false" customWidth="true" hidden="false" outlineLevel="0" max="7" min="6" style="0" width="9"/>
    <col collapsed="false" customWidth="true" hidden="false" outlineLevel="0" max="10" min="8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19" min="19" style="0" width="42"/>
  </cols>
  <sheetData>
    <row r="1" customFormat="false" ht="19.5" hidden="false" customHeight="tru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3.75" hidden="false" customHeight="true" outlineLevel="0" collapsed="false">
      <c r="A4" s="15" t="s">
        <v>63</v>
      </c>
      <c r="B4" s="15" t="s">
        <v>64</v>
      </c>
      <c r="C4" s="15" t="s">
        <v>65</v>
      </c>
      <c r="D4" s="15" t="s">
        <v>102</v>
      </c>
      <c r="E4" s="15" t="s">
        <v>103</v>
      </c>
      <c r="F4" s="15" t="s">
        <v>104</v>
      </c>
      <c r="G4" s="15" t="s">
        <v>67</v>
      </c>
      <c r="H4" s="15" t="s">
        <v>68</v>
      </c>
      <c r="I4" s="15" t="s">
        <v>69</v>
      </c>
      <c r="J4" s="15" t="s">
        <v>70</v>
      </c>
      <c r="K4" s="15" t="s">
        <v>71</v>
      </c>
      <c r="L4" s="15" t="s">
        <v>72</v>
      </c>
      <c r="M4" s="15" t="s">
        <v>73</v>
      </c>
      <c r="N4" s="15" t="s">
        <v>74</v>
      </c>
      <c r="O4" s="15" t="s">
        <v>75</v>
      </c>
      <c r="P4" s="15" t="s">
        <v>105</v>
      </c>
      <c r="Q4" s="15" t="s">
        <v>106</v>
      </c>
      <c r="R4" s="15" t="s">
        <v>76</v>
      </c>
      <c r="S4" s="15" t="s">
        <v>79</v>
      </c>
    </row>
    <row r="5" customFormat="false" ht="19.4" hidden="false" customHeight="false" outlineLevel="0" collapsed="false">
      <c r="A5" s="16" t="s">
        <v>80</v>
      </c>
      <c r="B5" s="17" t="n">
        <v>15.5</v>
      </c>
      <c r="C5" s="18" t="s">
        <v>81</v>
      </c>
      <c r="D5" s="32" t="n">
        <f aca="false">'Current Pricing'!$D$5</f>
        <v>114.61</v>
      </c>
      <c r="E5" s="19" t="n">
        <v>117.11</v>
      </c>
      <c r="F5" s="20" t="n">
        <f aca="false">IF(OR($D5="",$E5=""),"",$E5-$D5)</f>
        <v>2.5</v>
      </c>
      <c r="G5" s="19" t="n">
        <v>0</v>
      </c>
      <c r="H5" s="19" t="n">
        <v>185</v>
      </c>
      <c r="I5" s="19" t="n">
        <v>175</v>
      </c>
      <c r="J5" s="20" t="n">
        <f aca="false">IF($E5="","",IF(UPPER(Assumptions!$B$6)="Y",$E5-$G5,$E5))</f>
        <v>117.11</v>
      </c>
      <c r="K5" s="20" t="n">
        <f aca="false">IF(OR($H5="",$J5=""),"",$H5-$J5)</f>
        <v>67.89</v>
      </c>
      <c r="L5" s="21" t="n">
        <f aca="false">IF(OR($K5="",$H5=""),"",IFERROR($K5/$H5,""))</f>
        <v>0.366972972972973</v>
      </c>
      <c r="M5" s="20" t="n">
        <f aca="false">IF($E5="","",IF(UPPER(Assumptions!$B$7)="Y",$E5-$G5,$E5))</f>
        <v>117.11</v>
      </c>
      <c r="N5" s="20" t="n">
        <f aca="false">IF(OR($I5="",$M5=""),"",$I5-$M5)</f>
        <v>57.89</v>
      </c>
      <c r="O5" s="21" t="n">
        <f aca="false">IF(OR($N5="",$I5=""),"",IFERROR($N5/$I5,""))</f>
        <v>0.3308</v>
      </c>
      <c r="P5" s="21" t="n">
        <f aca="false">IF(OR($L5="",'Current Pricing'!$J$5=""),"",$L5-'Current Pricing'!$J$5)</f>
        <v>-0.0135135135135135</v>
      </c>
      <c r="Q5" s="21" t="n">
        <f aca="false">IF(OR($O5="",'Current Pricing'!$M$5=""),"",$O5-'Current Pricing'!$M$5)</f>
        <v>-0.0142857142857143</v>
      </c>
      <c r="R5" s="20" t="n">
        <f aca="false">IF(OR($H5="",$I5=""),"",$I5-$H5)</f>
        <v>-10</v>
      </c>
      <c r="S5" s="22" t="s">
        <v>107</v>
      </c>
    </row>
    <row r="6" customFormat="false" ht="19.4" hidden="false" customHeight="false" outlineLevel="0" collapsed="false">
      <c r="A6" s="9" t="s">
        <v>80</v>
      </c>
      <c r="B6" s="23" t="n">
        <v>15.5</v>
      </c>
      <c r="C6" s="9" t="s">
        <v>82</v>
      </c>
      <c r="D6" s="33" t="n">
        <f aca="false">'Current Pricing'!$D$6</f>
        <v>114.61</v>
      </c>
      <c r="E6" s="19" t="n">
        <v>117.11</v>
      </c>
      <c r="F6" s="24" t="n">
        <f aca="false">IF(OR($D6="",$E6=""),"",$E6-$D6)</f>
        <v>2.5</v>
      </c>
      <c r="G6" s="19" t="n">
        <v>0</v>
      </c>
      <c r="H6" s="19" t="n">
        <v>209</v>
      </c>
      <c r="I6" s="19" t="n">
        <v>188</v>
      </c>
      <c r="J6" s="24" t="n">
        <f aca="false">IF($E6="","",IF(UPPER(Assumptions!$B$6)="Y",$E6-$G6,$E6))</f>
        <v>117.11</v>
      </c>
      <c r="K6" s="24" t="n">
        <f aca="false">IF(OR($H6="",$J6=""),"",$H6-$J6)</f>
        <v>91.89</v>
      </c>
      <c r="L6" s="25" t="n">
        <f aca="false">IF(OR($K6="",$H6=""),"",IFERROR($K6/$H6,""))</f>
        <v>0.439665071770335</v>
      </c>
      <c r="M6" s="24" t="n">
        <f aca="false">IF($E6="","",IF(UPPER(Assumptions!$B$7)="Y",$E6-$G6,$E6))</f>
        <v>117.11</v>
      </c>
      <c r="N6" s="24" t="n">
        <f aca="false">IF(OR($I6="",$M6=""),"",$I6-$M6)</f>
        <v>70.89</v>
      </c>
      <c r="O6" s="25" t="n">
        <f aca="false">IF(OR($N6="",$I6=""),"",IFERROR($N6/$I6,""))</f>
        <v>0.377074468085106</v>
      </c>
      <c r="P6" s="25" t="n">
        <f aca="false">IF(OR($L6="",'Current Pricing'!$J$6=""),"",$L6-'Current Pricing'!$J$6)</f>
        <v>-0.0119617224880383</v>
      </c>
      <c r="Q6" s="25" t="n">
        <f aca="false">IF(OR($O6="",'Current Pricing'!$M$6=""),"",$O6-'Current Pricing'!$M$6)</f>
        <v>-0.0132978723404256</v>
      </c>
      <c r="R6" s="24" t="n">
        <f aca="false">IF(OR($H6="",$I6=""),"",$I6-$H6)</f>
        <v>-21</v>
      </c>
      <c r="S6" s="26" t="s">
        <v>107</v>
      </c>
    </row>
    <row r="7" customFormat="false" ht="19.4" hidden="false" customHeight="false" outlineLevel="0" collapsed="false">
      <c r="A7" s="9" t="s">
        <v>80</v>
      </c>
      <c r="B7" s="23" t="n">
        <v>15.5</v>
      </c>
      <c r="C7" s="9" t="s">
        <v>83</v>
      </c>
      <c r="D7" s="33" t="n">
        <f aca="false">'Current Pricing'!$D$7</f>
        <v>114.61</v>
      </c>
      <c r="E7" s="19" t="n">
        <v>117.11</v>
      </c>
      <c r="F7" s="24" t="n">
        <f aca="false">IF(OR($D7="",$E7=""),"",$E7-$D7)</f>
        <v>2.5</v>
      </c>
      <c r="G7" s="19" t="n">
        <v>0</v>
      </c>
      <c r="H7" s="19" t="n">
        <v>207</v>
      </c>
      <c r="I7" s="19" t="n">
        <v>188</v>
      </c>
      <c r="J7" s="24" t="n">
        <f aca="false">IF($E7="","",IF(UPPER(Assumptions!$B$6)="Y",$E7-$G7,$E7))</f>
        <v>117.11</v>
      </c>
      <c r="K7" s="24" t="n">
        <f aca="false">IF(OR($H7="",$J7=""),"",$H7-$J7)</f>
        <v>89.89</v>
      </c>
      <c r="L7" s="25" t="n">
        <f aca="false">IF(OR($K7="",$H7=""),"",IFERROR($K7/$H7,""))</f>
        <v>0.434251207729469</v>
      </c>
      <c r="M7" s="24" t="n">
        <f aca="false">IF($E7="","",IF(UPPER(Assumptions!$B$7)="Y",$E7-$G7,$E7))</f>
        <v>117.11</v>
      </c>
      <c r="N7" s="24" t="n">
        <f aca="false">IF(OR($I7="",$M7=""),"",$I7-$M7)</f>
        <v>70.89</v>
      </c>
      <c r="O7" s="25" t="n">
        <f aca="false">IF(OR($N7="",$I7=""),"",IFERROR($N7/$I7,""))</f>
        <v>0.377074468085106</v>
      </c>
      <c r="P7" s="25" t="n">
        <f aca="false">IF(OR($L7="",'Current Pricing'!$J$7=""),"",$L7-'Current Pricing'!$J$7)</f>
        <v>-0.0120772946859903</v>
      </c>
      <c r="Q7" s="25" t="n">
        <f aca="false">IF(OR($O7="",'Current Pricing'!$M$7=""),"",$O7-'Current Pricing'!$M$7)</f>
        <v>-0.0132978723404256</v>
      </c>
      <c r="R7" s="24" t="n">
        <f aca="false">IF(OR($H7="",$I7=""),"",$I7-$H7)</f>
        <v>-19</v>
      </c>
      <c r="S7" s="26" t="s">
        <v>107</v>
      </c>
    </row>
    <row r="8" customFormat="false" ht="15" hidden="false" customHeight="false" outlineLevel="0" collapsed="false">
      <c r="A8" s="9" t="s">
        <v>80</v>
      </c>
      <c r="B8" s="23" t="n">
        <v>15.5</v>
      </c>
      <c r="C8" s="9" t="s">
        <v>84</v>
      </c>
      <c r="D8" s="33" t="n">
        <f aca="false">'Current Pricing'!$D$8</f>
        <v>114.61</v>
      </c>
      <c r="E8" s="19" t="n">
        <v>117.11</v>
      </c>
      <c r="F8" s="24" t="n">
        <f aca="false">IF(OR($D8="",$E8=""),"",$E8-$D8)</f>
        <v>2.5</v>
      </c>
      <c r="G8" s="19" t="n">
        <v>0</v>
      </c>
      <c r="H8" s="19" t="n">
        <v>190</v>
      </c>
      <c r="I8" s="19" t="n">
        <v>176</v>
      </c>
      <c r="J8" s="24" t="n">
        <f aca="false">IF($E8="","",IF(UPPER(Assumptions!$B$6)="Y",$E8-$G8,$E8))</f>
        <v>117.11</v>
      </c>
      <c r="K8" s="24" t="n">
        <f aca="false">IF(OR($H8="",$J8=""),"",$H8-$J8)</f>
        <v>72.89</v>
      </c>
      <c r="L8" s="25" t="n">
        <f aca="false">IF(OR($K8="",$H8=""),"",IFERROR($K8/$H8,""))</f>
        <v>0.383631578947368</v>
      </c>
      <c r="M8" s="24" t="n">
        <f aca="false">IF($E8="","",IF(UPPER(Assumptions!$B$7)="Y",$E8-$G8,$E8))</f>
        <v>117.11</v>
      </c>
      <c r="N8" s="24" t="n">
        <f aca="false">IF(OR($I8="",$M8=""),"",$I8-$M8)</f>
        <v>58.89</v>
      </c>
      <c r="O8" s="25" t="n">
        <f aca="false">IF(OR($N8="",$I8=""),"",IFERROR($N8/$I8,""))</f>
        <v>0.334602272727273</v>
      </c>
      <c r="P8" s="25" t="n">
        <f aca="false">IF(OR($L8="",'Current Pricing'!$J$8=""),"",$L8-'Current Pricing'!$J$8)</f>
        <v>0.00314509246088196</v>
      </c>
      <c r="Q8" s="25" t="n">
        <f aca="false">IF(OR($O8="",'Current Pricing'!$M$8=""),"",$O8-'Current Pricing'!$M$8)</f>
        <v>0.0127679532006455</v>
      </c>
      <c r="R8" s="24" t="n">
        <f aca="false">IF(OR($H8="",$I8=""),"",$I8-$H8)</f>
        <v>-14</v>
      </c>
      <c r="S8" s="26" t="s">
        <v>108</v>
      </c>
    </row>
    <row r="9" customFormat="false" ht="19.4" hidden="false" customHeight="false" outlineLevel="0" collapsed="false">
      <c r="A9" s="16" t="s">
        <v>86</v>
      </c>
      <c r="B9" s="17" t="n">
        <v>5.2</v>
      </c>
      <c r="C9" s="18" t="s">
        <v>81</v>
      </c>
      <c r="D9" s="32" t="n">
        <f aca="false">'Current Pricing'!$D$9</f>
        <v>48.12</v>
      </c>
      <c r="E9" s="19" t="n">
        <v>49.62</v>
      </c>
      <c r="F9" s="20" t="n">
        <f aca="false">IF(OR($D9="",$E9=""),"",$E9-$D9)</f>
        <v>1.5</v>
      </c>
      <c r="G9" s="19" t="n">
        <v>0</v>
      </c>
      <c r="H9" s="19" t="n">
        <v>80</v>
      </c>
      <c r="I9" s="19" t="n">
        <v>78</v>
      </c>
      <c r="J9" s="20" t="n">
        <f aca="false">IF($E9="","",IF(UPPER(Assumptions!$B$6)="Y",$E9-$G9,$E9))</f>
        <v>49.62</v>
      </c>
      <c r="K9" s="20" t="n">
        <f aca="false">IF(OR($H9="",$J9=""),"",$H9-$J9)</f>
        <v>30.38</v>
      </c>
      <c r="L9" s="21" t="n">
        <f aca="false">IF(OR($K9="",$H9=""),"",IFERROR($K9/$H9,""))</f>
        <v>0.37975</v>
      </c>
      <c r="M9" s="20" t="n">
        <f aca="false">IF($E9="","",IF(UPPER(Assumptions!$B$7)="Y",$E9-$G9,$E9))</f>
        <v>49.62</v>
      </c>
      <c r="N9" s="20" t="n">
        <f aca="false">IF(OR($I9="",$M9=""),"",$I9-$M9)</f>
        <v>28.38</v>
      </c>
      <c r="O9" s="21" t="n">
        <f aca="false">IF(OR($N9="",$I9=""),"",IFERROR($N9/$I9,""))</f>
        <v>0.363846153846154</v>
      </c>
      <c r="P9" s="21" t="n">
        <f aca="false">IF(OR($L9="",'Current Pricing'!$J$9=""),"",$L9-'Current Pricing'!$J$9)</f>
        <v>-0.01875</v>
      </c>
      <c r="Q9" s="21" t="n">
        <f aca="false">IF(OR($O9="",'Current Pricing'!$M$9=""),"",$O9-'Current Pricing'!$M$9)</f>
        <v>-0.0192307692307692</v>
      </c>
      <c r="R9" s="20" t="n">
        <f aca="false">IF(OR($H9="",$I9=""),"",$I9-$H9)</f>
        <v>-2</v>
      </c>
      <c r="S9" s="22" t="s">
        <v>107</v>
      </c>
    </row>
    <row r="10" customFormat="false" ht="19.4" hidden="false" customHeight="false" outlineLevel="0" collapsed="false">
      <c r="A10" s="27" t="s">
        <v>86</v>
      </c>
      <c r="B10" s="28" t="n">
        <v>5.2</v>
      </c>
      <c r="C10" s="27" t="s">
        <v>82</v>
      </c>
      <c r="D10" s="34" t="n">
        <f aca="false">'Current Pricing'!$D$10</f>
        <v>48.12</v>
      </c>
      <c r="E10" s="19" t="n">
        <v>49.62</v>
      </c>
      <c r="F10" s="29" t="n">
        <f aca="false">IF(OR($D10="",$E10=""),"",$E10-$D10)</f>
        <v>1.5</v>
      </c>
      <c r="G10" s="19" t="n">
        <v>0</v>
      </c>
      <c r="H10" s="19" t="n">
        <v>97.5</v>
      </c>
      <c r="I10" s="19" t="n">
        <v>88.5</v>
      </c>
      <c r="J10" s="29" t="n">
        <f aca="false">IF($E10="","",IF(UPPER(Assumptions!$B$6)="Y",$E10-$G10,$E10))</f>
        <v>49.62</v>
      </c>
      <c r="K10" s="29" t="n">
        <f aca="false">IF(OR($H10="",$J10=""),"",$H10-$J10)</f>
        <v>47.88</v>
      </c>
      <c r="L10" s="30" t="n">
        <f aca="false">IF(OR($K10="",$H10=""),"",IFERROR($K10/$H10,""))</f>
        <v>0.491076923076923</v>
      </c>
      <c r="M10" s="29" t="n">
        <f aca="false">IF($E10="","",IF(UPPER(Assumptions!$B$7)="Y",$E10-$G10,$E10))</f>
        <v>49.62</v>
      </c>
      <c r="N10" s="29" t="n">
        <f aca="false">IF(OR($I10="",$M10=""),"",$I10-$M10)</f>
        <v>38.88</v>
      </c>
      <c r="O10" s="30" t="n">
        <f aca="false">IF(OR($N10="",$I10=""),"",IFERROR($N10/$I10,""))</f>
        <v>0.439322033898305</v>
      </c>
      <c r="P10" s="30" t="n">
        <f aca="false">IF(OR($L10="",'Current Pricing'!$J$10=""),"",$L10-'Current Pricing'!$J$10)</f>
        <v>-0.0153846153846154</v>
      </c>
      <c r="Q10" s="30" t="n">
        <f aca="false">IF(OR($O10="",'Current Pricing'!$M$10=""),"",$O10-'Current Pricing'!$M$10)</f>
        <v>-0.0169491525423729</v>
      </c>
      <c r="R10" s="29" t="n">
        <f aca="false">IF(OR($H10="",$I10=""),"",$I10-$H10)</f>
        <v>-9</v>
      </c>
      <c r="S10" s="31" t="s">
        <v>107</v>
      </c>
    </row>
    <row r="11" customFormat="false" ht="19.4" hidden="false" customHeight="false" outlineLevel="0" collapsed="false">
      <c r="A11" s="27" t="s">
        <v>86</v>
      </c>
      <c r="B11" s="28" t="n">
        <v>5.2</v>
      </c>
      <c r="C11" s="27" t="s">
        <v>83</v>
      </c>
      <c r="D11" s="34" t="n">
        <f aca="false">'Current Pricing'!$D$11</f>
        <v>48.12</v>
      </c>
      <c r="E11" s="19" t="n">
        <v>49.62</v>
      </c>
      <c r="F11" s="29" t="n">
        <f aca="false">IF(OR($D11="",$E11=""),"",$E11-$D11)</f>
        <v>1.5</v>
      </c>
      <c r="G11" s="19" t="n">
        <v>0</v>
      </c>
      <c r="H11" s="19" t="n">
        <v>90</v>
      </c>
      <c r="I11" s="19" t="n">
        <v>80</v>
      </c>
      <c r="J11" s="29" t="n">
        <f aca="false">IF($E11="","",IF(UPPER(Assumptions!$B$6)="Y",$E11-$G11,$E11))</f>
        <v>49.62</v>
      </c>
      <c r="K11" s="29" t="n">
        <f aca="false">IF(OR($H11="",$J11=""),"",$H11-$J11)</f>
        <v>40.38</v>
      </c>
      <c r="L11" s="30" t="n">
        <f aca="false">IF(OR($K11="",$H11=""),"",IFERROR($K11/$H11,""))</f>
        <v>0.448666666666667</v>
      </c>
      <c r="M11" s="29" t="n">
        <f aca="false">IF($E11="","",IF(UPPER(Assumptions!$B$7)="Y",$E11-$G11,$E11))</f>
        <v>49.62</v>
      </c>
      <c r="N11" s="29" t="n">
        <f aca="false">IF(OR($I11="",$M11=""),"",$I11-$M11)</f>
        <v>30.38</v>
      </c>
      <c r="O11" s="30" t="n">
        <f aca="false">IF(OR($N11="",$I11=""),"",IFERROR($N11/$I11,""))</f>
        <v>0.37975</v>
      </c>
      <c r="P11" s="30" t="n">
        <f aca="false">IF(OR($L11="",'Current Pricing'!$J$11=""),"",$L11-'Current Pricing'!$J$11)</f>
        <v>-0.0166666666666667</v>
      </c>
      <c r="Q11" s="30" t="n">
        <f aca="false">IF(OR($O11="",'Current Pricing'!$M$11=""),"",$O11-'Current Pricing'!$M$11)</f>
        <v>-0.01875</v>
      </c>
      <c r="R11" s="29" t="n">
        <f aca="false">IF(OR($H11="",$I11=""),"",$I11-$H11)</f>
        <v>-10</v>
      </c>
      <c r="S11" s="31" t="s">
        <v>107</v>
      </c>
    </row>
    <row r="12" customFormat="false" ht="15" hidden="false" customHeight="false" outlineLevel="0" collapsed="false">
      <c r="A12" s="27" t="s">
        <v>86</v>
      </c>
      <c r="B12" s="28" t="n">
        <v>5.2</v>
      </c>
      <c r="C12" s="27" t="s">
        <v>84</v>
      </c>
      <c r="D12" s="34" t="n">
        <f aca="false">'Current Pricing'!$D$12</f>
        <v>48.12</v>
      </c>
      <c r="E12" s="19" t="n">
        <v>49.62</v>
      </c>
      <c r="F12" s="29" t="n">
        <f aca="false">IF(OR($D12="",$E12=""),"",$E12-$D12)</f>
        <v>1.5</v>
      </c>
      <c r="G12" s="19" t="n">
        <v>0</v>
      </c>
      <c r="H12" s="19" t="n">
        <v>79</v>
      </c>
      <c r="I12" s="19" t="n">
        <v>76</v>
      </c>
      <c r="J12" s="29" t="n">
        <f aca="false">IF($E12="","",IF(UPPER(Assumptions!$B$6)="Y",$E12-$G12,$E12))</f>
        <v>49.62</v>
      </c>
      <c r="K12" s="29" t="n">
        <f aca="false">IF(OR($H12="",$J12=""),"",$H12-$J12)</f>
        <v>29.38</v>
      </c>
      <c r="L12" s="30" t="n">
        <f aca="false">IF(OR($K12="",$H12=""),"",IFERROR($K12/$H12,""))</f>
        <v>0.371898734177215</v>
      </c>
      <c r="M12" s="29" t="n">
        <f aca="false">IF($E12="","",IF(UPPER(Assumptions!$B$7)="Y",$E12-$G12,$E12))</f>
        <v>49.62</v>
      </c>
      <c r="N12" s="29" t="n">
        <f aca="false">IF(OR($I12="",$M12=""),"",$I12-$M12)</f>
        <v>26.38</v>
      </c>
      <c r="O12" s="30" t="n">
        <f aca="false">IF(OR($N12="",$I12=""),"",IFERROR($N12/$I12,""))</f>
        <v>0.347105263157895</v>
      </c>
      <c r="P12" s="30" t="n">
        <f aca="false">IF(OR($L12="",'Current Pricing'!$J$12=""),"",$L12-'Current Pricing'!$J$12)</f>
        <v>0.031076816368996</v>
      </c>
      <c r="Q12" s="30" t="n">
        <f aca="false">IF(OR($O12="",'Current Pricing'!$M$12=""),"",$O12-'Current Pricing'!$M$12)</f>
        <v>0.110914786967419</v>
      </c>
      <c r="R12" s="29" t="n">
        <f aca="false">IF(OR($H12="",$I12=""),"",$I12-$H12)</f>
        <v>-3</v>
      </c>
      <c r="S12" s="31" t="s">
        <v>108</v>
      </c>
    </row>
    <row r="13" customFormat="false" ht="19.4" hidden="false" customHeight="false" outlineLevel="0" collapsed="false">
      <c r="A13" s="16" t="s">
        <v>87</v>
      </c>
      <c r="B13" s="17" t="n">
        <v>15.5</v>
      </c>
      <c r="C13" s="18" t="s">
        <v>81</v>
      </c>
      <c r="D13" s="32" t="n">
        <f aca="false">'Current Pricing'!$D$13</f>
        <v>114.11</v>
      </c>
      <c r="E13" s="19" t="n">
        <v>116.11</v>
      </c>
      <c r="F13" s="20" t="n">
        <f aca="false">IF(OR($D13="",$E13=""),"",$E13-$D13)</f>
        <v>2</v>
      </c>
      <c r="G13" s="19" t="n">
        <v>0</v>
      </c>
      <c r="H13" s="19" t="n">
        <v>185</v>
      </c>
      <c r="I13" s="19" t="n">
        <v>175</v>
      </c>
      <c r="J13" s="20" t="n">
        <f aca="false">IF($E13="","",IF(UPPER(Assumptions!$B$6)="Y",$E13-$G13,$E13))</f>
        <v>116.11</v>
      </c>
      <c r="K13" s="20" t="n">
        <f aca="false">IF(OR($H13="",$J13=""),"",$H13-$J13)</f>
        <v>68.89</v>
      </c>
      <c r="L13" s="21" t="n">
        <f aca="false">IF(OR($K13="",$H13=""),"",IFERROR($K13/$H13,""))</f>
        <v>0.372378378378378</v>
      </c>
      <c r="M13" s="20" t="n">
        <f aca="false">IF($E13="","",IF(UPPER(Assumptions!$B$7)="Y",$E13-$G13,$E13))</f>
        <v>116.11</v>
      </c>
      <c r="N13" s="20" t="n">
        <f aca="false">IF(OR($I13="",$M13=""),"",$I13-$M13)</f>
        <v>58.89</v>
      </c>
      <c r="O13" s="21" t="n">
        <f aca="false">IF(OR($N13="",$I13=""),"",IFERROR($N13/$I13,""))</f>
        <v>0.336514285714286</v>
      </c>
      <c r="P13" s="21" t="n">
        <f aca="false">IF(OR($L13="",'Current Pricing'!$J$13=""),"",$L13-'Current Pricing'!$J$13)</f>
        <v>-0.0108108108108108</v>
      </c>
      <c r="Q13" s="21" t="n">
        <f aca="false">IF(OR($O13="",'Current Pricing'!$M$13=""),"",$O13-'Current Pricing'!$M$13)</f>
        <v>-0.0114285714285715</v>
      </c>
      <c r="R13" s="20" t="n">
        <f aca="false">IF(OR($H13="",$I13=""),"",$I13-$H13)</f>
        <v>-10</v>
      </c>
      <c r="S13" s="22" t="s">
        <v>107</v>
      </c>
    </row>
    <row r="14" customFormat="false" ht="19.4" hidden="false" customHeight="false" outlineLevel="0" collapsed="false">
      <c r="A14" s="9" t="s">
        <v>87</v>
      </c>
      <c r="B14" s="23" t="n">
        <v>15.5</v>
      </c>
      <c r="C14" s="9" t="s">
        <v>82</v>
      </c>
      <c r="D14" s="33" t="n">
        <f aca="false">'Current Pricing'!$D$14</f>
        <v>114.11</v>
      </c>
      <c r="E14" s="19" t="n">
        <v>116.11</v>
      </c>
      <c r="F14" s="24" t="n">
        <f aca="false">IF(OR($D14="",$E14=""),"",$E14-$D14)</f>
        <v>2</v>
      </c>
      <c r="G14" s="19" t="n">
        <v>0</v>
      </c>
      <c r="H14" s="19" t="n">
        <v>209</v>
      </c>
      <c r="I14" s="19" t="n">
        <v>188</v>
      </c>
      <c r="J14" s="24" t="n">
        <f aca="false">IF($E14="","",IF(UPPER(Assumptions!$B$6)="Y",$E14-$G14,$E14))</f>
        <v>116.11</v>
      </c>
      <c r="K14" s="24" t="n">
        <f aca="false">IF(OR($H14="",$J14=""),"",$H14-$J14)</f>
        <v>92.89</v>
      </c>
      <c r="L14" s="25" t="n">
        <f aca="false">IF(OR($K14="",$H14=""),"",IFERROR($K14/$H14,""))</f>
        <v>0.44444976076555</v>
      </c>
      <c r="M14" s="24" t="n">
        <f aca="false">IF($E14="","",IF(UPPER(Assumptions!$B$7)="Y",$E14-$G14,$E14))</f>
        <v>116.11</v>
      </c>
      <c r="N14" s="24" t="n">
        <f aca="false">IF(OR($I14="",$M14=""),"",$I14-$M14)</f>
        <v>71.89</v>
      </c>
      <c r="O14" s="25" t="n">
        <f aca="false">IF(OR($N14="",$I14=""),"",IFERROR($N14/$I14,""))</f>
        <v>0.382393617021277</v>
      </c>
      <c r="P14" s="25" t="n">
        <f aca="false">IF(OR($L14="",'Current Pricing'!$J$14=""),"",$L14-'Current Pricing'!$J$14)</f>
        <v>-0.00956937799043062</v>
      </c>
      <c r="Q14" s="25" t="n">
        <f aca="false">IF(OR($O14="",'Current Pricing'!$M$14=""),"",$O14-'Current Pricing'!$M$14)</f>
        <v>-0.0106382978723404</v>
      </c>
      <c r="R14" s="24" t="n">
        <f aca="false">IF(OR($H14="",$I14=""),"",$I14-$H14)</f>
        <v>-21</v>
      </c>
      <c r="S14" s="26" t="s">
        <v>107</v>
      </c>
    </row>
    <row r="15" customFormat="false" ht="19.4" hidden="false" customHeight="false" outlineLevel="0" collapsed="false">
      <c r="A15" s="9" t="s">
        <v>87</v>
      </c>
      <c r="B15" s="23" t="n">
        <v>15.5</v>
      </c>
      <c r="C15" s="9" t="s">
        <v>83</v>
      </c>
      <c r="D15" s="33" t="n">
        <f aca="false">'Current Pricing'!$D$15</f>
        <v>114.11</v>
      </c>
      <c r="E15" s="19" t="n">
        <v>116.11</v>
      </c>
      <c r="F15" s="24" t="n">
        <f aca="false">IF(OR($D15="",$E15=""),"",$E15-$D15)</f>
        <v>2</v>
      </c>
      <c r="G15" s="19" t="n">
        <v>0</v>
      </c>
      <c r="H15" s="19" t="n">
        <v>207</v>
      </c>
      <c r="I15" s="19" t="n">
        <v>188</v>
      </c>
      <c r="J15" s="24" t="n">
        <f aca="false">IF($E15="","",IF(UPPER(Assumptions!$B$6)="Y",$E15-$G15,$E15))</f>
        <v>116.11</v>
      </c>
      <c r="K15" s="24" t="n">
        <f aca="false">IF(OR($H15="",$J15=""),"",$H15-$J15)</f>
        <v>90.89</v>
      </c>
      <c r="L15" s="25" t="n">
        <f aca="false">IF(OR($K15="",$H15=""),"",IFERROR($K15/$H15,""))</f>
        <v>0.439082125603865</v>
      </c>
      <c r="M15" s="24" t="n">
        <f aca="false">IF($E15="","",IF(UPPER(Assumptions!$B$7)="Y",$E15-$G15,$E15))</f>
        <v>116.11</v>
      </c>
      <c r="N15" s="24" t="n">
        <f aca="false">IF(OR($I15="",$M15=""),"",$I15-$M15)</f>
        <v>71.89</v>
      </c>
      <c r="O15" s="25" t="n">
        <f aca="false">IF(OR($N15="",$I15=""),"",IFERROR($N15/$I15,""))</f>
        <v>0.382393617021277</v>
      </c>
      <c r="P15" s="25" t="n">
        <f aca="false">IF(OR($L15="",'Current Pricing'!$J$15=""),"",$L15-'Current Pricing'!$J$15)</f>
        <v>-0.00966183574879226</v>
      </c>
      <c r="Q15" s="25" t="n">
        <f aca="false">IF(OR($O15="",'Current Pricing'!$M$15=""),"",$O15-'Current Pricing'!$M$15)</f>
        <v>-0.0106382978723404</v>
      </c>
      <c r="R15" s="24" t="n">
        <f aca="false">IF(OR($H15="",$I15=""),"",$I15-$H15)</f>
        <v>-19</v>
      </c>
      <c r="S15" s="26" t="s">
        <v>107</v>
      </c>
    </row>
    <row r="16" customFormat="false" ht="15" hidden="false" customHeight="false" outlineLevel="0" collapsed="false">
      <c r="A16" s="9" t="s">
        <v>87</v>
      </c>
      <c r="B16" s="23" t="n">
        <v>15.5</v>
      </c>
      <c r="C16" s="9" t="s">
        <v>84</v>
      </c>
      <c r="D16" s="33" t="n">
        <f aca="false">'Current Pricing'!$D$16</f>
        <v>114.11</v>
      </c>
      <c r="E16" s="19" t="n">
        <v>116.11</v>
      </c>
      <c r="F16" s="24" t="n">
        <f aca="false">IF(OR($D16="",$E16=""),"",$E16-$D16)</f>
        <v>2</v>
      </c>
      <c r="G16" s="19" t="n">
        <v>0</v>
      </c>
      <c r="H16" s="19" t="n">
        <v>189</v>
      </c>
      <c r="I16" s="19" t="n">
        <v>184</v>
      </c>
      <c r="J16" s="24" t="n">
        <f aca="false">IF($E16="","",IF(UPPER(Assumptions!$B$6)="Y",$E16-$G16,$E16))</f>
        <v>116.11</v>
      </c>
      <c r="K16" s="24" t="n">
        <f aca="false">IF(OR($H16="",$J16=""),"",$H16-$J16)</f>
        <v>72.89</v>
      </c>
      <c r="L16" s="25" t="n">
        <f aca="false">IF(OR($K16="",$H16=""),"",IFERROR($K16/$H16,""))</f>
        <v>0.385661375661376</v>
      </c>
      <c r="M16" s="24" t="n">
        <f aca="false">IF($E16="","",IF(UPPER(Assumptions!$B$7)="Y",$E16-$G16,$E16))</f>
        <v>116.11</v>
      </c>
      <c r="N16" s="24" t="n">
        <f aca="false">IF(OR($I16="",$M16=""),"",$I16-$M16)</f>
        <v>67.89</v>
      </c>
      <c r="O16" s="25" t="n">
        <f aca="false">IF(OR($N16="",$I16=""),"",IFERROR($N16/$I16,""))</f>
        <v>0.368967391304348</v>
      </c>
      <c r="P16" s="25" t="n">
        <f aca="false">IF(OR($L16="",'Current Pricing'!$J$16=""),"",$L16-'Current Pricing'!$J$16)</f>
        <v>0.00582441913963649</v>
      </c>
      <c r="Q16" s="25" t="n">
        <f aca="false">IF(OR($O16="",'Current Pricing'!$M$16=""),"",$O16-'Current Pricing'!$M$16)</f>
        <v>0.0481935817805383</v>
      </c>
      <c r="R16" s="24" t="n">
        <f aca="false">IF(OR($H16="",$I16=""),"",$I16-$H16)</f>
        <v>-5</v>
      </c>
      <c r="S16" s="26" t="s">
        <v>108</v>
      </c>
    </row>
    <row r="17" customFormat="false" ht="19.4" hidden="false" customHeight="false" outlineLevel="0" collapsed="false">
      <c r="A17" s="16" t="s">
        <v>88</v>
      </c>
      <c r="B17" s="17" t="n">
        <v>5.2</v>
      </c>
      <c r="C17" s="18" t="s">
        <v>81</v>
      </c>
      <c r="D17" s="32" t="n">
        <f aca="false">'Current Pricing'!$D$17</f>
        <v>48.12</v>
      </c>
      <c r="E17" s="19" t="n">
        <v>49.62</v>
      </c>
      <c r="F17" s="20" t="n">
        <f aca="false">IF(OR($D17="",$E17=""),"",$E17-$D17)</f>
        <v>1.5</v>
      </c>
      <c r="G17" s="19" t="n">
        <v>9</v>
      </c>
      <c r="H17" s="19" t="n">
        <v>77</v>
      </c>
      <c r="I17" s="19" t="n">
        <v>58</v>
      </c>
      <c r="J17" s="20" t="n">
        <f aca="false">IF($E17="","",IF(UPPER(Assumptions!$B$6)="Y",$E17-$G17,$E17))</f>
        <v>49.62</v>
      </c>
      <c r="K17" s="20" t="n">
        <f aca="false">IF(OR($H17="",$J17=""),"",$H17-$J17)</f>
        <v>27.38</v>
      </c>
      <c r="L17" s="21" t="n">
        <f aca="false">IF(OR($K17="",$H17=""),"",IFERROR($K17/$H17,""))</f>
        <v>0.355584415584416</v>
      </c>
      <c r="M17" s="20" t="n">
        <f aca="false">IF($E17="","",IF(UPPER(Assumptions!$B$7)="Y",$E17-$G17,$E17))</f>
        <v>40.62</v>
      </c>
      <c r="N17" s="20" t="n">
        <f aca="false">IF(OR($I17="",$M17=""),"",$I17-$M17)</f>
        <v>17.38</v>
      </c>
      <c r="O17" s="21" t="n">
        <f aca="false">IF(OR($N17="",$I17=""),"",IFERROR($N17/$I17,""))</f>
        <v>0.299655172413793</v>
      </c>
      <c r="P17" s="21" t="n">
        <f aca="false">IF(OR($L17="",'Current Pricing'!$J$17=""),"",$L17-'Current Pricing'!$J$17)</f>
        <v>-0.0194805194805195</v>
      </c>
      <c r="Q17" s="21" t="n">
        <f aca="false">IF(OR($O17="",'Current Pricing'!$M$17=""),"",$O17-'Current Pricing'!$M$17)</f>
        <v>-0.0258620689655172</v>
      </c>
      <c r="R17" s="20" t="n">
        <f aca="false">IF(OR($H17="",$I17=""),"",$I17-$H17)</f>
        <v>-19</v>
      </c>
      <c r="S17" s="22" t="s">
        <v>109</v>
      </c>
    </row>
    <row r="18" customFormat="false" ht="19.4" hidden="false" customHeight="false" outlineLevel="0" collapsed="false">
      <c r="A18" s="27" t="s">
        <v>88</v>
      </c>
      <c r="B18" s="28" t="n">
        <v>5.2</v>
      </c>
      <c r="C18" s="27" t="s">
        <v>82</v>
      </c>
      <c r="D18" s="34" t="n">
        <f aca="false">'Current Pricing'!$D$18</f>
        <v>48.12</v>
      </c>
      <c r="E18" s="19" t="n">
        <v>49.62</v>
      </c>
      <c r="F18" s="29" t="n">
        <f aca="false">IF(OR($D18="",$E18=""),"",$E18-$D18)</f>
        <v>1.5</v>
      </c>
      <c r="G18" s="19" t="n">
        <v>0</v>
      </c>
      <c r="H18" s="19" t="n">
        <v>97.5</v>
      </c>
      <c r="I18" s="19" t="n">
        <v>88.5</v>
      </c>
      <c r="J18" s="29" t="n">
        <f aca="false">IF($E18="","",IF(UPPER(Assumptions!$B$6)="Y",$E18-$G18,$E18))</f>
        <v>49.62</v>
      </c>
      <c r="K18" s="29" t="n">
        <f aca="false">IF(OR($H18="",$J18=""),"",$H18-$J18)</f>
        <v>47.88</v>
      </c>
      <c r="L18" s="30" t="n">
        <f aca="false">IF(OR($K18="",$H18=""),"",IFERROR($K18/$H18,""))</f>
        <v>0.491076923076923</v>
      </c>
      <c r="M18" s="29" t="n">
        <f aca="false">IF($E18="","",IF(UPPER(Assumptions!$B$7)="Y",$E18-$G18,$E18))</f>
        <v>49.62</v>
      </c>
      <c r="N18" s="29" t="n">
        <f aca="false">IF(OR($I18="",$M18=""),"",$I18-$M18)</f>
        <v>38.88</v>
      </c>
      <c r="O18" s="30" t="n">
        <f aca="false">IF(OR($N18="",$I18=""),"",IFERROR($N18/$I18,""))</f>
        <v>0.439322033898305</v>
      </c>
      <c r="P18" s="30" t="n">
        <f aca="false">IF(OR($L18="",'Current Pricing'!$J$18=""),"",$L18-'Current Pricing'!$J$18)</f>
        <v>-0.0153846153846154</v>
      </c>
      <c r="Q18" s="30" t="n">
        <f aca="false">IF(OR($O18="",'Current Pricing'!$M$18=""),"",$O18-'Current Pricing'!$M$18)</f>
        <v>-0.0169491525423729</v>
      </c>
      <c r="R18" s="29" t="n">
        <f aca="false">IF(OR($H18="",$I18=""),"",$I18-$H18)</f>
        <v>-9</v>
      </c>
      <c r="S18" s="31" t="s">
        <v>107</v>
      </c>
    </row>
    <row r="19" customFormat="false" ht="19.4" hidden="false" customHeight="false" outlineLevel="0" collapsed="false">
      <c r="A19" s="27" t="s">
        <v>88</v>
      </c>
      <c r="B19" s="28" t="n">
        <v>5.2</v>
      </c>
      <c r="C19" s="27" t="s">
        <v>83</v>
      </c>
      <c r="D19" s="34" t="n">
        <f aca="false">'Current Pricing'!$D$19</f>
        <v>48.12</v>
      </c>
      <c r="E19" s="19" t="n">
        <v>49.62</v>
      </c>
      <c r="F19" s="29" t="n">
        <f aca="false">IF(OR($D19="",$E19=""),"",$E19-$D19)</f>
        <v>1.5</v>
      </c>
      <c r="G19" s="19" t="n">
        <v>0</v>
      </c>
      <c r="H19" s="19" t="n">
        <v>90</v>
      </c>
      <c r="I19" s="19" t="n">
        <v>80</v>
      </c>
      <c r="J19" s="29" t="n">
        <f aca="false">IF($E19="","",IF(UPPER(Assumptions!$B$6)="Y",$E19-$G19,$E19))</f>
        <v>49.62</v>
      </c>
      <c r="K19" s="29" t="n">
        <f aca="false">IF(OR($H19="",$J19=""),"",$H19-$J19)</f>
        <v>40.38</v>
      </c>
      <c r="L19" s="30" t="n">
        <f aca="false">IF(OR($K19="",$H19=""),"",IFERROR($K19/$H19,""))</f>
        <v>0.448666666666667</v>
      </c>
      <c r="M19" s="29" t="n">
        <f aca="false">IF($E19="","",IF(UPPER(Assumptions!$B$7)="Y",$E19-$G19,$E19))</f>
        <v>49.62</v>
      </c>
      <c r="N19" s="29" t="n">
        <f aca="false">IF(OR($I19="",$M19=""),"",$I19-$M19)</f>
        <v>30.38</v>
      </c>
      <c r="O19" s="30" t="n">
        <f aca="false">IF(OR($N19="",$I19=""),"",IFERROR($N19/$I19,""))</f>
        <v>0.37975</v>
      </c>
      <c r="P19" s="30" t="n">
        <f aca="false">IF(OR($L19="",'Current Pricing'!$J$19=""),"",$L19-'Current Pricing'!$J$19)</f>
        <v>-0.0166666666666667</v>
      </c>
      <c r="Q19" s="30" t="n">
        <f aca="false">IF(OR($O19="",'Current Pricing'!$M$19=""),"",$O19-'Current Pricing'!$M$19)</f>
        <v>-0.01875</v>
      </c>
      <c r="R19" s="29" t="n">
        <f aca="false">IF(OR($H19="",$I19=""),"",$I19-$H19)</f>
        <v>-10</v>
      </c>
      <c r="S19" s="31" t="s">
        <v>107</v>
      </c>
    </row>
    <row r="20" customFormat="false" ht="19.4" hidden="false" customHeight="false" outlineLevel="0" collapsed="false">
      <c r="A20" s="27" t="s">
        <v>88</v>
      </c>
      <c r="B20" s="28" t="n">
        <v>5.2</v>
      </c>
      <c r="C20" s="27" t="s">
        <v>84</v>
      </c>
      <c r="D20" s="34" t="n">
        <f aca="false">'Current Pricing'!$D$20</f>
        <v>48.12</v>
      </c>
      <c r="E20" s="19" t="n">
        <v>49.62</v>
      </c>
      <c r="F20" s="29" t="n">
        <f aca="false">IF(OR($D20="",$E20=""),"",$E20-$D20)</f>
        <v>1.5</v>
      </c>
      <c r="G20" s="19" t="n">
        <v>9</v>
      </c>
      <c r="H20" s="19" t="n">
        <v>79</v>
      </c>
      <c r="I20" s="19" t="n">
        <v>61</v>
      </c>
      <c r="J20" s="29" t="n">
        <f aca="false">IF($E20="","",IF(UPPER(Assumptions!$B$6)="Y",$E20-$G20,$E20))</f>
        <v>49.62</v>
      </c>
      <c r="K20" s="29" t="n">
        <f aca="false">IF(OR($H20="",$J20=""),"",$H20-$J20)</f>
        <v>29.38</v>
      </c>
      <c r="L20" s="30" t="n">
        <f aca="false">IF(OR($K20="",$H20=""),"",IFERROR($K20/$H20,""))</f>
        <v>0.371898734177215</v>
      </c>
      <c r="M20" s="29" t="n">
        <f aca="false">IF($E20="","",IF(UPPER(Assumptions!$B$7)="Y",$E20-$G20,$E20))</f>
        <v>40.62</v>
      </c>
      <c r="N20" s="29" t="n">
        <f aca="false">IF(OR($I20="",$M20=""),"",$I20-$M20)</f>
        <v>20.38</v>
      </c>
      <c r="O20" s="30" t="n">
        <f aca="false">IF(OR($N20="",$I20=""),"",IFERROR($N20/$I20,""))</f>
        <v>0.334098360655738</v>
      </c>
      <c r="P20" s="30" t="n">
        <f aca="false">IF(OR($L20="",'Current Pricing'!$J$20=""),"",$L20-'Current Pricing'!$J$20)</f>
        <v>-0.00316620088771991</v>
      </c>
      <c r="Q20" s="30" t="n">
        <f aca="false">IF(OR($O20="",'Current Pricing'!$M$20=""),"",$O20-'Current Pricing'!$M$20)</f>
        <v>0.00858111927642735</v>
      </c>
      <c r="R20" s="29" t="n">
        <f aca="false">IF(OR($H20="",$I20=""),"",$I20-$H20)</f>
        <v>-18</v>
      </c>
      <c r="S20" s="31" t="s">
        <v>110</v>
      </c>
    </row>
    <row r="21" customFormat="false" ht="19.4" hidden="false" customHeight="false" outlineLevel="0" collapsed="false">
      <c r="A21" s="16" t="s">
        <v>91</v>
      </c>
      <c r="B21" s="17" t="n">
        <v>15.5</v>
      </c>
      <c r="C21" s="18" t="s">
        <v>81</v>
      </c>
      <c r="D21" s="32" t="n">
        <f aca="false">'Current Pricing'!$D$21</f>
        <v>114.61</v>
      </c>
      <c r="E21" s="19" t="n">
        <v>117.11</v>
      </c>
      <c r="F21" s="20" t="n">
        <f aca="false">IF(OR($D21="",$E21=""),"",$E21-$D21)</f>
        <v>2.5</v>
      </c>
      <c r="G21" s="19" t="n">
        <v>0</v>
      </c>
      <c r="H21" s="19" t="n">
        <v>182</v>
      </c>
      <c r="I21" s="19" t="n">
        <v>156</v>
      </c>
      <c r="J21" s="20" t="n">
        <f aca="false">IF($E21="","",IF(UPPER(Assumptions!$B$6)="Y",$E21-$G21,$E21))</f>
        <v>117.11</v>
      </c>
      <c r="K21" s="20" t="n">
        <f aca="false">IF(OR($H21="",$J21=""),"",$H21-$J21)</f>
        <v>64.89</v>
      </c>
      <c r="L21" s="21" t="n">
        <f aca="false">IF(OR($K21="",$H21=""),"",IFERROR($K21/$H21,""))</f>
        <v>0.356538461538462</v>
      </c>
      <c r="M21" s="20" t="n">
        <f aca="false">IF($E21="","",IF(UPPER(Assumptions!$B$7)="Y",$E21-$G21,$E21))</f>
        <v>117.11</v>
      </c>
      <c r="N21" s="20" t="n">
        <f aca="false">IF(OR($I21="",$M21=""),"",$I21-$M21)</f>
        <v>38.89</v>
      </c>
      <c r="O21" s="21" t="n">
        <f aca="false">IF(OR($N21="",$I21=""),"",IFERROR($N21/$I21,""))</f>
        <v>0.249294871794872</v>
      </c>
      <c r="P21" s="21" t="n">
        <f aca="false">IF(OR($L21="",'Current Pricing'!$J$21=""),"",$L21-'Current Pricing'!$J$21)</f>
        <v>-0.0137362637362637</v>
      </c>
      <c r="Q21" s="21" t="n">
        <f aca="false">IF(OR($O21="",'Current Pricing'!$M$21=""),"",$O21-'Current Pricing'!$M$21)</f>
        <v>-0.016025641025641</v>
      </c>
      <c r="R21" s="20" t="n">
        <f aca="false">IF(OR($H21="",$I21=""),"",$I21-$H21)</f>
        <v>-26</v>
      </c>
      <c r="S21" s="22" t="s">
        <v>107</v>
      </c>
    </row>
    <row r="22" customFormat="false" ht="19.4" hidden="false" customHeight="false" outlineLevel="0" collapsed="false">
      <c r="A22" s="9" t="s">
        <v>91</v>
      </c>
      <c r="B22" s="23" t="n">
        <v>15.5</v>
      </c>
      <c r="C22" s="9" t="s">
        <v>82</v>
      </c>
      <c r="D22" s="33" t="n">
        <f aca="false">'Current Pricing'!$D$22</f>
        <v>114.61</v>
      </c>
      <c r="E22" s="19" t="n">
        <v>117.11</v>
      </c>
      <c r="F22" s="24" t="n">
        <f aca="false">IF(OR($D22="",$E22=""),"",$E22-$D22)</f>
        <v>2.5</v>
      </c>
      <c r="G22" s="19" t="n">
        <v>0</v>
      </c>
      <c r="H22" s="19" t="n">
        <v>200</v>
      </c>
      <c r="I22" s="19" t="n">
        <v>189</v>
      </c>
      <c r="J22" s="24" t="n">
        <f aca="false">IF($E22="","",IF(UPPER(Assumptions!$B$6)="Y",$E22-$G22,$E22))</f>
        <v>117.11</v>
      </c>
      <c r="K22" s="24" t="n">
        <f aca="false">IF(OR($H22="",$J22=""),"",$H22-$J22)</f>
        <v>82.89</v>
      </c>
      <c r="L22" s="25" t="n">
        <f aca="false">IF(OR($K22="",$H22=""),"",IFERROR($K22/$H22,""))</f>
        <v>0.41445</v>
      </c>
      <c r="M22" s="24" t="n">
        <f aca="false">IF($E22="","",IF(UPPER(Assumptions!$B$7)="Y",$E22-$G22,$E22))</f>
        <v>117.11</v>
      </c>
      <c r="N22" s="24" t="n">
        <f aca="false">IF(OR($I22="",$M22=""),"",$I22-$M22)</f>
        <v>71.89</v>
      </c>
      <c r="O22" s="25" t="n">
        <f aca="false">IF(OR($N22="",$I22=""),"",IFERROR($N22/$I22,""))</f>
        <v>0.38037037037037</v>
      </c>
      <c r="P22" s="25" t="n">
        <f aca="false">IF(OR($L22="",'Current Pricing'!$J$22=""),"",$L22-'Current Pricing'!$J$22)</f>
        <v>-0.0125</v>
      </c>
      <c r="Q22" s="25" t="n">
        <f aca="false">IF(OR($O22="",'Current Pricing'!$M$22=""),"",$O22-'Current Pricing'!$M$22)</f>
        <v>-0.0132275132275133</v>
      </c>
      <c r="R22" s="24" t="n">
        <f aca="false">IF(OR($H22="",$I22=""),"",$I22-$H22)</f>
        <v>-11</v>
      </c>
      <c r="S22" s="26" t="s">
        <v>107</v>
      </c>
    </row>
    <row r="23" customFormat="false" ht="19.4" hidden="false" customHeight="false" outlineLevel="0" collapsed="false">
      <c r="A23" s="9" t="s">
        <v>91</v>
      </c>
      <c r="B23" s="23" t="n">
        <v>15.5</v>
      </c>
      <c r="C23" s="9" t="s">
        <v>83</v>
      </c>
      <c r="D23" s="33" t="n">
        <f aca="false">'Current Pricing'!$D$23</f>
        <v>114.61</v>
      </c>
      <c r="E23" s="19" t="n">
        <v>117.11</v>
      </c>
      <c r="F23" s="24" t="n">
        <f aca="false">IF(OR($D23="",$E23=""),"",$E23-$D23)</f>
        <v>2.5</v>
      </c>
      <c r="G23" s="19" t="n">
        <v>0</v>
      </c>
      <c r="H23" s="19" t="n">
        <v>207</v>
      </c>
      <c r="I23" s="19" t="n">
        <v>188</v>
      </c>
      <c r="J23" s="24" t="n">
        <f aca="false">IF($E23="","",IF(UPPER(Assumptions!$B$6)="Y",$E23-$G23,$E23))</f>
        <v>117.11</v>
      </c>
      <c r="K23" s="24" t="n">
        <f aca="false">IF(OR($H23="",$J23=""),"",$H23-$J23)</f>
        <v>89.89</v>
      </c>
      <c r="L23" s="25" t="n">
        <f aca="false">IF(OR($K23="",$H23=""),"",IFERROR($K23/$H23,""))</f>
        <v>0.434251207729469</v>
      </c>
      <c r="M23" s="24" t="n">
        <f aca="false">IF($E23="","",IF(UPPER(Assumptions!$B$7)="Y",$E23-$G23,$E23))</f>
        <v>117.11</v>
      </c>
      <c r="N23" s="24" t="n">
        <f aca="false">IF(OR($I23="",$M23=""),"",$I23-$M23)</f>
        <v>70.89</v>
      </c>
      <c r="O23" s="25" t="n">
        <f aca="false">IF(OR($N23="",$I23=""),"",IFERROR($N23/$I23,""))</f>
        <v>0.377074468085106</v>
      </c>
      <c r="P23" s="25" t="n">
        <f aca="false">IF(OR($L23="",'Current Pricing'!$J$23=""),"",$L23-'Current Pricing'!$J$23)</f>
        <v>-0.0120772946859903</v>
      </c>
      <c r="Q23" s="25" t="n">
        <f aca="false">IF(OR($O23="",'Current Pricing'!$M$23=""),"",$O23-'Current Pricing'!$M$23)</f>
        <v>-0.0132978723404256</v>
      </c>
      <c r="R23" s="24" t="n">
        <f aca="false">IF(OR($H23="",$I23=""),"",$I23-$H23)</f>
        <v>-19</v>
      </c>
      <c r="S23" s="26" t="s">
        <v>107</v>
      </c>
    </row>
    <row r="24" customFormat="false" ht="15" hidden="false" customHeight="false" outlineLevel="0" collapsed="false">
      <c r="A24" s="9" t="s">
        <v>91</v>
      </c>
      <c r="B24" s="23" t="n">
        <v>15.5</v>
      </c>
      <c r="C24" s="9" t="s">
        <v>84</v>
      </c>
      <c r="D24" s="33" t="n">
        <f aca="false">'Current Pricing'!$D$24</f>
        <v>114.61</v>
      </c>
      <c r="E24" s="19" t="n">
        <v>117.11</v>
      </c>
      <c r="F24" s="24" t="n">
        <f aca="false">IF(OR($D24="",$E24=""),"",$E24-$D24)</f>
        <v>2.5</v>
      </c>
      <c r="G24" s="19" t="n">
        <v>0</v>
      </c>
      <c r="H24" s="19" t="n">
        <v>190</v>
      </c>
      <c r="I24" s="19" t="n">
        <v>176</v>
      </c>
      <c r="J24" s="24" t="n">
        <f aca="false">IF($E24="","",IF(UPPER(Assumptions!$B$6)="Y",$E24-$G24,$E24))</f>
        <v>117.11</v>
      </c>
      <c r="K24" s="24" t="n">
        <f aca="false">IF(OR($H24="",$J24=""),"",$H24-$J24)</f>
        <v>72.89</v>
      </c>
      <c r="L24" s="25" t="n">
        <f aca="false">IF(OR($K24="",$H24=""),"",IFERROR($K24/$H24,""))</f>
        <v>0.383631578947368</v>
      </c>
      <c r="M24" s="24" t="n">
        <f aca="false">IF($E24="","",IF(UPPER(Assumptions!$B$7)="Y",$E24-$G24,$E24))</f>
        <v>117.11</v>
      </c>
      <c r="N24" s="24" t="n">
        <f aca="false">IF(OR($I24="",$M24=""),"",$I24-$M24)</f>
        <v>58.89</v>
      </c>
      <c r="O24" s="25" t="n">
        <f aca="false">IF(OR($N24="",$I24=""),"",IFERROR($N24/$I24,""))</f>
        <v>0.334602272727273</v>
      </c>
      <c r="P24" s="25" t="n">
        <f aca="false">IF(OR($L24="",'Current Pricing'!$J$24=""),"",$L24-'Current Pricing'!$J$24)</f>
        <v>0.00314509246088196</v>
      </c>
      <c r="Q24" s="25" t="n">
        <f aca="false">IF(OR($O24="",'Current Pricing'!$M$24=""),"",$O24-'Current Pricing'!$M$24)</f>
        <v>0.0127679532006455</v>
      </c>
      <c r="R24" s="24" t="n">
        <f aca="false">IF(OR($H24="",$I24=""),"",$I24-$H24)</f>
        <v>-14</v>
      </c>
      <c r="S24" s="26" t="s">
        <v>108</v>
      </c>
    </row>
    <row r="25" customFormat="false" ht="19.4" hidden="false" customHeight="false" outlineLevel="0" collapsed="false">
      <c r="A25" s="16" t="s">
        <v>92</v>
      </c>
      <c r="B25" s="17" t="n">
        <v>5.2</v>
      </c>
      <c r="C25" s="18" t="s">
        <v>81</v>
      </c>
      <c r="D25" s="32" t="n">
        <f aca="false">'Current Pricing'!$D$25</f>
        <v>48.12</v>
      </c>
      <c r="E25" s="19" t="n">
        <v>49.62</v>
      </c>
      <c r="F25" s="20" t="n">
        <f aca="false">IF(OR($D25="",$E25=""),"",$E25-$D25)</f>
        <v>1.5</v>
      </c>
      <c r="G25" s="19" t="n">
        <v>0</v>
      </c>
      <c r="H25" s="19" t="n">
        <v>75</v>
      </c>
      <c r="I25" s="19" t="n">
        <v>73</v>
      </c>
      <c r="J25" s="20" t="n">
        <f aca="false">IF($E25="","",IF(UPPER(Assumptions!$B$6)="Y",$E25-$G25,$E25))</f>
        <v>49.62</v>
      </c>
      <c r="K25" s="20" t="n">
        <f aca="false">IF(OR($H25="",$J25=""),"",$H25-$J25)</f>
        <v>25.38</v>
      </c>
      <c r="L25" s="21" t="n">
        <f aca="false">IF(OR($K25="",$H25=""),"",IFERROR($K25/$H25,""))</f>
        <v>0.3384</v>
      </c>
      <c r="M25" s="20" t="n">
        <f aca="false">IF($E25="","",IF(UPPER(Assumptions!$B$7)="Y",$E25-$G25,$E25))</f>
        <v>49.62</v>
      </c>
      <c r="N25" s="20" t="n">
        <f aca="false">IF(OR($I25="",$M25=""),"",$I25-$M25)</f>
        <v>23.38</v>
      </c>
      <c r="O25" s="21" t="n">
        <f aca="false">IF(OR($N25="",$I25=""),"",IFERROR($N25/$I25,""))</f>
        <v>0.32027397260274</v>
      </c>
      <c r="P25" s="21" t="n">
        <f aca="false">IF(OR($L25="",'Current Pricing'!$J$25=""),"",$L25-'Current Pricing'!$J$25)</f>
        <v>-0.02</v>
      </c>
      <c r="Q25" s="21" t="n">
        <f aca="false">IF(OR($O25="",'Current Pricing'!$M$25=""),"",$O25-'Current Pricing'!$M$25)</f>
        <v>-0.0205479452054794</v>
      </c>
      <c r="R25" s="20" t="n">
        <f aca="false">IF(OR($H25="",$I25=""),"",$I25-$H25)</f>
        <v>-2</v>
      </c>
      <c r="S25" s="22" t="s">
        <v>107</v>
      </c>
    </row>
    <row r="26" customFormat="false" ht="19.4" hidden="false" customHeight="false" outlineLevel="0" collapsed="false">
      <c r="A26" s="27" t="s">
        <v>92</v>
      </c>
      <c r="B26" s="28" t="n">
        <v>5.2</v>
      </c>
      <c r="C26" s="27" t="s">
        <v>82</v>
      </c>
      <c r="D26" s="34" t="n">
        <f aca="false">'Current Pricing'!$D$26</f>
        <v>48.12</v>
      </c>
      <c r="E26" s="19" t="n">
        <v>49.62</v>
      </c>
      <c r="F26" s="29" t="n">
        <f aca="false">IF(OR($D26="",$E26=""),"",$E26-$D26)</f>
        <v>1.5</v>
      </c>
      <c r="G26" s="19" t="n">
        <v>0</v>
      </c>
      <c r="H26" s="19" t="n">
        <v>95</v>
      </c>
      <c r="I26" s="19" t="n">
        <v>87</v>
      </c>
      <c r="J26" s="29" t="n">
        <f aca="false">IF($E26="","",IF(UPPER(Assumptions!$B$6)="Y",$E26-$G26,$E26))</f>
        <v>49.62</v>
      </c>
      <c r="K26" s="29" t="n">
        <f aca="false">IF(OR($H26="",$J26=""),"",$H26-$J26)</f>
        <v>45.38</v>
      </c>
      <c r="L26" s="30" t="n">
        <f aca="false">IF(OR($K26="",$H26=""),"",IFERROR($K26/$H26,""))</f>
        <v>0.477684210526316</v>
      </c>
      <c r="M26" s="29" t="n">
        <f aca="false">IF($E26="","",IF(UPPER(Assumptions!$B$7)="Y",$E26-$G26,$E26))</f>
        <v>49.62</v>
      </c>
      <c r="N26" s="29" t="n">
        <f aca="false">IF(OR($I26="",$M26=""),"",$I26-$M26)</f>
        <v>37.38</v>
      </c>
      <c r="O26" s="30" t="n">
        <f aca="false">IF(OR($N26="",$I26=""),"",IFERROR($N26/$I26,""))</f>
        <v>0.429655172413793</v>
      </c>
      <c r="P26" s="30" t="n">
        <f aca="false">IF(OR($L26="",'Current Pricing'!$J$26=""),"",$L26-'Current Pricing'!$J$26)</f>
        <v>-0.0157894736842105</v>
      </c>
      <c r="Q26" s="30" t="n">
        <f aca="false">IF(OR($O26="",'Current Pricing'!$M$26=""),"",$O26-'Current Pricing'!$M$26)</f>
        <v>-0.0172413793103448</v>
      </c>
      <c r="R26" s="29" t="n">
        <f aca="false">IF(OR($H26="",$I26=""),"",$I26-$H26)</f>
        <v>-8</v>
      </c>
      <c r="S26" s="31" t="s">
        <v>107</v>
      </c>
    </row>
    <row r="27" customFormat="false" ht="19.4" hidden="false" customHeight="false" outlineLevel="0" collapsed="false">
      <c r="A27" s="27" t="s">
        <v>92</v>
      </c>
      <c r="B27" s="28" t="n">
        <v>5.2</v>
      </c>
      <c r="C27" s="27" t="s">
        <v>83</v>
      </c>
      <c r="D27" s="34" t="n">
        <f aca="false">'Current Pricing'!$D$27</f>
        <v>48.12</v>
      </c>
      <c r="E27" s="19" t="n">
        <v>49.62</v>
      </c>
      <c r="F27" s="29" t="n">
        <f aca="false">IF(OR($D27="",$E27=""),"",$E27-$D27)</f>
        <v>1.5</v>
      </c>
      <c r="G27" s="19" t="n">
        <v>0</v>
      </c>
      <c r="H27" s="19" t="n">
        <v>90</v>
      </c>
      <c r="I27" s="19" t="n">
        <v>80</v>
      </c>
      <c r="J27" s="29" t="n">
        <f aca="false">IF($E27="","",IF(UPPER(Assumptions!$B$6)="Y",$E27-$G27,$E27))</f>
        <v>49.62</v>
      </c>
      <c r="K27" s="29" t="n">
        <f aca="false">IF(OR($H27="",$J27=""),"",$H27-$J27)</f>
        <v>40.38</v>
      </c>
      <c r="L27" s="30" t="n">
        <f aca="false">IF(OR($K27="",$H27=""),"",IFERROR($K27/$H27,""))</f>
        <v>0.448666666666667</v>
      </c>
      <c r="M27" s="29" t="n">
        <f aca="false">IF($E27="","",IF(UPPER(Assumptions!$B$7)="Y",$E27-$G27,$E27))</f>
        <v>49.62</v>
      </c>
      <c r="N27" s="29" t="n">
        <f aca="false">IF(OR($I27="",$M27=""),"",$I27-$M27)</f>
        <v>30.38</v>
      </c>
      <c r="O27" s="30" t="n">
        <f aca="false">IF(OR($N27="",$I27=""),"",IFERROR($N27/$I27,""))</f>
        <v>0.37975</v>
      </c>
      <c r="P27" s="30" t="n">
        <f aca="false">IF(OR($L27="",'Current Pricing'!$J$27=""),"",$L27-'Current Pricing'!$J$27)</f>
        <v>-0.0166666666666667</v>
      </c>
      <c r="Q27" s="30" t="n">
        <f aca="false">IF(OR($O27="",'Current Pricing'!$M$27=""),"",$O27-'Current Pricing'!$M$27)</f>
        <v>-0.01875</v>
      </c>
      <c r="R27" s="29" t="n">
        <f aca="false">IF(OR($H27="",$I27=""),"",$I27-$H27)</f>
        <v>-10</v>
      </c>
      <c r="S27" s="31" t="s">
        <v>107</v>
      </c>
    </row>
    <row r="28" customFormat="false" ht="15" hidden="false" customHeight="false" outlineLevel="0" collapsed="false">
      <c r="A28" s="27" t="s">
        <v>92</v>
      </c>
      <c r="B28" s="28" t="n">
        <v>5.2</v>
      </c>
      <c r="C28" s="27" t="s">
        <v>84</v>
      </c>
      <c r="D28" s="34" t="n">
        <f aca="false">'Current Pricing'!$D$28</f>
        <v>48.12</v>
      </c>
      <c r="E28" s="19" t="n">
        <v>49.62</v>
      </c>
      <c r="F28" s="29" t="n">
        <f aca="false">IF(OR($D28="",$E28=""),"",$E28-$D28)</f>
        <v>1.5</v>
      </c>
      <c r="G28" s="19" t="n">
        <v>0</v>
      </c>
      <c r="H28" s="19" t="n">
        <v>79</v>
      </c>
      <c r="I28" s="19" t="n">
        <v>76</v>
      </c>
      <c r="J28" s="29" t="n">
        <f aca="false">IF($E28="","",IF(UPPER(Assumptions!$B$6)="Y",$E28-$G28,$E28))</f>
        <v>49.62</v>
      </c>
      <c r="K28" s="29" t="n">
        <f aca="false">IF(OR($H28="",$J28=""),"",$H28-$J28)</f>
        <v>29.38</v>
      </c>
      <c r="L28" s="30" t="n">
        <f aca="false">IF(OR($K28="",$H28=""),"",IFERROR($K28/$H28,""))</f>
        <v>0.371898734177215</v>
      </c>
      <c r="M28" s="29" t="n">
        <f aca="false">IF($E28="","",IF(UPPER(Assumptions!$B$7)="Y",$E28-$G28,$E28))</f>
        <v>49.62</v>
      </c>
      <c r="N28" s="29" t="n">
        <f aca="false">IF(OR($I28="",$M28=""),"",$I28-$M28)</f>
        <v>26.38</v>
      </c>
      <c r="O28" s="30" t="n">
        <f aca="false">IF(OR($N28="",$I28=""),"",IFERROR($N28/$I28,""))</f>
        <v>0.347105263157895</v>
      </c>
      <c r="P28" s="30" t="n">
        <f aca="false">IF(OR($L28="",'Current Pricing'!$J$28=""),"",$L28-'Current Pricing'!$J$28)</f>
        <v>-0.00316620088771991</v>
      </c>
      <c r="Q28" s="30" t="n">
        <f aca="false">IF(OR($O28="",'Current Pricing'!$M$28=""),"",$O28-'Current Pricing'!$M$28)</f>
        <v>0.00628334534967556</v>
      </c>
      <c r="R28" s="29" t="n">
        <f aca="false">IF(OR($H28="",$I28=""),"",$I28-$H28)</f>
        <v>-3</v>
      </c>
      <c r="S28" s="31" t="s">
        <v>108</v>
      </c>
    </row>
    <row r="29" customFormat="false" ht="19.4" hidden="false" customHeight="false" outlineLevel="0" collapsed="false">
      <c r="A29" s="16" t="s">
        <v>93</v>
      </c>
      <c r="B29" s="17" t="n">
        <v>15.5</v>
      </c>
      <c r="C29" s="18" t="s">
        <v>81</v>
      </c>
      <c r="D29" s="32" t="n">
        <f aca="false">'Current Pricing'!$D$29</f>
        <v>121.95</v>
      </c>
      <c r="E29" s="19" t="n">
        <v>124.45</v>
      </c>
      <c r="F29" s="20" t="n">
        <f aca="false">IF(OR($D29="",$E29=""),"",$E29-$D29)</f>
        <v>2.5</v>
      </c>
      <c r="G29" s="19" t="n">
        <v>0</v>
      </c>
      <c r="H29" s="19" t="n">
        <v>185</v>
      </c>
      <c r="I29" s="19" t="n">
        <v>180</v>
      </c>
      <c r="J29" s="20" t="n">
        <f aca="false">IF($E29="","",IF(UPPER(Assumptions!$B$6)="Y",$E29-$G29,$E29))</f>
        <v>124.45</v>
      </c>
      <c r="K29" s="20" t="n">
        <f aca="false">IF(OR($H29="",$J29=""),"",$H29-$J29)</f>
        <v>60.55</v>
      </c>
      <c r="L29" s="21" t="n">
        <f aca="false">IF(OR($K29="",$H29=""),"",IFERROR($K29/$H29,""))</f>
        <v>0.327297297297297</v>
      </c>
      <c r="M29" s="20" t="n">
        <f aca="false">IF($E29="","",IF(UPPER(Assumptions!$B$7)="Y",$E29-$G29,$E29))</f>
        <v>124.45</v>
      </c>
      <c r="N29" s="20" t="n">
        <f aca="false">IF(OR($I29="",$M29=""),"",$I29-$M29)</f>
        <v>55.55</v>
      </c>
      <c r="O29" s="21" t="n">
        <f aca="false">IF(OR($N29="",$I29=""),"",IFERROR($N29/$I29,""))</f>
        <v>0.308611111111111</v>
      </c>
      <c r="P29" s="21" t="n">
        <f aca="false">IF(OR($L29="",'Current Pricing'!$J$29=""),"",$L29-'Current Pricing'!$J$29)</f>
        <v>-0.0135135135135135</v>
      </c>
      <c r="Q29" s="21" t="n">
        <f aca="false">IF(OR($O29="",'Current Pricing'!$M$29=""),"",$O29-'Current Pricing'!$M$29)</f>
        <v>-0.0138888888888889</v>
      </c>
      <c r="R29" s="20" t="n">
        <f aca="false">IF(OR($H29="",$I29=""),"",$I29-$H29)</f>
        <v>-5</v>
      </c>
      <c r="S29" s="22" t="s">
        <v>107</v>
      </c>
    </row>
    <row r="30" customFormat="false" ht="19.4" hidden="false" customHeight="false" outlineLevel="0" collapsed="false">
      <c r="A30" s="9" t="s">
        <v>93</v>
      </c>
      <c r="B30" s="23" t="n">
        <v>15.5</v>
      </c>
      <c r="C30" s="9" t="s">
        <v>82</v>
      </c>
      <c r="D30" s="33" t="n">
        <f aca="false">'Current Pricing'!$D$30</f>
        <v>121.95</v>
      </c>
      <c r="E30" s="19" t="n">
        <v>124.45</v>
      </c>
      <c r="F30" s="24" t="n">
        <f aca="false">IF(OR($D30="",$E30=""),"",$E30-$D30)</f>
        <v>2.5</v>
      </c>
      <c r="G30" s="19" t="n">
        <v>0</v>
      </c>
      <c r="H30" s="19" t="n">
        <v>209</v>
      </c>
      <c r="I30" s="19" t="n">
        <v>188</v>
      </c>
      <c r="J30" s="24" t="n">
        <f aca="false">IF($E30="","",IF(UPPER(Assumptions!$B$6)="Y",$E30-$G30,$E30))</f>
        <v>124.45</v>
      </c>
      <c r="K30" s="24" t="n">
        <f aca="false">IF(OR($H30="",$J30=""),"",$H30-$J30)</f>
        <v>84.55</v>
      </c>
      <c r="L30" s="25" t="n">
        <f aca="false">IF(OR($K30="",$H30=""),"",IFERROR($K30/$H30,""))</f>
        <v>0.404545454545455</v>
      </c>
      <c r="M30" s="24" t="n">
        <f aca="false">IF($E30="","",IF(UPPER(Assumptions!$B$7)="Y",$E30-$G30,$E30))</f>
        <v>124.45</v>
      </c>
      <c r="N30" s="24" t="n">
        <f aca="false">IF(OR($I30="",$M30=""),"",$I30-$M30)</f>
        <v>63.55</v>
      </c>
      <c r="O30" s="25" t="n">
        <f aca="false">IF(OR($N30="",$I30=""),"",IFERROR($N30/$I30,""))</f>
        <v>0.338031914893617</v>
      </c>
      <c r="P30" s="25" t="n">
        <f aca="false">IF(OR($L30="",'Current Pricing'!$J$30=""),"",$L30-'Current Pricing'!$J$30)</f>
        <v>-0.0119617224880383</v>
      </c>
      <c r="Q30" s="25" t="n">
        <f aca="false">IF(OR($O30="",'Current Pricing'!$M$30=""),"",$O30-'Current Pricing'!$M$30)</f>
        <v>-0.0132978723404255</v>
      </c>
      <c r="R30" s="24" t="n">
        <f aca="false">IF(OR($H30="",$I30=""),"",$I30-$H30)</f>
        <v>-21</v>
      </c>
      <c r="S30" s="26" t="s">
        <v>107</v>
      </c>
    </row>
    <row r="31" customFormat="false" ht="19.4" hidden="false" customHeight="false" outlineLevel="0" collapsed="false">
      <c r="A31" s="9" t="s">
        <v>93</v>
      </c>
      <c r="B31" s="23" t="n">
        <v>15.5</v>
      </c>
      <c r="C31" s="9" t="s">
        <v>83</v>
      </c>
      <c r="D31" s="33" t="n">
        <f aca="false">'Current Pricing'!$D$31</f>
        <v>121.95</v>
      </c>
      <c r="E31" s="19" t="n">
        <v>124.45</v>
      </c>
      <c r="F31" s="24" t="n">
        <f aca="false">IF(OR($D31="",$E31=""),"",$E31-$D31)</f>
        <v>2.5</v>
      </c>
      <c r="G31" s="19" t="n">
        <v>0</v>
      </c>
      <c r="H31" s="19" t="n">
        <v>203</v>
      </c>
      <c r="I31" s="19" t="n">
        <v>188</v>
      </c>
      <c r="J31" s="24" t="n">
        <f aca="false">IF($E31="","",IF(UPPER(Assumptions!$B$6)="Y",$E31-$G31,$E31))</f>
        <v>124.45</v>
      </c>
      <c r="K31" s="24" t="n">
        <f aca="false">IF(OR($H31="",$J31=""),"",$H31-$J31)</f>
        <v>78.55</v>
      </c>
      <c r="L31" s="25" t="n">
        <f aca="false">IF(OR($K31="",$H31=""),"",IFERROR($K31/$H31,""))</f>
        <v>0.386945812807882</v>
      </c>
      <c r="M31" s="24" t="n">
        <f aca="false">IF($E31="","",IF(UPPER(Assumptions!$B$7)="Y",$E31-$G31,$E31))</f>
        <v>124.45</v>
      </c>
      <c r="N31" s="24" t="n">
        <f aca="false">IF(OR($I31="",$M31=""),"",$I31-$M31)</f>
        <v>63.55</v>
      </c>
      <c r="O31" s="25" t="n">
        <f aca="false">IF(OR($N31="",$I31=""),"",IFERROR($N31/$I31,""))</f>
        <v>0.338031914893617</v>
      </c>
      <c r="P31" s="25" t="n">
        <f aca="false">IF(OR($L31="",'Current Pricing'!$J$31=""),"",$L31-'Current Pricing'!$J$31)</f>
        <v>-0.0123152709359606</v>
      </c>
      <c r="Q31" s="25" t="n">
        <f aca="false">IF(OR($O31="",'Current Pricing'!$M$31=""),"",$O31-'Current Pricing'!$M$31)</f>
        <v>-0.0132978723404255</v>
      </c>
      <c r="R31" s="24" t="n">
        <f aca="false">IF(OR($H31="",$I31=""),"",$I31-$H31)</f>
        <v>-15</v>
      </c>
      <c r="S31" s="26" t="s">
        <v>107</v>
      </c>
    </row>
    <row r="32" customFormat="false" ht="15" hidden="false" customHeight="false" outlineLevel="0" collapsed="false">
      <c r="A32" s="9" t="s">
        <v>93</v>
      </c>
      <c r="B32" s="23" t="n">
        <v>15.5</v>
      </c>
      <c r="C32" s="9" t="s">
        <v>84</v>
      </c>
      <c r="D32" s="33" t="n">
        <f aca="false">'Current Pricing'!$D$32</f>
        <v>121.95</v>
      </c>
      <c r="E32" s="19" t="n">
        <v>124.45</v>
      </c>
      <c r="F32" s="24" t="n">
        <f aca="false">IF(OR($D32="",$E32=""),"",$E32-$D32)</f>
        <v>2.5</v>
      </c>
      <c r="G32" s="19" t="n">
        <v>0</v>
      </c>
      <c r="H32" s="19" t="n">
        <v>194</v>
      </c>
      <c r="I32" s="19" t="n">
        <v>167</v>
      </c>
      <c r="J32" s="24" t="n">
        <f aca="false">IF($E32="","",IF(UPPER(Assumptions!$B$6)="Y",$E32-$G32,$E32))</f>
        <v>124.45</v>
      </c>
      <c r="K32" s="24" t="n">
        <f aca="false">IF(OR($H32="",$J32=""),"",$H32-$J32)</f>
        <v>69.55</v>
      </c>
      <c r="L32" s="25" t="n">
        <f aca="false">IF(OR($K32="",$H32=""),"",IFERROR($K32/$H32,""))</f>
        <v>0.358505154639175</v>
      </c>
      <c r="M32" s="24" t="n">
        <f aca="false">IF($E32="","",IF(UPPER(Assumptions!$B$7)="Y",$E32-$G32,$E32))</f>
        <v>124.45</v>
      </c>
      <c r="N32" s="24" t="n">
        <f aca="false">IF(OR($I32="",$M32=""),"",$I32-$M32)</f>
        <v>42.55</v>
      </c>
      <c r="O32" s="25" t="n">
        <f aca="false">IF(OR($N32="",$I32=""),"",IFERROR($N32/$I32,""))</f>
        <v>0.254790419161677</v>
      </c>
      <c r="P32" s="25" t="n">
        <f aca="false">IF(OR($L32="",'Current Pricing'!$J$32=""),"",$L32-'Current Pricing'!$J$32)</f>
        <v>0.00374324987727054</v>
      </c>
      <c r="Q32" s="25" t="n">
        <f aca="false">IF(OR($O32="",'Current Pricing'!$M$32=""),"",$O32-'Current Pricing'!$M$32)</f>
        <v>0.0122438353107449</v>
      </c>
      <c r="R32" s="24" t="n">
        <f aca="false">IF(OR($H32="",$I32=""),"",$I32-$H32)</f>
        <v>-27</v>
      </c>
      <c r="S32" s="26" t="s">
        <v>108</v>
      </c>
    </row>
    <row r="33" customFormat="false" ht="19.4" hidden="false" customHeight="false" outlineLevel="0" collapsed="false">
      <c r="A33" s="16" t="s">
        <v>94</v>
      </c>
      <c r="B33" s="17" t="n">
        <v>5.2</v>
      </c>
      <c r="C33" s="18" t="s">
        <v>81</v>
      </c>
      <c r="D33" s="32" t="n">
        <f aca="false">'Current Pricing'!$D$33</f>
        <v>59.68</v>
      </c>
      <c r="E33" s="19" t="n">
        <v>61.18</v>
      </c>
      <c r="F33" s="20" t="n">
        <f aca="false">IF(OR($D33="",$E33=""),"",$E33-$D33)</f>
        <v>1.5</v>
      </c>
      <c r="G33" s="19" t="n">
        <v>0</v>
      </c>
      <c r="H33" s="19" t="n">
        <v>90</v>
      </c>
      <c r="I33" s="19" t="n">
        <v>87</v>
      </c>
      <c r="J33" s="20" t="n">
        <f aca="false">IF($E33="","",IF(UPPER(Assumptions!$B$6)="Y",$E33-$G33,$E33))</f>
        <v>61.18</v>
      </c>
      <c r="K33" s="20" t="n">
        <f aca="false">IF(OR($H33="",$J33=""),"",$H33-$J33)</f>
        <v>28.82</v>
      </c>
      <c r="L33" s="21" t="n">
        <f aca="false">IF(OR($K33="",$H33=""),"",IFERROR($K33/$H33,""))</f>
        <v>0.320222222222222</v>
      </c>
      <c r="M33" s="20" t="n">
        <f aca="false">IF($E33="","",IF(UPPER(Assumptions!$B$7)="Y",$E33-$G33,$E33))</f>
        <v>61.18</v>
      </c>
      <c r="N33" s="20" t="n">
        <f aca="false">IF(OR($I33="",$M33=""),"",$I33-$M33)</f>
        <v>25.82</v>
      </c>
      <c r="O33" s="21" t="n">
        <f aca="false">IF(OR($N33="",$I33=""),"",IFERROR($N33/$I33,""))</f>
        <v>0.296781609195402</v>
      </c>
      <c r="P33" s="21" t="n">
        <f aca="false">IF(OR($L33="",'Current Pricing'!$J$33=""),"",$L33-'Current Pricing'!$J$33)</f>
        <v>-0.0166666666666667</v>
      </c>
      <c r="Q33" s="21" t="n">
        <f aca="false">IF(OR($O33="",'Current Pricing'!$M$33=""),"",$O33-'Current Pricing'!$M$33)</f>
        <v>-0.0172413793103448</v>
      </c>
      <c r="R33" s="20" t="n">
        <f aca="false">IF(OR($H33="",$I33=""),"",$I33-$H33)</f>
        <v>-3</v>
      </c>
      <c r="S33" s="22" t="s">
        <v>107</v>
      </c>
    </row>
    <row r="34" customFormat="false" ht="19.4" hidden="false" customHeight="false" outlineLevel="0" collapsed="false">
      <c r="A34" s="27" t="s">
        <v>94</v>
      </c>
      <c r="B34" s="28" t="n">
        <v>5.2</v>
      </c>
      <c r="C34" s="27" t="s">
        <v>82</v>
      </c>
      <c r="D34" s="34" t="n">
        <f aca="false">'Current Pricing'!$D$34</f>
        <v>59.68</v>
      </c>
      <c r="E34" s="19" t="n">
        <v>61.18</v>
      </c>
      <c r="F34" s="29" t="n">
        <f aca="false">IF(OR($D34="",$E34=""),"",$E34-$D34)</f>
        <v>1.5</v>
      </c>
      <c r="G34" s="19" t="n">
        <v>0</v>
      </c>
      <c r="H34" s="19" t="n">
        <v>97.5</v>
      </c>
      <c r="I34" s="19" t="n">
        <v>88.5</v>
      </c>
      <c r="J34" s="29" t="n">
        <f aca="false">IF($E34="","",IF(UPPER(Assumptions!$B$6)="Y",$E34-$G34,$E34))</f>
        <v>61.18</v>
      </c>
      <c r="K34" s="29" t="n">
        <f aca="false">IF(OR($H34="",$J34=""),"",$H34-$J34)</f>
        <v>36.32</v>
      </c>
      <c r="L34" s="30" t="n">
        <f aca="false">IF(OR($K34="",$H34=""),"",IFERROR($K34/$H34,""))</f>
        <v>0.372512820512821</v>
      </c>
      <c r="M34" s="29" t="n">
        <f aca="false">IF($E34="","",IF(UPPER(Assumptions!$B$7)="Y",$E34-$G34,$E34))</f>
        <v>61.18</v>
      </c>
      <c r="N34" s="29" t="n">
        <f aca="false">IF(OR($I34="",$M34=""),"",$I34-$M34)</f>
        <v>27.32</v>
      </c>
      <c r="O34" s="30" t="n">
        <f aca="false">IF(OR($N34="",$I34=""),"",IFERROR($N34/$I34,""))</f>
        <v>0.308700564971751</v>
      </c>
      <c r="P34" s="30" t="n">
        <f aca="false">IF(OR($L34="",'Current Pricing'!$J$34=""),"",$L34-'Current Pricing'!$J$34)</f>
        <v>-0.0153846153846154</v>
      </c>
      <c r="Q34" s="30" t="n">
        <f aca="false">IF(OR($O34="",'Current Pricing'!$M$34=""),"",$O34-'Current Pricing'!$M$34)</f>
        <v>-0.0169491525423729</v>
      </c>
      <c r="R34" s="29" t="n">
        <f aca="false">IF(OR($H34="",$I34=""),"",$I34-$H34)</f>
        <v>-9</v>
      </c>
      <c r="S34" s="31" t="s">
        <v>107</v>
      </c>
    </row>
    <row r="35" customFormat="false" ht="19.4" hidden="false" customHeight="false" outlineLevel="0" collapsed="false">
      <c r="A35" s="27" t="s">
        <v>94</v>
      </c>
      <c r="B35" s="28" t="n">
        <v>5.2</v>
      </c>
      <c r="C35" s="27" t="s">
        <v>83</v>
      </c>
      <c r="D35" s="34" t="n">
        <f aca="false">'Current Pricing'!$D$35</f>
        <v>59.68</v>
      </c>
      <c r="E35" s="19" t="n">
        <v>61.18</v>
      </c>
      <c r="F35" s="29" t="n">
        <f aca="false">IF(OR($D35="",$E35=""),"",$E35-$D35)</f>
        <v>1.5</v>
      </c>
      <c r="G35" s="19" t="n">
        <v>0</v>
      </c>
      <c r="H35" s="19" t="n">
        <v>98</v>
      </c>
      <c r="I35" s="19" t="n">
        <v>94</v>
      </c>
      <c r="J35" s="29" t="n">
        <f aca="false">IF($E35="","",IF(UPPER(Assumptions!$B$6)="Y",$E35-$G35,$E35))</f>
        <v>61.18</v>
      </c>
      <c r="K35" s="29" t="n">
        <f aca="false">IF(OR($H35="",$J35=""),"",$H35-$J35)</f>
        <v>36.82</v>
      </c>
      <c r="L35" s="30" t="n">
        <f aca="false">IF(OR($K35="",$H35=""),"",IFERROR($K35/$H35,""))</f>
        <v>0.375714285714286</v>
      </c>
      <c r="M35" s="29" t="n">
        <f aca="false">IF($E35="","",IF(UPPER(Assumptions!$B$7)="Y",$E35-$G35,$E35))</f>
        <v>61.18</v>
      </c>
      <c r="N35" s="29" t="n">
        <f aca="false">IF(OR($I35="",$M35=""),"",$I35-$M35)</f>
        <v>32.82</v>
      </c>
      <c r="O35" s="30" t="n">
        <f aca="false">IF(OR($N35="",$I35=""),"",IFERROR($N35/$I35,""))</f>
        <v>0.349148936170213</v>
      </c>
      <c r="P35" s="30" t="n">
        <f aca="false">IF(OR($L35="",'Current Pricing'!$J$35=""),"",$L35-'Current Pricing'!$J$35)</f>
        <v>-0.0153061224489796</v>
      </c>
      <c r="Q35" s="30" t="n">
        <f aca="false">IF(OR($O35="",'Current Pricing'!$M$35=""),"",$O35-'Current Pricing'!$M$35)</f>
        <v>-0.0159574468085106</v>
      </c>
      <c r="R35" s="29" t="n">
        <f aca="false">IF(OR($H35="",$I35=""),"",$I35-$H35)</f>
        <v>-4</v>
      </c>
      <c r="S35" s="31" t="s">
        <v>107</v>
      </c>
    </row>
    <row r="36" customFormat="false" ht="15" hidden="false" customHeight="false" outlineLevel="0" collapsed="false">
      <c r="A36" s="27" t="s">
        <v>94</v>
      </c>
      <c r="B36" s="28" t="n">
        <v>5.2</v>
      </c>
      <c r="C36" s="27" t="s">
        <v>84</v>
      </c>
      <c r="D36" s="34" t="n">
        <f aca="false">'Current Pricing'!$D$36</f>
        <v>59.68</v>
      </c>
      <c r="E36" s="19" t="n">
        <v>61.18</v>
      </c>
      <c r="F36" s="29" t="n">
        <f aca="false">IF(OR($D36="",$E36=""),"",$E36-$D36)</f>
        <v>1.5</v>
      </c>
      <c r="G36" s="19" t="n">
        <v>0</v>
      </c>
      <c r="H36" s="19" t="n">
        <v>92</v>
      </c>
      <c r="I36" s="19" t="n">
        <v>89</v>
      </c>
      <c r="J36" s="29" t="n">
        <f aca="false">IF($E36="","",IF(UPPER(Assumptions!$B$6)="Y",$E36-$G36,$E36))</f>
        <v>61.18</v>
      </c>
      <c r="K36" s="29" t="n">
        <f aca="false">IF(OR($H36="",$J36=""),"",$H36-$J36)</f>
        <v>30.82</v>
      </c>
      <c r="L36" s="30" t="n">
        <f aca="false">IF(OR($K36="",$H36=""),"",IFERROR($K36/$H36,""))</f>
        <v>0.335</v>
      </c>
      <c r="M36" s="29" t="n">
        <f aca="false">IF($E36="","",IF(UPPER(Assumptions!$B$7)="Y",$E36-$G36,$E36))</f>
        <v>61.18</v>
      </c>
      <c r="N36" s="29" t="n">
        <f aca="false">IF(OR($I36="",$M36=""),"",$I36-$M36)</f>
        <v>27.82</v>
      </c>
      <c r="O36" s="30" t="n">
        <f aca="false">IF(OR($N36="",$I36=""),"",IFERROR($N36/$I36,""))</f>
        <v>0.312584269662921</v>
      </c>
      <c r="P36" s="30" t="n">
        <f aca="false">IF(OR($L36="",'Current Pricing'!$J$36=""),"",$L36-'Current Pricing'!$J$36)</f>
        <v>0.0209770114942529</v>
      </c>
      <c r="Q36" s="30" t="n">
        <f aca="false">IF(OR($O36="",'Current Pricing'!$M$36=""),"",$O36-'Current Pricing'!$M$36)</f>
        <v>0.0316204142412346</v>
      </c>
      <c r="R36" s="29" t="n">
        <f aca="false">IF(OR($H36="",$I36=""),"",$I36-$H36)</f>
        <v>-3</v>
      </c>
      <c r="S36" s="31" t="s">
        <v>108</v>
      </c>
    </row>
    <row r="37" customFormat="false" ht="19.4" hidden="false" customHeight="false" outlineLevel="0" collapsed="false">
      <c r="A37" s="16" t="s">
        <v>95</v>
      </c>
      <c r="B37" s="17" t="n">
        <v>15.5</v>
      </c>
      <c r="C37" s="18" t="s">
        <v>81</v>
      </c>
      <c r="D37" s="32" t="n">
        <f aca="false">'Current Pricing'!$D$37</f>
        <v>114.11</v>
      </c>
      <c r="E37" s="19" t="n">
        <v>116.61</v>
      </c>
      <c r="F37" s="20" t="n">
        <f aca="false">IF(OR($D37="",$E37=""),"",$E37-$D37)</f>
        <v>2.5</v>
      </c>
      <c r="G37" s="19" t="n">
        <v>35.4</v>
      </c>
      <c r="H37" s="19" t="n">
        <v>168</v>
      </c>
      <c r="I37" s="19" t="n">
        <v>115</v>
      </c>
      <c r="J37" s="20" t="n">
        <f aca="false">IF($E37="","",IF(UPPER(Assumptions!$B$6)="Y",$E37-$G37,$E37))</f>
        <v>116.61</v>
      </c>
      <c r="K37" s="20" t="n">
        <f aca="false">IF(OR($H37="",$J37=""),"",$H37-$J37)</f>
        <v>51.39</v>
      </c>
      <c r="L37" s="21" t="n">
        <f aca="false">IF(OR($K37="",$H37=""),"",IFERROR($K37/$H37,""))</f>
        <v>0.305892857142857</v>
      </c>
      <c r="M37" s="20" t="n">
        <f aca="false">IF($E37="","",IF(UPPER(Assumptions!$B$7)="Y",$E37-$G37,$E37))</f>
        <v>81.21</v>
      </c>
      <c r="N37" s="20" t="n">
        <f aca="false">IF(OR($I37="",$M37=""),"",$I37-$M37)</f>
        <v>33.79</v>
      </c>
      <c r="O37" s="21" t="n">
        <f aca="false">IF(OR($N37="",$I37=""),"",IFERROR($N37/$I37,""))</f>
        <v>0.293826086956522</v>
      </c>
      <c r="P37" s="21" t="n">
        <f aca="false">IF(OR($L37="",'Current Pricing'!$J$37=""),"",$L37-'Current Pricing'!$J$37)</f>
        <v>-0.0148809523809524</v>
      </c>
      <c r="Q37" s="21" t="n">
        <f aca="false">IF(OR($O37="",'Current Pricing'!$M$37=""),"",$O37-'Current Pricing'!$M$37)</f>
        <v>-0.0217391304347826</v>
      </c>
      <c r="R37" s="20" t="n">
        <f aca="false">IF(OR($H37="",$I37=""),"",$I37-$H37)</f>
        <v>-53</v>
      </c>
      <c r="S37" s="22" t="s">
        <v>111</v>
      </c>
    </row>
    <row r="38" customFormat="false" ht="15" hidden="false" customHeight="false" outlineLevel="0" collapsed="false">
      <c r="A38" s="9" t="s">
        <v>95</v>
      </c>
      <c r="B38" s="23" t="n">
        <v>15.5</v>
      </c>
      <c r="C38" s="9" t="s">
        <v>82</v>
      </c>
      <c r="D38" s="33" t="n">
        <f aca="false">'Current Pricing'!$D$38</f>
        <v>114.11</v>
      </c>
      <c r="E38" s="19" t="n">
        <v>116.61</v>
      </c>
      <c r="F38" s="24" t="n">
        <f aca="false">IF(OR($D38="",$E38=""),"",$E38-$D38)</f>
        <v>2.5</v>
      </c>
      <c r="G38" s="19"/>
      <c r="H38" s="19"/>
      <c r="I38" s="19"/>
      <c r="J38" s="24" t="n">
        <f aca="false">IF($E38="","",IF(UPPER(Assumptions!$B$6)="Y",$E38-$G38,$E38))</f>
        <v>116.61</v>
      </c>
      <c r="K38" s="24" t="str">
        <f aca="false">IF(OR($H38="",$J38=""),"",$H38-$J38)</f>
        <v/>
      </c>
      <c r="L38" s="25" t="str">
        <f aca="false">IF(OR($K38="",$H38=""),"",IFERROR($K38/$H38,""))</f>
        <v/>
      </c>
      <c r="M38" s="24" t="n">
        <f aca="false">IF($E38="","",IF(UPPER(Assumptions!$B$7)="Y",$E38-$G38,$E38))</f>
        <v>116.61</v>
      </c>
      <c r="N38" s="24" t="str">
        <f aca="false">IF(OR($I38="",$M38=""),"",$I38-$M38)</f>
        <v/>
      </c>
      <c r="O38" s="25" t="str">
        <f aca="false">IF(OR($N38="",$I38=""),"",IFERROR($N38/$I38,""))</f>
        <v/>
      </c>
      <c r="P38" s="25" t="str">
        <f aca="false">IF(OR($L38="",'Current Pricing'!$J$38=""),"",$L38-'Current Pricing'!$J$38)</f>
        <v/>
      </c>
      <c r="Q38" s="25" t="str">
        <f aca="false">IF(OR($O38="",'Current Pricing'!$M$38=""),"",$O38-'Current Pricing'!$M$38)</f>
        <v/>
      </c>
      <c r="R38" s="24" t="str">
        <f aca="false">IF(OR($H38="",$I38=""),"",$I38-$H38)</f>
        <v/>
      </c>
      <c r="S38" s="26" t="s">
        <v>112</v>
      </c>
    </row>
    <row r="39" customFormat="false" ht="19.4" hidden="false" customHeight="false" outlineLevel="0" collapsed="false">
      <c r="A39" s="9" t="s">
        <v>95</v>
      </c>
      <c r="B39" s="23" t="n">
        <v>15.5</v>
      </c>
      <c r="C39" s="9" t="s">
        <v>83</v>
      </c>
      <c r="D39" s="33" t="n">
        <f aca="false">'Current Pricing'!$D$39</f>
        <v>114.11</v>
      </c>
      <c r="E39" s="19" t="n">
        <v>116.61</v>
      </c>
      <c r="F39" s="24" t="n">
        <f aca="false">IF(OR($D39="",$E39=""),"",$E39-$D39)</f>
        <v>2.5</v>
      </c>
      <c r="G39" s="19" t="n">
        <v>0</v>
      </c>
      <c r="H39" s="19" t="n">
        <v>207</v>
      </c>
      <c r="I39" s="19" t="n">
        <v>188</v>
      </c>
      <c r="J39" s="24" t="n">
        <f aca="false">IF($E39="","",IF(UPPER(Assumptions!$B$6)="Y",$E39-$G39,$E39))</f>
        <v>116.61</v>
      </c>
      <c r="K39" s="24" t="n">
        <f aca="false">IF(OR($H39="",$J39=""),"",$H39-$J39)</f>
        <v>90.39</v>
      </c>
      <c r="L39" s="25" t="n">
        <f aca="false">IF(OR($K39="",$H39=""),"",IFERROR($K39/$H39,""))</f>
        <v>0.436666666666667</v>
      </c>
      <c r="M39" s="24" t="n">
        <f aca="false">IF($E39="","",IF(UPPER(Assumptions!$B$7)="Y",$E39-$G39,$E39))</f>
        <v>116.61</v>
      </c>
      <c r="N39" s="24" t="n">
        <f aca="false">IF(OR($I39="",$M39=""),"",$I39-$M39)</f>
        <v>71.39</v>
      </c>
      <c r="O39" s="25" t="n">
        <f aca="false">IF(OR($N39="",$I39=""),"",IFERROR($N39/$I39,""))</f>
        <v>0.379734042553192</v>
      </c>
      <c r="P39" s="25" t="n">
        <f aca="false">IF(OR($L39="",'Current Pricing'!$J$39=""),"",$L39-'Current Pricing'!$J$39)</f>
        <v>-0.0120772946859903</v>
      </c>
      <c r="Q39" s="25" t="n">
        <f aca="false">IF(OR($O39="",'Current Pricing'!$M$39=""),"",$O39-'Current Pricing'!$M$39)</f>
        <v>-0.0132978723404256</v>
      </c>
      <c r="R39" s="24" t="n">
        <f aca="false">IF(OR($H39="",$I39=""),"",$I39-$H39)</f>
        <v>-19</v>
      </c>
      <c r="S39" s="26" t="s">
        <v>107</v>
      </c>
    </row>
    <row r="40" customFormat="false" ht="19.4" hidden="false" customHeight="false" outlineLevel="0" collapsed="false">
      <c r="A40" s="9" t="s">
        <v>95</v>
      </c>
      <c r="B40" s="23" t="n">
        <v>15.5</v>
      </c>
      <c r="C40" s="9" t="s">
        <v>84</v>
      </c>
      <c r="D40" s="33" t="n">
        <f aca="false">'Current Pricing'!$D$40</f>
        <v>114.11</v>
      </c>
      <c r="E40" s="19" t="n">
        <v>116.61</v>
      </c>
      <c r="F40" s="24" t="n">
        <f aca="false">IF(OR($D40="",$E40=""),"",$E40-$D40)</f>
        <v>2.5</v>
      </c>
      <c r="G40" s="19" t="n">
        <v>35.4</v>
      </c>
      <c r="H40" s="19" t="n">
        <v>189</v>
      </c>
      <c r="I40" s="19" t="n">
        <v>120</v>
      </c>
      <c r="J40" s="24" t="n">
        <f aca="false">IF($E40="","",IF(UPPER(Assumptions!$B$6)="Y",$E40-$G40,$E40))</f>
        <v>116.61</v>
      </c>
      <c r="K40" s="24" t="n">
        <f aca="false">IF(OR($H40="",$J40=""),"",$H40-$J40)</f>
        <v>72.39</v>
      </c>
      <c r="L40" s="25" t="n">
        <f aca="false">IF(OR($K40="",$H40=""),"",IFERROR($K40/$H40,""))</f>
        <v>0.383015873015873</v>
      </c>
      <c r="M40" s="24" t="n">
        <f aca="false">IF($E40="","",IF(UPPER(Assumptions!$B$7)="Y",$E40-$G40,$E40))</f>
        <v>81.21</v>
      </c>
      <c r="N40" s="24" t="n">
        <f aca="false">IF(OR($I40="",$M40=""),"",$I40-$M40)</f>
        <v>38.79</v>
      </c>
      <c r="O40" s="25" t="n">
        <f aca="false">IF(OR($N40="",$I40=""),"",IFERROR($N40/$I40,""))</f>
        <v>0.32325</v>
      </c>
      <c r="P40" s="25" t="n">
        <f aca="false">IF(OR($L40="",'Current Pricing'!$J$40=""),"",$L40-'Current Pricing'!$J$40)</f>
        <v>0.00317891649413388</v>
      </c>
      <c r="Q40" s="25" t="n">
        <f aca="false">IF(OR($O40="",'Current Pricing'!$M$40=""),"",$O40-'Current Pricing'!$M$40)</f>
        <v>0.00768478260869565</v>
      </c>
      <c r="R40" s="24" t="n">
        <f aca="false">IF(OR($H40="",$I40=""),"",$I40-$H40)</f>
        <v>-69</v>
      </c>
      <c r="S40" s="26" t="s">
        <v>113</v>
      </c>
    </row>
    <row r="41" customFormat="false" ht="19.4" hidden="false" customHeight="false" outlineLevel="0" collapsed="false">
      <c r="A41" s="16" t="s">
        <v>98</v>
      </c>
      <c r="B41" s="17" t="n">
        <v>5.2</v>
      </c>
      <c r="C41" s="18" t="s">
        <v>81</v>
      </c>
      <c r="D41" s="32" t="n">
        <f aca="false">'Current Pricing'!$D$41</f>
        <v>48.12</v>
      </c>
      <c r="E41" s="19" t="n">
        <v>49.62</v>
      </c>
      <c r="F41" s="20" t="n">
        <f aca="false">IF(OR($D41="",$E41=""),"",$E41-$D41)</f>
        <v>1.5</v>
      </c>
      <c r="G41" s="19" t="n">
        <v>0</v>
      </c>
      <c r="H41" s="19" t="n">
        <v>70</v>
      </c>
      <c r="I41" s="19" t="n">
        <v>68</v>
      </c>
      <c r="J41" s="20" t="n">
        <f aca="false">IF($E41="","",IF(UPPER(Assumptions!$B$6)="Y",$E41-$G41,$E41))</f>
        <v>49.62</v>
      </c>
      <c r="K41" s="20" t="n">
        <f aca="false">IF(OR($H41="",$J41=""),"",$H41-$J41)</f>
        <v>20.38</v>
      </c>
      <c r="L41" s="21" t="n">
        <f aca="false">IF(OR($K41="",$H41=""),"",IFERROR($K41/$H41,""))</f>
        <v>0.291142857142857</v>
      </c>
      <c r="M41" s="20" t="n">
        <f aca="false">IF($E41="","",IF(UPPER(Assumptions!$B$7)="Y",$E41-$G41,$E41))</f>
        <v>49.62</v>
      </c>
      <c r="N41" s="20" t="n">
        <f aca="false">IF(OR($I41="",$M41=""),"",$I41-$M41)</f>
        <v>18.38</v>
      </c>
      <c r="O41" s="21" t="n">
        <f aca="false">IF(OR($N41="",$I41=""),"",IFERROR($N41/$I41,""))</f>
        <v>0.270294117647059</v>
      </c>
      <c r="P41" s="21" t="n">
        <f aca="false">IF(OR($L41="",'Current Pricing'!$J$41=""),"",$L41-'Current Pricing'!$J$41)</f>
        <v>-0.0214285714285714</v>
      </c>
      <c r="Q41" s="21" t="n">
        <f aca="false">IF(OR($O41="",'Current Pricing'!$M$41=""),"",$O41-'Current Pricing'!$M$41)</f>
        <v>-0.0220588235294118</v>
      </c>
      <c r="R41" s="20" t="n">
        <f aca="false">IF(OR($H41="",$I41=""),"",$I41-$H41)</f>
        <v>-2</v>
      </c>
      <c r="S41" s="22" t="s">
        <v>107</v>
      </c>
    </row>
    <row r="42" customFormat="false" ht="19.4" hidden="false" customHeight="false" outlineLevel="0" collapsed="false">
      <c r="A42" s="27" t="s">
        <v>98</v>
      </c>
      <c r="B42" s="28" t="n">
        <v>5.2</v>
      </c>
      <c r="C42" s="27" t="s">
        <v>82</v>
      </c>
      <c r="D42" s="34" t="n">
        <f aca="false">'Current Pricing'!$D$42</f>
        <v>48.12</v>
      </c>
      <c r="E42" s="19" t="n">
        <v>49.62</v>
      </c>
      <c r="F42" s="29" t="n">
        <f aca="false">IF(OR($D42="",$E42=""),"",$E42-$D42)</f>
        <v>1.5</v>
      </c>
      <c r="G42" s="19" t="n">
        <v>0</v>
      </c>
      <c r="H42" s="19" t="n">
        <v>97.5</v>
      </c>
      <c r="I42" s="19" t="n">
        <v>88.5</v>
      </c>
      <c r="J42" s="29" t="n">
        <f aca="false">IF($E42="","",IF(UPPER(Assumptions!$B$6)="Y",$E42-$G42,$E42))</f>
        <v>49.62</v>
      </c>
      <c r="K42" s="29" t="n">
        <f aca="false">IF(OR($H42="",$J42=""),"",$H42-$J42)</f>
        <v>47.88</v>
      </c>
      <c r="L42" s="30" t="n">
        <f aca="false">IF(OR($K42="",$H42=""),"",IFERROR($K42/$H42,""))</f>
        <v>0.491076923076923</v>
      </c>
      <c r="M42" s="29" t="n">
        <f aca="false">IF($E42="","",IF(UPPER(Assumptions!$B$7)="Y",$E42-$G42,$E42))</f>
        <v>49.62</v>
      </c>
      <c r="N42" s="29" t="n">
        <f aca="false">IF(OR($I42="",$M42=""),"",$I42-$M42)</f>
        <v>38.88</v>
      </c>
      <c r="O42" s="30" t="n">
        <f aca="false">IF(OR($N42="",$I42=""),"",IFERROR($N42/$I42,""))</f>
        <v>0.439322033898305</v>
      </c>
      <c r="P42" s="30" t="n">
        <f aca="false">IF(OR($L42="",'Current Pricing'!$J$42=""),"",$L42-'Current Pricing'!$J$42)</f>
        <v>-0.0153846153846154</v>
      </c>
      <c r="Q42" s="30" t="n">
        <f aca="false">IF(OR($O42="",'Current Pricing'!$M$42=""),"",$O42-'Current Pricing'!$M$42)</f>
        <v>-0.0169491525423729</v>
      </c>
      <c r="R42" s="29" t="n">
        <f aca="false">IF(OR($H42="",$I42=""),"",$I42-$H42)</f>
        <v>-9</v>
      </c>
      <c r="S42" s="31" t="s">
        <v>107</v>
      </c>
    </row>
    <row r="43" customFormat="false" ht="19.4" hidden="false" customHeight="false" outlineLevel="0" collapsed="false">
      <c r="A43" s="27" t="s">
        <v>98</v>
      </c>
      <c r="B43" s="28" t="n">
        <v>5.2</v>
      </c>
      <c r="C43" s="27" t="s">
        <v>83</v>
      </c>
      <c r="D43" s="34" t="n">
        <f aca="false">'Current Pricing'!$D$43</f>
        <v>48.12</v>
      </c>
      <c r="E43" s="19" t="n">
        <v>49.62</v>
      </c>
      <c r="F43" s="29" t="n">
        <f aca="false">IF(OR($D43="",$E43=""),"",$E43-$D43)</f>
        <v>1.5</v>
      </c>
      <c r="G43" s="19" t="n">
        <v>0</v>
      </c>
      <c r="H43" s="19" t="n">
        <v>90</v>
      </c>
      <c r="I43" s="19" t="n">
        <v>80</v>
      </c>
      <c r="J43" s="29" t="n">
        <f aca="false">IF($E43="","",IF(UPPER(Assumptions!$B$6)="Y",$E43-$G43,$E43))</f>
        <v>49.62</v>
      </c>
      <c r="K43" s="29" t="n">
        <f aca="false">IF(OR($H43="",$J43=""),"",$H43-$J43)</f>
        <v>40.38</v>
      </c>
      <c r="L43" s="30" t="n">
        <f aca="false">IF(OR($K43="",$H43=""),"",IFERROR($K43/$H43,""))</f>
        <v>0.448666666666667</v>
      </c>
      <c r="M43" s="29" t="n">
        <f aca="false">IF($E43="","",IF(UPPER(Assumptions!$B$7)="Y",$E43-$G43,$E43))</f>
        <v>49.62</v>
      </c>
      <c r="N43" s="29" t="n">
        <f aca="false">IF(OR($I43="",$M43=""),"",$I43-$M43)</f>
        <v>30.38</v>
      </c>
      <c r="O43" s="30" t="n">
        <f aca="false">IF(OR($N43="",$I43=""),"",IFERROR($N43/$I43,""))</f>
        <v>0.37975</v>
      </c>
      <c r="P43" s="30" t="n">
        <f aca="false">IF(OR($L43="",'Current Pricing'!$J$43=""),"",$L43-'Current Pricing'!$J$43)</f>
        <v>-0.0166666666666667</v>
      </c>
      <c r="Q43" s="30" t="n">
        <f aca="false">IF(OR($O43="",'Current Pricing'!$M$43=""),"",$O43-'Current Pricing'!$M$43)</f>
        <v>-0.01875</v>
      </c>
      <c r="R43" s="29" t="n">
        <f aca="false">IF(OR($H43="",$I43=""),"",$I43-$H43)</f>
        <v>-10</v>
      </c>
      <c r="S43" s="31" t="s">
        <v>107</v>
      </c>
    </row>
    <row r="44" customFormat="false" ht="15" hidden="false" customHeight="false" outlineLevel="0" collapsed="false">
      <c r="A44" s="27" t="s">
        <v>98</v>
      </c>
      <c r="B44" s="28" t="n">
        <v>5.2</v>
      </c>
      <c r="C44" s="27" t="s">
        <v>84</v>
      </c>
      <c r="D44" s="34" t="n">
        <f aca="false">'Current Pricing'!$D$44</f>
        <v>48.12</v>
      </c>
      <c r="E44" s="19" t="n">
        <v>49.62</v>
      </c>
      <c r="F44" s="29" t="n">
        <f aca="false">IF(OR($D44="",$E44=""),"",$E44-$D44)</f>
        <v>1.5</v>
      </c>
      <c r="G44" s="19" t="n">
        <v>0</v>
      </c>
      <c r="H44" s="19" t="n">
        <v>79</v>
      </c>
      <c r="I44" s="19" t="n">
        <v>76</v>
      </c>
      <c r="J44" s="29" t="n">
        <f aca="false">IF($E44="","",IF(UPPER(Assumptions!$B$6)="Y",$E44-$G44,$E44))</f>
        <v>49.62</v>
      </c>
      <c r="K44" s="29" t="n">
        <f aca="false">IF(OR($H44="",$J44=""),"",$H44-$J44)</f>
        <v>29.38</v>
      </c>
      <c r="L44" s="30" t="n">
        <f aca="false">IF(OR($K44="",$H44=""),"",IFERROR($K44/$H44,""))</f>
        <v>0.371898734177215</v>
      </c>
      <c r="M44" s="29" t="n">
        <f aca="false">IF($E44="","",IF(UPPER(Assumptions!$B$7)="Y",$E44-$G44,$E44))</f>
        <v>49.62</v>
      </c>
      <c r="N44" s="29" t="n">
        <f aca="false">IF(OR($I44="",$M44=""),"",$I44-$M44)</f>
        <v>26.38</v>
      </c>
      <c r="O44" s="30" t="n">
        <f aca="false">IF(OR($N44="",$I44=""),"",IFERROR($N44/$I44,""))</f>
        <v>0.347105263157895</v>
      </c>
      <c r="P44" s="30" t="n">
        <f aca="false">IF(OR($L44="",'Current Pricing'!$J$44=""),"",$L44-'Current Pricing'!$J$44)</f>
        <v>-0.00316620088771991</v>
      </c>
      <c r="Q44" s="30" t="n">
        <f aca="false">IF(OR($O44="",'Current Pricing'!$M$44=""),"",$O44-'Current Pricing'!$M$44)</f>
        <v>0.0653142183817753</v>
      </c>
      <c r="R44" s="29" t="n">
        <f aca="false">IF(OR($H44="",$I44=""),"",$I44-$H44)</f>
        <v>-3</v>
      </c>
      <c r="S44" s="31" t="s">
        <v>108</v>
      </c>
    </row>
    <row r="46" customFormat="false" ht="15" hidden="false" customHeight="false" outlineLevel="0" collapsed="false">
      <c r="A46" s="2" t="s">
        <v>114</v>
      </c>
    </row>
  </sheetData>
  <autoFilter ref="A4:S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bottomRight" activeCell="C5" sqref="C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4" min="11" style="0" width="11"/>
  </cols>
  <sheetData>
    <row r="1" customFormat="false" ht="19.5" hidden="false" customHeight="tru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</row>
    <row r="5" customFormat="false" ht="15" hidden="false" customHeight="false" outlineLevel="0" collapsed="false">
      <c r="A5" s="2" t="s">
        <v>118</v>
      </c>
    </row>
    <row r="6" customFormat="false" ht="33.75" hidden="false" customHeight="true" outlineLevel="0" collapsed="false">
      <c r="A6" s="15" t="s">
        <v>63</v>
      </c>
      <c r="B6" s="15" t="s">
        <v>119</v>
      </c>
      <c r="C6" s="15" t="s">
        <v>120</v>
      </c>
      <c r="D6" s="15" t="s">
        <v>121</v>
      </c>
      <c r="E6" s="15" t="s">
        <v>122</v>
      </c>
      <c r="F6" s="15" t="s">
        <v>123</v>
      </c>
      <c r="G6" s="15" t="s">
        <v>124</v>
      </c>
      <c r="H6" s="15" t="s">
        <v>125</v>
      </c>
      <c r="I6" s="15" t="s">
        <v>126</v>
      </c>
      <c r="J6" s="15" t="s">
        <v>127</v>
      </c>
      <c r="K6" s="15" t="s">
        <v>128</v>
      </c>
      <c r="L6" s="15" t="s">
        <v>129</v>
      </c>
      <c r="M6" s="15" t="s">
        <v>130</v>
      </c>
      <c r="N6" s="15" t="s">
        <v>131</v>
      </c>
    </row>
    <row r="7" customFormat="false" ht="15" hidden="false" customHeight="false" outlineLevel="0" collapsed="false">
      <c r="A7" s="4" t="s">
        <v>80</v>
      </c>
      <c r="B7" s="23" t="n">
        <v>15.5</v>
      </c>
      <c r="C7" s="32" t="n">
        <f aca="false">IF('Current Pricing'!$F$5="","",'Current Pricing'!$F$5)</f>
        <v>185</v>
      </c>
      <c r="D7" s="35" t="n">
        <f aca="false">IF('Current Pricing'!$J$5="","",'Current Pricing'!$J$5)</f>
        <v>0.380486486486487</v>
      </c>
      <c r="E7" s="33" t="n">
        <f aca="false">IF('Current Pricing'!$F$6="","",'Current Pricing'!$F$6)</f>
        <v>209</v>
      </c>
      <c r="F7" s="36" t="n">
        <f aca="false">IF('Current Pricing'!$J$6="","",'Current Pricing'!$J$6)</f>
        <v>0.451626794258373</v>
      </c>
      <c r="G7" s="33" t="n">
        <f aca="false">IF('Current Pricing'!$F$7="","",'Current Pricing'!$F$7)</f>
        <v>207</v>
      </c>
      <c r="H7" s="36" t="n">
        <f aca="false">IF('Current Pricing'!$J$7="","",'Current Pricing'!$J$7)</f>
        <v>0.446328502415459</v>
      </c>
      <c r="I7" s="33" t="n">
        <f aca="false">IF('Current Pricing'!$F$8="","",'Current Pricing'!$F$8)</f>
        <v>185</v>
      </c>
      <c r="J7" s="36" t="n">
        <f aca="false">IF('Current Pricing'!$J$8="","",'Current Pricing'!$J$8)</f>
        <v>0.380486486486487</v>
      </c>
      <c r="K7" s="24" t="n">
        <f aca="false">IF(OR($C7="",$E7=""),"",$C7-$E7)</f>
        <v>-24</v>
      </c>
      <c r="L7" s="24" t="n">
        <f aca="false">IF(OR($C7="",$G7=""),"",$C7-$G7)</f>
        <v>-22</v>
      </c>
      <c r="M7" s="24" t="n">
        <f aca="false">IF(OR($C7="",$I7=""),"",$C7-$I7)</f>
        <v>0</v>
      </c>
      <c r="N7" s="25" t="n">
        <f aca="false">IF($D7="","",IFERROR($D7-AVERAGE($F7,$H7),""))</f>
        <v>-0.0684911618504296</v>
      </c>
    </row>
    <row r="8" customFormat="false" ht="15" hidden="false" customHeight="false" outlineLevel="0" collapsed="false">
      <c r="A8" s="37" t="s">
        <v>86</v>
      </c>
      <c r="B8" s="28" t="n">
        <v>5.2</v>
      </c>
      <c r="C8" s="32" t="n">
        <f aca="false">IF('Current Pricing'!$F$9="","",'Current Pricing'!$F$9)</f>
        <v>80</v>
      </c>
      <c r="D8" s="35" t="n">
        <f aca="false">IF('Current Pricing'!$J$9="","",'Current Pricing'!$J$9)</f>
        <v>0.3985</v>
      </c>
      <c r="E8" s="34" t="n">
        <f aca="false">IF('Current Pricing'!$F$10="","",'Current Pricing'!$F$10)</f>
        <v>97.5</v>
      </c>
      <c r="F8" s="38" t="n">
        <f aca="false">IF('Current Pricing'!$J$10="","",'Current Pricing'!$J$10)</f>
        <v>0.506461538461539</v>
      </c>
      <c r="G8" s="34" t="n">
        <f aca="false">IF('Current Pricing'!$F$11="","",'Current Pricing'!$F$11)</f>
        <v>90</v>
      </c>
      <c r="H8" s="38" t="n">
        <f aca="false">IF('Current Pricing'!$J$11="","",'Current Pricing'!$J$11)</f>
        <v>0.465333333333333</v>
      </c>
      <c r="I8" s="34" t="n">
        <f aca="false">IF('Current Pricing'!$F$12="","",'Current Pricing'!$F$12)</f>
        <v>73</v>
      </c>
      <c r="J8" s="38" t="n">
        <f aca="false">IF('Current Pricing'!$J$12="","",'Current Pricing'!$J$12)</f>
        <v>0.340821917808219</v>
      </c>
      <c r="K8" s="29" t="n">
        <f aca="false">IF(OR($C8="",$E8=""),"",$C8-$E8)</f>
        <v>-17.5</v>
      </c>
      <c r="L8" s="29" t="n">
        <f aca="false">IF(OR($C8="",$G8=""),"",$C8-$G8)</f>
        <v>-10</v>
      </c>
      <c r="M8" s="29" t="n">
        <f aca="false">IF(OR($C8="",$I8=""),"",$C8-$I8)</f>
        <v>7</v>
      </c>
      <c r="N8" s="30" t="n">
        <f aca="false">IF($D8="","",IFERROR($D8-AVERAGE($F8,$H8),""))</f>
        <v>-0.0873974358974359</v>
      </c>
    </row>
    <row r="9" customFormat="false" ht="15" hidden="false" customHeight="false" outlineLevel="0" collapsed="false">
      <c r="A9" s="4" t="s">
        <v>87</v>
      </c>
      <c r="B9" s="23" t="n">
        <v>15.5</v>
      </c>
      <c r="C9" s="32" t="n">
        <f aca="false">IF('Current Pricing'!$F$13="","",'Current Pricing'!$F$13)</f>
        <v>185</v>
      </c>
      <c r="D9" s="35" t="n">
        <f aca="false">IF('Current Pricing'!$J$13="","",'Current Pricing'!$J$13)</f>
        <v>0.383189189189189</v>
      </c>
      <c r="E9" s="33" t="n">
        <f aca="false">IF('Current Pricing'!$F$14="","",'Current Pricing'!$F$14)</f>
        <v>209</v>
      </c>
      <c r="F9" s="36" t="n">
        <f aca="false">IF('Current Pricing'!$J$14="","",'Current Pricing'!$J$14)</f>
        <v>0.454019138755981</v>
      </c>
      <c r="G9" s="33" t="n">
        <f aca="false">IF('Current Pricing'!$F$15="","",'Current Pricing'!$F$15)</f>
        <v>207</v>
      </c>
      <c r="H9" s="36" t="n">
        <f aca="false">IF('Current Pricing'!$J$15="","",'Current Pricing'!$J$15)</f>
        <v>0.448743961352657</v>
      </c>
      <c r="I9" s="33" t="n">
        <f aca="false">IF('Current Pricing'!$F$16="","",'Current Pricing'!$F$16)</f>
        <v>184</v>
      </c>
      <c r="J9" s="36" t="n">
        <f aca="false">IF('Current Pricing'!$J$16="","",'Current Pricing'!$J$16)</f>
        <v>0.379836956521739</v>
      </c>
      <c r="K9" s="24" t="n">
        <f aca="false">IF(OR($C9="",$E9=""),"",$C9-$E9)</f>
        <v>-24</v>
      </c>
      <c r="L9" s="24" t="n">
        <f aca="false">IF(OR($C9="",$G9=""),"",$C9-$G9)</f>
        <v>-22</v>
      </c>
      <c r="M9" s="24" t="n">
        <f aca="false">IF(OR($C9="",$I9=""),"",$C9-$I9)</f>
        <v>1</v>
      </c>
      <c r="N9" s="25" t="n">
        <f aca="false">IF($D9="","",IFERROR($D9-AVERAGE($F9,$H9),""))</f>
        <v>-0.0681923608651297</v>
      </c>
    </row>
    <row r="10" customFormat="false" ht="15" hidden="false" customHeight="false" outlineLevel="0" collapsed="false">
      <c r="A10" s="37" t="s">
        <v>88</v>
      </c>
      <c r="B10" s="28" t="n">
        <v>5.2</v>
      </c>
      <c r="C10" s="32" t="n">
        <f aca="false">IF('Current Pricing'!$F$17="","",'Current Pricing'!$F$17)</f>
        <v>77</v>
      </c>
      <c r="D10" s="35" t="n">
        <f aca="false">IF('Current Pricing'!$J$17="","",'Current Pricing'!$J$17)</f>
        <v>0.375064935064935</v>
      </c>
      <c r="E10" s="34" t="n">
        <f aca="false">IF('Current Pricing'!$F$18="","",'Current Pricing'!$F$18)</f>
        <v>97.5</v>
      </c>
      <c r="F10" s="38" t="n">
        <f aca="false">IF('Current Pricing'!$J$18="","",'Current Pricing'!$J$18)</f>
        <v>0.506461538461539</v>
      </c>
      <c r="G10" s="34" t="n">
        <f aca="false">IF('Current Pricing'!$F$19="","",'Current Pricing'!$F$19)</f>
        <v>90</v>
      </c>
      <c r="H10" s="38" t="n">
        <f aca="false">IF('Current Pricing'!$J$19="","",'Current Pricing'!$J$19)</f>
        <v>0.465333333333333</v>
      </c>
      <c r="I10" s="34" t="n">
        <f aca="false">IF('Current Pricing'!$F$20="","",'Current Pricing'!$F$20)</f>
        <v>77</v>
      </c>
      <c r="J10" s="38" t="n">
        <f aca="false">IF('Current Pricing'!$J$20="","",'Current Pricing'!$J$20)</f>
        <v>0.375064935064935</v>
      </c>
      <c r="K10" s="29" t="n">
        <f aca="false">IF(OR($C10="",$E10=""),"",$C10-$E10)</f>
        <v>-20.5</v>
      </c>
      <c r="L10" s="29" t="n">
        <f aca="false">IF(OR($C10="",$G10=""),"",$C10-$G10)</f>
        <v>-13</v>
      </c>
      <c r="M10" s="29" t="n">
        <f aca="false">IF(OR($C10="",$I10=""),"",$C10-$I10)</f>
        <v>0</v>
      </c>
      <c r="N10" s="30" t="n">
        <f aca="false">IF($D10="","",IFERROR($D10-AVERAGE($F10,$H10),""))</f>
        <v>-0.110832500832501</v>
      </c>
    </row>
    <row r="11" customFormat="false" ht="15" hidden="false" customHeight="false" outlineLevel="0" collapsed="false">
      <c r="A11" s="4" t="s">
        <v>91</v>
      </c>
      <c r="B11" s="23" t="n">
        <v>15.5</v>
      </c>
      <c r="C11" s="32" t="n">
        <f aca="false">IF('Current Pricing'!$F$21="","",'Current Pricing'!$F$21)</f>
        <v>182</v>
      </c>
      <c r="D11" s="35" t="n">
        <f aca="false">IF('Current Pricing'!$J$21="","",'Current Pricing'!$J$21)</f>
        <v>0.370274725274725</v>
      </c>
      <c r="E11" s="33" t="n">
        <f aca="false">IF('Current Pricing'!$F$22="","",'Current Pricing'!$F$22)</f>
        <v>200</v>
      </c>
      <c r="F11" s="36" t="n">
        <f aca="false">IF('Current Pricing'!$J$22="","",'Current Pricing'!$J$22)</f>
        <v>0.42695</v>
      </c>
      <c r="G11" s="33" t="n">
        <f aca="false">IF('Current Pricing'!$F$23="","",'Current Pricing'!$F$23)</f>
        <v>207</v>
      </c>
      <c r="H11" s="36" t="n">
        <f aca="false">IF('Current Pricing'!$J$23="","",'Current Pricing'!$J$23)</f>
        <v>0.446328502415459</v>
      </c>
      <c r="I11" s="33" t="n">
        <f aca="false">IF('Current Pricing'!$F$24="","",'Current Pricing'!$F$24)</f>
        <v>185</v>
      </c>
      <c r="J11" s="36" t="n">
        <f aca="false">IF('Current Pricing'!$J$24="","",'Current Pricing'!$J$24)</f>
        <v>0.380486486486487</v>
      </c>
      <c r="K11" s="24" t="n">
        <f aca="false">IF(OR($C11="",$E11=""),"",$C11-$E11)</f>
        <v>-18</v>
      </c>
      <c r="L11" s="24" t="n">
        <f aca="false">IF(OR($C11="",$G11=""),"",$C11-$G11)</f>
        <v>-25</v>
      </c>
      <c r="M11" s="24" t="n">
        <f aca="false">IF(OR($C11="",$I11=""),"",$C11-$I11)</f>
        <v>-3</v>
      </c>
      <c r="N11" s="25" t="n">
        <f aca="false">IF($D11="","",IFERROR($D11-AVERAGE($F11,$H11),""))</f>
        <v>-0.0663645259330042</v>
      </c>
    </row>
    <row r="12" customFormat="false" ht="15" hidden="false" customHeight="false" outlineLevel="0" collapsed="false">
      <c r="A12" s="37" t="s">
        <v>92</v>
      </c>
      <c r="B12" s="28" t="n">
        <v>5.2</v>
      </c>
      <c r="C12" s="32" t="n">
        <f aca="false">IF('Current Pricing'!$F$25="","",'Current Pricing'!$F$25)</f>
        <v>75</v>
      </c>
      <c r="D12" s="35" t="n">
        <f aca="false">IF('Current Pricing'!$J$25="","",'Current Pricing'!$J$25)</f>
        <v>0.3584</v>
      </c>
      <c r="E12" s="34" t="n">
        <f aca="false">IF('Current Pricing'!$F$26="","",'Current Pricing'!$F$26)</f>
        <v>95</v>
      </c>
      <c r="F12" s="38" t="n">
        <f aca="false">IF('Current Pricing'!$J$26="","",'Current Pricing'!$J$26)</f>
        <v>0.493473684210526</v>
      </c>
      <c r="G12" s="34" t="n">
        <f aca="false">IF('Current Pricing'!$F$27="","",'Current Pricing'!$F$27)</f>
        <v>90</v>
      </c>
      <c r="H12" s="38" t="n">
        <f aca="false">IF('Current Pricing'!$J$27="","",'Current Pricing'!$J$27)</f>
        <v>0.465333333333333</v>
      </c>
      <c r="I12" s="34" t="n">
        <f aca="false">IF('Current Pricing'!$F$28="","",'Current Pricing'!$F$28)</f>
        <v>77</v>
      </c>
      <c r="J12" s="38" t="n">
        <f aca="false">IF('Current Pricing'!$J$28="","",'Current Pricing'!$J$28)</f>
        <v>0.375064935064935</v>
      </c>
      <c r="K12" s="29" t="n">
        <f aca="false">IF(OR($C12="",$E12=""),"",$C12-$E12)</f>
        <v>-20</v>
      </c>
      <c r="L12" s="29" t="n">
        <f aca="false">IF(OR($C12="",$G12=""),"",$C12-$G12)</f>
        <v>-15</v>
      </c>
      <c r="M12" s="29" t="n">
        <f aca="false">IF(OR($C12="",$I12=""),"",$C12-$I12)</f>
        <v>-2</v>
      </c>
      <c r="N12" s="30" t="n">
        <f aca="false">IF($D12="","",IFERROR($D12-AVERAGE($F12,$H12),""))</f>
        <v>-0.12100350877193</v>
      </c>
    </row>
    <row r="13" customFormat="false" ht="15" hidden="false" customHeight="false" outlineLevel="0" collapsed="false">
      <c r="A13" s="4" t="s">
        <v>93</v>
      </c>
      <c r="B13" s="23" t="n">
        <v>15.5</v>
      </c>
      <c r="C13" s="32" t="n">
        <f aca="false">IF('Current Pricing'!$F$29="","",'Current Pricing'!$F$29)</f>
        <v>185</v>
      </c>
      <c r="D13" s="35" t="n">
        <f aca="false">IF('Current Pricing'!$J$29="","",'Current Pricing'!$J$29)</f>
        <v>0.340810810810811</v>
      </c>
      <c r="E13" s="33" t="n">
        <f aca="false">IF('Current Pricing'!$F$30="","",'Current Pricing'!$F$30)</f>
        <v>209</v>
      </c>
      <c r="F13" s="36" t="n">
        <f aca="false">IF('Current Pricing'!$J$30="","",'Current Pricing'!$J$30)</f>
        <v>0.416507177033493</v>
      </c>
      <c r="G13" s="33" t="n">
        <f aca="false">IF('Current Pricing'!$F$31="","",'Current Pricing'!$F$31)</f>
        <v>203</v>
      </c>
      <c r="H13" s="36" t="n">
        <f aca="false">IF('Current Pricing'!$J$31="","",'Current Pricing'!$J$31)</f>
        <v>0.399261083743842</v>
      </c>
      <c r="I13" s="33" t="n">
        <f aca="false">IF('Current Pricing'!$F$32="","",'Current Pricing'!$F$32)</f>
        <v>189</v>
      </c>
      <c r="J13" s="36" t="n">
        <f aca="false">IF('Current Pricing'!$J$32="","",'Current Pricing'!$J$32)</f>
        <v>0.354761904761905</v>
      </c>
      <c r="K13" s="24" t="n">
        <f aca="false">IF(OR($C13="",$E13=""),"",$C13-$E13)</f>
        <v>-24</v>
      </c>
      <c r="L13" s="24" t="n">
        <f aca="false">IF(OR($C13="",$G13=""),"",$C13-$G13)</f>
        <v>-18</v>
      </c>
      <c r="M13" s="24" t="n">
        <f aca="false">IF(OR($C13="",$I13=""),"",$C13-$I13)</f>
        <v>-4</v>
      </c>
      <c r="N13" s="25" t="n">
        <f aca="false">IF($D13="","",IFERROR($D13-AVERAGE($F13,$H13),""))</f>
        <v>-0.0670733195778568</v>
      </c>
    </row>
    <row r="14" customFormat="false" ht="15" hidden="false" customHeight="false" outlineLevel="0" collapsed="false">
      <c r="A14" s="37" t="s">
        <v>94</v>
      </c>
      <c r="B14" s="28" t="n">
        <v>5.2</v>
      </c>
      <c r="C14" s="32" t="n">
        <f aca="false">IF('Current Pricing'!$F$33="","",'Current Pricing'!$F$33)</f>
        <v>90</v>
      </c>
      <c r="D14" s="35" t="n">
        <f aca="false">IF('Current Pricing'!$J$33="","",'Current Pricing'!$J$33)</f>
        <v>0.336888888888889</v>
      </c>
      <c r="E14" s="34" t="n">
        <f aca="false">IF('Current Pricing'!$F$34="","",'Current Pricing'!$F$34)</f>
        <v>97.5</v>
      </c>
      <c r="F14" s="38" t="n">
        <f aca="false">IF('Current Pricing'!$J$34="","",'Current Pricing'!$J$34)</f>
        <v>0.387897435897436</v>
      </c>
      <c r="G14" s="34" t="n">
        <f aca="false">IF('Current Pricing'!$F$35="","",'Current Pricing'!$F$35)</f>
        <v>98</v>
      </c>
      <c r="H14" s="38" t="n">
        <f aca="false">IF('Current Pricing'!$J$35="","",'Current Pricing'!$J$35)</f>
        <v>0.391020408163265</v>
      </c>
      <c r="I14" s="34" t="n">
        <f aca="false">IF('Current Pricing'!$F$36="","",'Current Pricing'!$F$36)</f>
        <v>87</v>
      </c>
      <c r="J14" s="38" t="n">
        <f aca="false">IF('Current Pricing'!$J$36="","",'Current Pricing'!$J$36)</f>
        <v>0.314022988505747</v>
      </c>
      <c r="K14" s="29" t="n">
        <f aca="false">IF(OR($C14="",$E14=""),"",$C14-$E14)</f>
        <v>-7.5</v>
      </c>
      <c r="L14" s="29" t="n">
        <f aca="false">IF(OR($C14="",$G14=""),"",$C14-$G14)</f>
        <v>-8</v>
      </c>
      <c r="M14" s="29" t="n">
        <f aca="false">IF(OR($C14="",$I14=""),"",$C14-$I14)</f>
        <v>3</v>
      </c>
      <c r="N14" s="30" t="n">
        <f aca="false">IF($D14="","",IFERROR($D14-AVERAGE($F14,$H14),""))</f>
        <v>-0.0525700331414617</v>
      </c>
    </row>
    <row r="15" customFormat="false" ht="15" hidden="false" customHeight="false" outlineLevel="0" collapsed="false">
      <c r="A15" s="4" t="s">
        <v>95</v>
      </c>
      <c r="B15" s="23" t="n">
        <v>15.5</v>
      </c>
      <c r="C15" s="32" t="n">
        <f aca="false">IF('Current Pricing'!$F$37="","",'Current Pricing'!$F$37)</f>
        <v>168</v>
      </c>
      <c r="D15" s="35" t="n">
        <f aca="false">IF('Current Pricing'!$J$37="","",'Current Pricing'!$J$37)</f>
        <v>0.32077380952381</v>
      </c>
      <c r="E15" s="33" t="str">
        <f aca="false">IF('Current Pricing'!$F$38="","",'Current Pricing'!$F$38)</f>
        <v/>
      </c>
      <c r="F15" s="36" t="str">
        <f aca="false">IF('Current Pricing'!$J$38="","",'Current Pricing'!$J$38)</f>
        <v/>
      </c>
      <c r="G15" s="33" t="n">
        <f aca="false">IF('Current Pricing'!$F$39="","",'Current Pricing'!$F$39)</f>
        <v>207</v>
      </c>
      <c r="H15" s="36" t="n">
        <f aca="false">IF('Current Pricing'!$J$39="","",'Current Pricing'!$J$39)</f>
        <v>0.448743961352657</v>
      </c>
      <c r="I15" s="33" t="n">
        <f aca="false">IF('Current Pricing'!$F$40="","",'Current Pricing'!$F$40)</f>
        <v>184</v>
      </c>
      <c r="J15" s="36" t="n">
        <f aca="false">IF('Current Pricing'!$J$40="","",'Current Pricing'!$J$40)</f>
        <v>0.379836956521739</v>
      </c>
      <c r="K15" s="24" t="str">
        <f aca="false">IF(OR($C15="",$E15=""),"",$C15-$E15)</f>
        <v/>
      </c>
      <c r="L15" s="24" t="n">
        <f aca="false">IF(OR($C15="",$G15=""),"",$C15-$G15)</f>
        <v>-39</v>
      </c>
      <c r="M15" s="24" t="n">
        <f aca="false">IF(OR($C15="",$I15=""),"",$C15-$I15)</f>
        <v>-16</v>
      </c>
      <c r="N15" s="25" t="n">
        <f aca="false">IF($D15="","",IFERROR($D15-AVERAGE($F15,$H15),""))</f>
        <v>-0.127970151828847</v>
      </c>
    </row>
    <row r="16" customFormat="false" ht="15" hidden="false" customHeight="false" outlineLevel="0" collapsed="false">
      <c r="A16" s="37" t="s">
        <v>98</v>
      </c>
      <c r="B16" s="28" t="n">
        <v>5.2</v>
      </c>
      <c r="C16" s="32" t="n">
        <f aca="false">IF('Current Pricing'!$F$41="","",'Current Pricing'!$F$41)</f>
        <v>70</v>
      </c>
      <c r="D16" s="35" t="n">
        <f aca="false">IF('Current Pricing'!$J$41="","",'Current Pricing'!$J$41)</f>
        <v>0.312571428571429</v>
      </c>
      <c r="E16" s="34" t="n">
        <f aca="false">IF('Current Pricing'!$F$42="","",'Current Pricing'!$F$42)</f>
        <v>97.5</v>
      </c>
      <c r="F16" s="38" t="n">
        <f aca="false">IF('Current Pricing'!$J$42="","",'Current Pricing'!$J$42)</f>
        <v>0.506461538461539</v>
      </c>
      <c r="G16" s="34" t="n">
        <f aca="false">IF('Current Pricing'!$F$43="","",'Current Pricing'!$F$43)</f>
        <v>90</v>
      </c>
      <c r="H16" s="38" t="n">
        <f aca="false">IF('Current Pricing'!$J$43="","",'Current Pricing'!$J$43)</f>
        <v>0.465333333333333</v>
      </c>
      <c r="I16" s="34" t="n">
        <f aca="false">IF('Current Pricing'!$F$44="","",'Current Pricing'!$F$44)</f>
        <v>77</v>
      </c>
      <c r="J16" s="38" t="n">
        <f aca="false">IF('Current Pricing'!$J$44="","",'Current Pricing'!$J$44)</f>
        <v>0.375064935064935</v>
      </c>
      <c r="K16" s="29" t="n">
        <f aca="false">IF(OR($C16="",$E16=""),"",$C16-$E16)</f>
        <v>-27.5</v>
      </c>
      <c r="L16" s="29" t="n">
        <f aca="false">IF(OR($C16="",$G16=""),"",$C16-$G16)</f>
        <v>-20</v>
      </c>
      <c r="M16" s="29" t="n">
        <f aca="false">IF(OR($C16="",$I16=""),"",$C16-$I16)</f>
        <v>-7</v>
      </c>
      <c r="N16" s="30" t="n">
        <f aca="false">IF($D16="","",IFERROR($D16-AVERAGE($F16,$H16),""))</f>
        <v>-0.173326007326007</v>
      </c>
    </row>
    <row r="19" customFormat="false" ht="15" hidden="false" customHeight="false" outlineLevel="0" collapsed="false">
      <c r="A19" s="3" t="s">
        <v>132</v>
      </c>
    </row>
    <row r="20" customFormat="false" ht="15" hidden="false" customHeight="false" outlineLevel="0" collapsed="false">
      <c r="A20" s="2" t="s">
        <v>133</v>
      </c>
    </row>
    <row r="21" customFormat="false" ht="33.75" hidden="false" customHeight="true" outlineLevel="0" collapsed="false">
      <c r="A21" s="15" t="s">
        <v>63</v>
      </c>
      <c r="B21" s="15" t="s">
        <v>119</v>
      </c>
      <c r="C21" s="15" t="s">
        <v>120</v>
      </c>
      <c r="D21" s="15" t="s">
        <v>121</v>
      </c>
      <c r="E21" s="15" t="s">
        <v>122</v>
      </c>
      <c r="F21" s="15" t="s">
        <v>123</v>
      </c>
      <c r="G21" s="15" t="s">
        <v>124</v>
      </c>
      <c r="H21" s="15" t="s">
        <v>125</v>
      </c>
      <c r="I21" s="15" t="s">
        <v>126</v>
      </c>
      <c r="J21" s="15" t="s">
        <v>127</v>
      </c>
      <c r="K21" s="15" t="s">
        <v>128</v>
      </c>
      <c r="L21" s="15" t="s">
        <v>129</v>
      </c>
      <c r="M21" s="15" t="s">
        <v>130</v>
      </c>
      <c r="N21" s="15" t="s">
        <v>131</v>
      </c>
    </row>
    <row r="22" customFormat="false" ht="15" hidden="false" customHeight="false" outlineLevel="0" collapsed="false">
      <c r="A22" s="4" t="s">
        <v>80</v>
      </c>
      <c r="B22" s="23" t="n">
        <v>15.5</v>
      </c>
      <c r="C22" s="32" t="n">
        <f aca="false">IF('Current Pricing'!$G$5="","",'Current Pricing'!$G$5)</f>
        <v>175</v>
      </c>
      <c r="D22" s="35" t="n">
        <f aca="false">IF('Current Pricing'!$M$5="","",'Current Pricing'!$M$5)</f>
        <v>0.345085714285714</v>
      </c>
      <c r="E22" s="33" t="n">
        <f aca="false">IF('Current Pricing'!$G$6="","",'Current Pricing'!$G$6)</f>
        <v>188</v>
      </c>
      <c r="F22" s="36" t="n">
        <f aca="false">IF('Current Pricing'!$M$6="","",'Current Pricing'!$M$6)</f>
        <v>0.390372340425532</v>
      </c>
      <c r="G22" s="33" t="n">
        <f aca="false">IF('Current Pricing'!$G$7="","",'Current Pricing'!$G$7)</f>
        <v>188</v>
      </c>
      <c r="H22" s="36" t="n">
        <f aca="false">IF('Current Pricing'!$M$7="","",'Current Pricing'!$M$7)</f>
        <v>0.390372340425532</v>
      </c>
      <c r="I22" s="33" t="n">
        <f aca="false">IF('Current Pricing'!$G$8="","",'Current Pricing'!$G$8)</f>
        <v>169</v>
      </c>
      <c r="J22" s="36" t="n">
        <f aca="false">IF('Current Pricing'!$M$8="","",'Current Pricing'!$M$8)</f>
        <v>0.321834319526627</v>
      </c>
      <c r="K22" s="24" t="n">
        <f aca="false">IF(OR($C22="",$E22=""),"",$C22-$E22)</f>
        <v>-13</v>
      </c>
      <c r="L22" s="24" t="n">
        <f aca="false">IF(OR($C22="",$G22=""),"",$C22-$G22)</f>
        <v>-13</v>
      </c>
      <c r="M22" s="24" t="n">
        <f aca="false">IF(OR($C22="",$I22=""),"",$C22-$I22)</f>
        <v>6</v>
      </c>
      <c r="N22" s="25" t="n">
        <f aca="false">IF($D22="","",IFERROR($D22-AVERAGE($F22,$H22),""))</f>
        <v>-0.0452866261398177</v>
      </c>
    </row>
    <row r="23" customFormat="false" ht="15" hidden="false" customHeight="false" outlineLevel="0" collapsed="false">
      <c r="A23" s="37" t="s">
        <v>86</v>
      </c>
      <c r="B23" s="28" t="n">
        <v>5.2</v>
      </c>
      <c r="C23" s="32" t="n">
        <f aca="false">IF('Current Pricing'!$G$9="","",'Current Pricing'!$G$9)</f>
        <v>78</v>
      </c>
      <c r="D23" s="35" t="n">
        <f aca="false">IF('Current Pricing'!$M$9="","",'Current Pricing'!$M$9)</f>
        <v>0.383076923076923</v>
      </c>
      <c r="E23" s="34" t="n">
        <f aca="false">IF('Current Pricing'!$G$10="","",'Current Pricing'!$G$10)</f>
        <v>88.5</v>
      </c>
      <c r="F23" s="38" t="n">
        <f aca="false">IF('Current Pricing'!$M$10="","",'Current Pricing'!$M$10)</f>
        <v>0.456271186440678</v>
      </c>
      <c r="G23" s="34" t="n">
        <f aca="false">IF('Current Pricing'!$G$11="","",'Current Pricing'!$G$11)</f>
        <v>80</v>
      </c>
      <c r="H23" s="38" t="n">
        <f aca="false">IF('Current Pricing'!$M$11="","",'Current Pricing'!$M$11)</f>
        <v>0.3985</v>
      </c>
      <c r="I23" s="34" t="n">
        <f aca="false">IF('Current Pricing'!$G$12="","",'Current Pricing'!$G$12)</f>
        <v>63</v>
      </c>
      <c r="J23" s="38" t="n">
        <f aca="false">IF('Current Pricing'!$M$12="","",'Current Pricing'!$M$12)</f>
        <v>0.236190476190476</v>
      </c>
      <c r="K23" s="29" t="n">
        <f aca="false">IF(OR($C23="",$E23=""),"",$C23-$E23)</f>
        <v>-10.5</v>
      </c>
      <c r="L23" s="29" t="n">
        <f aca="false">IF(OR($C23="",$G23=""),"",$C23-$G23)</f>
        <v>-2</v>
      </c>
      <c r="M23" s="29" t="n">
        <f aca="false">IF(OR($C23="",$I23=""),"",$C23-$I23)</f>
        <v>15</v>
      </c>
      <c r="N23" s="30" t="n">
        <f aca="false">IF($D23="","",IFERROR($D23-AVERAGE($F23,$H23),""))</f>
        <v>-0.0443086701434159</v>
      </c>
    </row>
    <row r="24" customFormat="false" ht="15" hidden="false" customHeight="false" outlineLevel="0" collapsed="false">
      <c r="A24" s="4" t="s">
        <v>87</v>
      </c>
      <c r="B24" s="23" t="n">
        <v>15.5</v>
      </c>
      <c r="C24" s="32" t="n">
        <f aca="false">IF('Current Pricing'!$G$13="","",'Current Pricing'!$G$13)</f>
        <v>175</v>
      </c>
      <c r="D24" s="35" t="n">
        <f aca="false">IF('Current Pricing'!$M$13="","",'Current Pricing'!$M$13)</f>
        <v>0.347942857142857</v>
      </c>
      <c r="E24" s="33" t="n">
        <f aca="false">IF('Current Pricing'!$G$14="","",'Current Pricing'!$G$14)</f>
        <v>188</v>
      </c>
      <c r="F24" s="36" t="n">
        <f aca="false">IF('Current Pricing'!$M$14="","",'Current Pricing'!$M$14)</f>
        <v>0.393031914893617</v>
      </c>
      <c r="G24" s="33" t="n">
        <f aca="false">IF('Current Pricing'!$G$15="","",'Current Pricing'!$G$15)</f>
        <v>188</v>
      </c>
      <c r="H24" s="36" t="n">
        <f aca="false">IF('Current Pricing'!$M$15="","",'Current Pricing'!$M$15)</f>
        <v>0.393031914893617</v>
      </c>
      <c r="I24" s="33" t="n">
        <f aca="false">IF('Current Pricing'!$G$16="","",'Current Pricing'!$G$16)</f>
        <v>168</v>
      </c>
      <c r="J24" s="36" t="n">
        <f aca="false">IF('Current Pricing'!$M$16="","",'Current Pricing'!$M$16)</f>
        <v>0.32077380952381</v>
      </c>
      <c r="K24" s="24" t="n">
        <f aca="false">IF(OR($C24="",$E24=""),"",$C24-$E24)</f>
        <v>-13</v>
      </c>
      <c r="L24" s="24" t="n">
        <f aca="false">IF(OR($C24="",$G24=""),"",$C24-$G24)</f>
        <v>-13</v>
      </c>
      <c r="M24" s="24" t="n">
        <f aca="false">IF(OR($C24="",$I24=""),"",$C24-$I24)</f>
        <v>7</v>
      </c>
      <c r="N24" s="25" t="n">
        <f aca="false">IF($D24="","",IFERROR($D24-AVERAGE($F24,$H24),""))</f>
        <v>-0.0450890577507599</v>
      </c>
    </row>
    <row r="25" customFormat="false" ht="15" hidden="false" customHeight="false" outlineLevel="0" collapsed="false">
      <c r="A25" s="37" t="s">
        <v>88</v>
      </c>
      <c r="B25" s="28" t="n">
        <v>5.2</v>
      </c>
      <c r="C25" s="32" t="n">
        <f aca="false">IF('Current Pricing'!$G$17="","",'Current Pricing'!$G$17)</f>
        <v>58</v>
      </c>
      <c r="D25" s="35" t="n">
        <f aca="false">IF('Current Pricing'!$M$17="","",'Current Pricing'!$M$17)</f>
        <v>0.32551724137931</v>
      </c>
      <c r="E25" s="34" t="n">
        <f aca="false">IF('Current Pricing'!$G$18="","",'Current Pricing'!$G$18)</f>
        <v>88.5</v>
      </c>
      <c r="F25" s="38" t="n">
        <f aca="false">IF('Current Pricing'!$M$18="","",'Current Pricing'!$M$18)</f>
        <v>0.456271186440678</v>
      </c>
      <c r="G25" s="34" t="n">
        <f aca="false">IF('Current Pricing'!$G$19="","",'Current Pricing'!$G$19)</f>
        <v>80</v>
      </c>
      <c r="H25" s="38" t="n">
        <f aca="false">IF('Current Pricing'!$M$19="","",'Current Pricing'!$M$19)</f>
        <v>0.3985</v>
      </c>
      <c r="I25" s="34" t="n">
        <f aca="false">IF('Current Pricing'!$G$20="","",'Current Pricing'!$G$20)</f>
        <v>58</v>
      </c>
      <c r="J25" s="38" t="n">
        <f aca="false">IF('Current Pricing'!$M$20="","",'Current Pricing'!$M$20)</f>
        <v>0.32551724137931</v>
      </c>
      <c r="K25" s="29" t="n">
        <f aca="false">IF(OR($C25="",$E25=""),"",$C25-$E25)</f>
        <v>-30.5</v>
      </c>
      <c r="L25" s="29" t="n">
        <f aca="false">IF(OR($C25="",$G25=""),"",$C25-$G25)</f>
        <v>-22</v>
      </c>
      <c r="M25" s="29" t="n">
        <f aca="false">IF(OR($C25="",$I25=""),"",$C25-$I25)</f>
        <v>0</v>
      </c>
      <c r="N25" s="30" t="n">
        <f aca="false">IF($D25="","",IFERROR($D25-AVERAGE($F25,$H25),""))</f>
        <v>-0.101868351841029</v>
      </c>
    </row>
    <row r="26" customFormat="false" ht="15" hidden="false" customHeight="false" outlineLevel="0" collapsed="false">
      <c r="A26" s="4" t="s">
        <v>91</v>
      </c>
      <c r="B26" s="23" t="n">
        <v>15.5</v>
      </c>
      <c r="C26" s="32" t="n">
        <f aca="false">IF('Current Pricing'!$G$21="","",'Current Pricing'!$G$21)</f>
        <v>156</v>
      </c>
      <c r="D26" s="35" t="n">
        <f aca="false">IF('Current Pricing'!$M$21="","",'Current Pricing'!$M$21)</f>
        <v>0.265320512820513</v>
      </c>
      <c r="E26" s="33" t="n">
        <f aca="false">IF('Current Pricing'!$G$22="","",'Current Pricing'!$G$22)</f>
        <v>189</v>
      </c>
      <c r="F26" s="36" t="n">
        <f aca="false">IF('Current Pricing'!$M$22="","",'Current Pricing'!$M$22)</f>
        <v>0.393597883597884</v>
      </c>
      <c r="G26" s="33" t="n">
        <f aca="false">IF('Current Pricing'!$G$23="","",'Current Pricing'!$G$23)</f>
        <v>188</v>
      </c>
      <c r="H26" s="36" t="n">
        <f aca="false">IF('Current Pricing'!$M$23="","",'Current Pricing'!$M$23)</f>
        <v>0.390372340425532</v>
      </c>
      <c r="I26" s="33" t="n">
        <f aca="false">IF('Current Pricing'!$G$24="","",'Current Pricing'!$G$24)</f>
        <v>169</v>
      </c>
      <c r="J26" s="36" t="n">
        <f aca="false">IF('Current Pricing'!$M$24="","",'Current Pricing'!$M$24)</f>
        <v>0.321834319526627</v>
      </c>
      <c r="K26" s="24" t="n">
        <f aca="false">IF(OR($C26="",$E26=""),"",$C26-$E26)</f>
        <v>-33</v>
      </c>
      <c r="L26" s="24" t="n">
        <f aca="false">IF(OR($C26="",$G26=""),"",$C26-$G26)</f>
        <v>-32</v>
      </c>
      <c r="M26" s="24" t="n">
        <f aca="false">IF(OR($C26="",$I26=""),"",$C26-$I26)</f>
        <v>-13</v>
      </c>
      <c r="N26" s="25" t="n">
        <f aca="false">IF($D26="","",IFERROR($D26-AVERAGE($F26,$H26),""))</f>
        <v>-0.126664599191195</v>
      </c>
    </row>
    <row r="27" customFormat="false" ht="15" hidden="false" customHeight="false" outlineLevel="0" collapsed="false">
      <c r="A27" s="37" t="s">
        <v>92</v>
      </c>
      <c r="B27" s="28" t="n">
        <v>5.2</v>
      </c>
      <c r="C27" s="32" t="n">
        <f aca="false">IF('Current Pricing'!$G$25="","",'Current Pricing'!$G$25)</f>
        <v>73</v>
      </c>
      <c r="D27" s="35" t="n">
        <f aca="false">IF('Current Pricing'!$M$25="","",'Current Pricing'!$M$25)</f>
        <v>0.340821917808219</v>
      </c>
      <c r="E27" s="34" t="n">
        <f aca="false">IF('Current Pricing'!$G$26="","",'Current Pricing'!$G$26)</f>
        <v>87</v>
      </c>
      <c r="F27" s="38" t="n">
        <f aca="false">IF('Current Pricing'!$M$26="","",'Current Pricing'!$M$26)</f>
        <v>0.446896551724138</v>
      </c>
      <c r="G27" s="34" t="n">
        <f aca="false">IF('Current Pricing'!$G$27="","",'Current Pricing'!$G$27)</f>
        <v>80</v>
      </c>
      <c r="H27" s="38" t="n">
        <f aca="false">IF('Current Pricing'!$M$27="","",'Current Pricing'!$M$27)</f>
        <v>0.3985</v>
      </c>
      <c r="I27" s="34" t="n">
        <f aca="false">IF('Current Pricing'!$G$28="","",'Current Pricing'!$G$28)</f>
        <v>73</v>
      </c>
      <c r="J27" s="38" t="n">
        <f aca="false">IF('Current Pricing'!$M$28="","",'Current Pricing'!$M$28)</f>
        <v>0.340821917808219</v>
      </c>
      <c r="K27" s="29" t="n">
        <f aca="false">IF(OR($C27="",$E27=""),"",$C27-$E27)</f>
        <v>-14</v>
      </c>
      <c r="L27" s="29" t="n">
        <f aca="false">IF(OR($C27="",$G27=""),"",$C27-$G27)</f>
        <v>-7</v>
      </c>
      <c r="M27" s="29" t="n">
        <f aca="false">IF(OR($C27="",$I27=""),"",$C27-$I27)</f>
        <v>0</v>
      </c>
      <c r="N27" s="30" t="n">
        <f aca="false">IF($D27="","",IFERROR($D27-AVERAGE($F27,$H27),""))</f>
        <v>-0.0818763580538498</v>
      </c>
    </row>
    <row r="28" customFormat="false" ht="15" hidden="false" customHeight="false" outlineLevel="0" collapsed="false">
      <c r="A28" s="4" t="s">
        <v>93</v>
      </c>
      <c r="B28" s="23" t="n">
        <v>15.5</v>
      </c>
      <c r="C28" s="32" t="n">
        <f aca="false">IF('Current Pricing'!$G$29="","",'Current Pricing'!$G$29)</f>
        <v>180</v>
      </c>
      <c r="D28" s="35" t="n">
        <f aca="false">IF('Current Pricing'!$M$29="","",'Current Pricing'!$M$29)</f>
        <v>0.3225</v>
      </c>
      <c r="E28" s="33" t="n">
        <f aca="false">IF('Current Pricing'!$G$30="","",'Current Pricing'!$G$30)</f>
        <v>188</v>
      </c>
      <c r="F28" s="36" t="n">
        <f aca="false">IF('Current Pricing'!$M$30="","",'Current Pricing'!$M$30)</f>
        <v>0.351329787234043</v>
      </c>
      <c r="G28" s="33" t="n">
        <f aca="false">IF('Current Pricing'!$G$31="","",'Current Pricing'!$G$31)</f>
        <v>188</v>
      </c>
      <c r="H28" s="36" t="n">
        <f aca="false">IF('Current Pricing'!$M$31="","",'Current Pricing'!$M$31)</f>
        <v>0.351329787234043</v>
      </c>
      <c r="I28" s="33" t="n">
        <f aca="false">IF('Current Pricing'!$G$32="","",'Current Pricing'!$G$32)</f>
        <v>161</v>
      </c>
      <c r="J28" s="36" t="n">
        <f aca="false">IF('Current Pricing'!$M$32="","",'Current Pricing'!$M$32)</f>
        <v>0.242546583850932</v>
      </c>
      <c r="K28" s="24" t="n">
        <f aca="false">IF(OR($C28="",$E28=""),"",$C28-$E28)</f>
        <v>-8</v>
      </c>
      <c r="L28" s="24" t="n">
        <f aca="false">IF(OR($C28="",$G28=""),"",$C28-$G28)</f>
        <v>-8</v>
      </c>
      <c r="M28" s="24" t="n">
        <f aca="false">IF(OR($C28="",$I28=""),"",$C28-$I28)</f>
        <v>19</v>
      </c>
      <c r="N28" s="25" t="n">
        <f aca="false">IF($D28="","",IFERROR($D28-AVERAGE($F28,$H28),""))</f>
        <v>-0.0288297872340425</v>
      </c>
    </row>
    <row r="29" customFormat="false" ht="15" hidden="false" customHeight="false" outlineLevel="0" collapsed="false">
      <c r="A29" s="37" t="s">
        <v>94</v>
      </c>
      <c r="B29" s="28" t="n">
        <v>5.2</v>
      </c>
      <c r="C29" s="32" t="n">
        <f aca="false">IF('Current Pricing'!$G$33="","",'Current Pricing'!$G$33)</f>
        <v>87</v>
      </c>
      <c r="D29" s="35" t="n">
        <f aca="false">IF('Current Pricing'!$M$33="","",'Current Pricing'!$M$33)</f>
        <v>0.314022988505747</v>
      </c>
      <c r="E29" s="34" t="n">
        <f aca="false">IF('Current Pricing'!$G$34="","",'Current Pricing'!$G$34)</f>
        <v>88.5</v>
      </c>
      <c r="F29" s="38" t="n">
        <f aca="false">IF('Current Pricing'!$M$34="","",'Current Pricing'!$M$34)</f>
        <v>0.325649717514124</v>
      </c>
      <c r="G29" s="34" t="n">
        <f aca="false">IF('Current Pricing'!$G$35="","",'Current Pricing'!$G$35)</f>
        <v>94</v>
      </c>
      <c r="H29" s="38" t="n">
        <f aca="false">IF('Current Pricing'!$M$35="","",'Current Pricing'!$M$35)</f>
        <v>0.365106382978723</v>
      </c>
      <c r="I29" s="34" t="n">
        <f aca="false">IF('Current Pricing'!$G$36="","",'Current Pricing'!$G$36)</f>
        <v>83</v>
      </c>
      <c r="J29" s="38" t="n">
        <f aca="false">IF('Current Pricing'!$M$36="","",'Current Pricing'!$M$36)</f>
        <v>0.280963855421687</v>
      </c>
      <c r="K29" s="29" t="n">
        <f aca="false">IF(OR($C29="",$E29=""),"",$C29-$E29)</f>
        <v>-1.5</v>
      </c>
      <c r="L29" s="29" t="n">
        <f aca="false">IF(OR($C29="",$G29=""),"",$C29-$G29)</f>
        <v>-7</v>
      </c>
      <c r="M29" s="29" t="n">
        <f aca="false">IF(OR($C29="",$I29=""),"",$C29-$I29)</f>
        <v>4</v>
      </c>
      <c r="N29" s="30" t="n">
        <f aca="false">IF($D29="","",IFERROR($D29-AVERAGE($F29,$H29),""))</f>
        <v>-0.0313550617406768</v>
      </c>
    </row>
    <row r="30" customFormat="false" ht="15" hidden="false" customHeight="false" outlineLevel="0" collapsed="false">
      <c r="A30" s="4" t="s">
        <v>95</v>
      </c>
      <c r="B30" s="23" t="n">
        <v>15.5</v>
      </c>
      <c r="C30" s="32" t="n">
        <f aca="false">IF('Current Pricing'!$G$37="","",'Current Pricing'!$G$37)</f>
        <v>115</v>
      </c>
      <c r="D30" s="35" t="n">
        <f aca="false">IF('Current Pricing'!$M$37="","",'Current Pricing'!$M$37)</f>
        <v>0.315565217391304</v>
      </c>
      <c r="E30" s="33" t="str">
        <f aca="false">IF('Current Pricing'!$G$38="","",'Current Pricing'!$G$38)</f>
        <v/>
      </c>
      <c r="F30" s="36" t="str">
        <f aca="false">IF('Current Pricing'!$M$38="","",'Current Pricing'!$M$38)</f>
        <v/>
      </c>
      <c r="G30" s="33" t="n">
        <f aca="false">IF('Current Pricing'!$G$39="","",'Current Pricing'!$G$39)</f>
        <v>188</v>
      </c>
      <c r="H30" s="36" t="n">
        <f aca="false">IF('Current Pricing'!$M$39="","",'Current Pricing'!$M$39)</f>
        <v>0.393031914893617</v>
      </c>
      <c r="I30" s="33" t="n">
        <f aca="false">IF('Current Pricing'!$G$40="","",'Current Pricing'!$G$40)</f>
        <v>115</v>
      </c>
      <c r="J30" s="36" t="n">
        <f aca="false">IF('Current Pricing'!$M$40="","",'Current Pricing'!$M$40)</f>
        <v>0.315565217391304</v>
      </c>
      <c r="K30" s="24" t="str">
        <f aca="false">IF(OR($C30="",$E30=""),"",$C30-$E30)</f>
        <v/>
      </c>
      <c r="L30" s="24" t="n">
        <f aca="false">IF(OR($C30="",$G30=""),"",$C30-$G30)</f>
        <v>-73</v>
      </c>
      <c r="M30" s="24" t="n">
        <f aca="false">IF(OR($C30="",$I30=""),"",$C30-$I30)</f>
        <v>0</v>
      </c>
      <c r="N30" s="25" t="n">
        <f aca="false">IF($D30="","",IFERROR($D30-AVERAGE($F30,$H30),""))</f>
        <v>-0.0774666975023128</v>
      </c>
    </row>
    <row r="31" customFormat="false" ht="15" hidden="false" customHeight="false" outlineLevel="0" collapsed="false">
      <c r="A31" s="37" t="s">
        <v>98</v>
      </c>
      <c r="B31" s="28" t="n">
        <v>5.2</v>
      </c>
      <c r="C31" s="32" t="n">
        <f aca="false">IF('Current Pricing'!$G$41="","",'Current Pricing'!$G$41)</f>
        <v>68</v>
      </c>
      <c r="D31" s="35" t="n">
        <f aca="false">IF('Current Pricing'!$M$41="","",'Current Pricing'!$M$41)</f>
        <v>0.292352941176471</v>
      </c>
      <c r="E31" s="34" t="n">
        <f aca="false">IF('Current Pricing'!$G$42="","",'Current Pricing'!$G$42)</f>
        <v>88.5</v>
      </c>
      <c r="F31" s="38" t="n">
        <f aca="false">IF('Current Pricing'!$M$42="","",'Current Pricing'!$M$42)</f>
        <v>0.456271186440678</v>
      </c>
      <c r="G31" s="34" t="n">
        <f aca="false">IF('Current Pricing'!$G$43="","",'Current Pricing'!$G$43)</f>
        <v>80</v>
      </c>
      <c r="H31" s="38" t="n">
        <f aca="false">IF('Current Pricing'!$M$43="","",'Current Pricing'!$M$43)</f>
        <v>0.3985</v>
      </c>
      <c r="I31" s="34" t="n">
        <f aca="false">IF('Current Pricing'!$G$44="","",'Current Pricing'!$G$44)</f>
        <v>67</v>
      </c>
      <c r="J31" s="38" t="n">
        <f aca="false">IF('Current Pricing'!$M$44="","",'Current Pricing'!$M$44)</f>
        <v>0.281791044776119</v>
      </c>
      <c r="K31" s="29" t="n">
        <f aca="false">IF(OR($C31="",$E31=""),"",$C31-$E31)</f>
        <v>-20.5</v>
      </c>
      <c r="L31" s="29" t="n">
        <f aca="false">IF(OR($C31="",$G31=""),"",$C31-$G31)</f>
        <v>-12</v>
      </c>
      <c r="M31" s="29" t="n">
        <f aca="false">IF(OR($C31="",$I31=""),"",$C31-$I31)</f>
        <v>1</v>
      </c>
      <c r="N31" s="30" t="n">
        <f aca="false">IF($D31="","",IFERROR($D31-AVERAGE($F31,$H31),""))</f>
        <v>-0.135032652043868</v>
      </c>
    </row>
    <row r="34" customFormat="false" ht="15" hidden="false" customHeight="false" outlineLevel="0" collapsed="false">
      <c r="A34" s="3" t="s">
        <v>134</v>
      </c>
    </row>
    <row r="35" customFormat="false" ht="15" hidden="false" customHeight="false" outlineLevel="0" collapsed="false">
      <c r="A35" s="2" t="s">
        <v>135</v>
      </c>
    </row>
    <row r="36" customFormat="false" ht="33.75" hidden="false" customHeight="true" outlineLevel="0" collapsed="false">
      <c r="A36" s="15" t="s">
        <v>63</v>
      </c>
      <c r="B36" s="15" t="s">
        <v>119</v>
      </c>
      <c r="C36" s="15" t="s">
        <v>120</v>
      </c>
      <c r="D36" s="15" t="s">
        <v>121</v>
      </c>
      <c r="E36" s="15" t="s">
        <v>122</v>
      </c>
      <c r="F36" s="15" t="s">
        <v>123</v>
      </c>
      <c r="G36" s="15" t="s">
        <v>124</v>
      </c>
      <c r="H36" s="15" t="s">
        <v>125</v>
      </c>
      <c r="I36" s="15" t="s">
        <v>126</v>
      </c>
      <c r="J36" s="15" t="s">
        <v>127</v>
      </c>
      <c r="K36" s="15" t="s">
        <v>128</v>
      </c>
      <c r="L36" s="15" t="s">
        <v>129</v>
      </c>
      <c r="M36" s="15" t="s">
        <v>130</v>
      </c>
      <c r="N36" s="15" t="s">
        <v>131</v>
      </c>
    </row>
    <row r="37" customFormat="false" ht="15" hidden="false" customHeight="false" outlineLevel="0" collapsed="false">
      <c r="A37" s="4" t="s">
        <v>80</v>
      </c>
      <c r="B37" s="23" t="n">
        <v>15.5</v>
      </c>
      <c r="C37" s="32" t="n">
        <f aca="false">IF('New Pricing'!$H$5="","",'New Pricing'!$H$5)</f>
        <v>185</v>
      </c>
      <c r="D37" s="35" t="n">
        <f aca="false">IF('New Pricing'!$L$5="","",'New Pricing'!$L$5)</f>
        <v>0.366972972972973</v>
      </c>
      <c r="E37" s="33" t="n">
        <f aca="false">IF('New Pricing'!$H$6="","",'New Pricing'!$H$6)</f>
        <v>209</v>
      </c>
      <c r="F37" s="36" t="n">
        <f aca="false">IF('New Pricing'!$L$6="","",'New Pricing'!$L$6)</f>
        <v>0.439665071770335</v>
      </c>
      <c r="G37" s="33" t="n">
        <f aca="false">IF('New Pricing'!$H$7="","",'New Pricing'!$H$7)</f>
        <v>207</v>
      </c>
      <c r="H37" s="36" t="n">
        <f aca="false">IF('New Pricing'!$L$7="","",'New Pricing'!$L$7)</f>
        <v>0.434251207729469</v>
      </c>
      <c r="I37" s="33" t="n">
        <f aca="false">IF('New Pricing'!$H$8="","",'New Pricing'!$H$8)</f>
        <v>190</v>
      </c>
      <c r="J37" s="36" t="n">
        <f aca="false">IF('New Pricing'!$L$8="","",'New Pricing'!$L$8)</f>
        <v>0.383631578947368</v>
      </c>
      <c r="K37" s="24" t="n">
        <f aca="false">IF(OR($C37="",$E37=""),"",$C37-$E37)</f>
        <v>-24</v>
      </c>
      <c r="L37" s="24" t="n">
        <f aca="false">IF(OR($C37="",$G37=""),"",$C37-$G37)</f>
        <v>-22</v>
      </c>
      <c r="M37" s="24" t="n">
        <f aca="false">IF(OR($C37="",$I37=""),"",$C37-$I37)</f>
        <v>-5</v>
      </c>
      <c r="N37" s="25" t="n">
        <f aca="false">IF($D37="","",IFERROR($D37-AVERAGE($F37,$H37),""))</f>
        <v>-0.0699851667769288</v>
      </c>
    </row>
    <row r="38" customFormat="false" ht="15" hidden="false" customHeight="false" outlineLevel="0" collapsed="false">
      <c r="A38" s="37" t="s">
        <v>86</v>
      </c>
      <c r="B38" s="28" t="n">
        <v>5.2</v>
      </c>
      <c r="C38" s="32" t="n">
        <f aca="false">IF('New Pricing'!$H$9="","",'New Pricing'!$H$9)</f>
        <v>80</v>
      </c>
      <c r="D38" s="35" t="n">
        <f aca="false">IF('New Pricing'!$L$9="","",'New Pricing'!$L$9)</f>
        <v>0.37975</v>
      </c>
      <c r="E38" s="34" t="n">
        <f aca="false">IF('New Pricing'!$H$10="","",'New Pricing'!$H$10)</f>
        <v>97.5</v>
      </c>
      <c r="F38" s="38" t="n">
        <f aca="false">IF('New Pricing'!$L$10="","",'New Pricing'!$L$10)</f>
        <v>0.491076923076923</v>
      </c>
      <c r="G38" s="34" t="n">
        <f aca="false">IF('New Pricing'!$H$11="","",'New Pricing'!$H$11)</f>
        <v>90</v>
      </c>
      <c r="H38" s="38" t="n">
        <f aca="false">IF('New Pricing'!$L$11="","",'New Pricing'!$L$11)</f>
        <v>0.448666666666667</v>
      </c>
      <c r="I38" s="34" t="n">
        <f aca="false">IF('New Pricing'!$H$12="","",'New Pricing'!$H$12)</f>
        <v>79</v>
      </c>
      <c r="J38" s="38" t="n">
        <f aca="false">IF('New Pricing'!$L$12="","",'New Pricing'!$L$12)</f>
        <v>0.371898734177215</v>
      </c>
      <c r="K38" s="29" t="n">
        <f aca="false">IF(OR($C38="",$E38=""),"",$C38-$E38)</f>
        <v>-17.5</v>
      </c>
      <c r="L38" s="29" t="n">
        <f aca="false">IF(OR($C38="",$G38=""),"",$C38-$G38)</f>
        <v>-10</v>
      </c>
      <c r="M38" s="29" t="n">
        <f aca="false">IF(OR($C38="",$I38=""),"",$C38-$I38)</f>
        <v>1</v>
      </c>
      <c r="N38" s="30" t="n">
        <f aca="false">IF($D38="","",IFERROR($D38-AVERAGE($F38,$H38),""))</f>
        <v>-0.0901217948717948</v>
      </c>
    </row>
    <row r="39" customFormat="false" ht="15" hidden="false" customHeight="false" outlineLevel="0" collapsed="false">
      <c r="A39" s="4" t="s">
        <v>87</v>
      </c>
      <c r="B39" s="23" t="n">
        <v>15.5</v>
      </c>
      <c r="C39" s="32" t="n">
        <f aca="false">IF('New Pricing'!$H$13="","",'New Pricing'!$H$13)</f>
        <v>185</v>
      </c>
      <c r="D39" s="35" t="n">
        <f aca="false">IF('New Pricing'!$L$13="","",'New Pricing'!$L$13)</f>
        <v>0.372378378378378</v>
      </c>
      <c r="E39" s="33" t="n">
        <f aca="false">IF('New Pricing'!$H$14="","",'New Pricing'!$H$14)</f>
        <v>209</v>
      </c>
      <c r="F39" s="36" t="n">
        <f aca="false">IF('New Pricing'!$L$14="","",'New Pricing'!$L$14)</f>
        <v>0.44444976076555</v>
      </c>
      <c r="G39" s="33" t="n">
        <f aca="false">IF('New Pricing'!$H$15="","",'New Pricing'!$H$15)</f>
        <v>207</v>
      </c>
      <c r="H39" s="36" t="n">
        <f aca="false">IF('New Pricing'!$L$15="","",'New Pricing'!$L$15)</f>
        <v>0.439082125603865</v>
      </c>
      <c r="I39" s="33" t="n">
        <f aca="false">IF('New Pricing'!$H$16="","",'New Pricing'!$H$16)</f>
        <v>189</v>
      </c>
      <c r="J39" s="36" t="n">
        <f aca="false">IF('New Pricing'!$L$16="","",'New Pricing'!$L$16)</f>
        <v>0.385661375661376</v>
      </c>
      <c r="K39" s="24" t="n">
        <f aca="false">IF(OR($C39="",$E39=""),"",$C39-$E39)</f>
        <v>-24</v>
      </c>
      <c r="L39" s="24" t="n">
        <f aca="false">IF(OR($C39="",$G39=""),"",$C39-$G39)</f>
        <v>-22</v>
      </c>
      <c r="M39" s="24" t="n">
        <f aca="false">IF(OR($C39="",$I39=""),"",$C39-$I39)</f>
        <v>-4</v>
      </c>
      <c r="N39" s="25" t="n">
        <f aca="false">IF($D39="","",IFERROR($D39-AVERAGE($F39,$H39),""))</f>
        <v>-0.0693875648063291</v>
      </c>
    </row>
    <row r="40" customFormat="false" ht="15" hidden="false" customHeight="false" outlineLevel="0" collapsed="false">
      <c r="A40" s="37" t="s">
        <v>88</v>
      </c>
      <c r="B40" s="28" t="n">
        <v>5.2</v>
      </c>
      <c r="C40" s="32" t="n">
        <f aca="false">IF('New Pricing'!$H$17="","",'New Pricing'!$H$17)</f>
        <v>77</v>
      </c>
      <c r="D40" s="35" t="n">
        <f aca="false">IF('New Pricing'!$L$17="","",'New Pricing'!$L$17)</f>
        <v>0.355584415584416</v>
      </c>
      <c r="E40" s="34" t="n">
        <f aca="false">IF('New Pricing'!$H$18="","",'New Pricing'!$H$18)</f>
        <v>97.5</v>
      </c>
      <c r="F40" s="38" t="n">
        <f aca="false">IF('New Pricing'!$L$18="","",'New Pricing'!$L$18)</f>
        <v>0.491076923076923</v>
      </c>
      <c r="G40" s="34" t="n">
        <f aca="false">IF('New Pricing'!$H$19="","",'New Pricing'!$H$19)</f>
        <v>90</v>
      </c>
      <c r="H40" s="38" t="n">
        <f aca="false">IF('New Pricing'!$L$19="","",'New Pricing'!$L$19)</f>
        <v>0.448666666666667</v>
      </c>
      <c r="I40" s="34" t="n">
        <f aca="false">IF('New Pricing'!$H$20="","",'New Pricing'!$H$20)</f>
        <v>79</v>
      </c>
      <c r="J40" s="38" t="n">
        <f aca="false">IF('New Pricing'!$L$20="","",'New Pricing'!$L$20)</f>
        <v>0.371898734177215</v>
      </c>
      <c r="K40" s="29" t="n">
        <f aca="false">IF(OR($C40="",$E40=""),"",$C40-$E40)</f>
        <v>-20.5</v>
      </c>
      <c r="L40" s="29" t="n">
        <f aca="false">IF(OR($C40="",$G40=""),"",$C40-$G40)</f>
        <v>-13</v>
      </c>
      <c r="M40" s="29" t="n">
        <f aca="false">IF(OR($C40="",$I40=""),"",$C40-$I40)</f>
        <v>-2</v>
      </c>
      <c r="N40" s="30" t="n">
        <f aca="false">IF($D40="","",IFERROR($D40-AVERAGE($F40,$H40),""))</f>
        <v>-0.114287379287379</v>
      </c>
    </row>
    <row r="41" customFormat="false" ht="15" hidden="false" customHeight="false" outlineLevel="0" collapsed="false">
      <c r="A41" s="4" t="s">
        <v>91</v>
      </c>
      <c r="B41" s="23" t="n">
        <v>15.5</v>
      </c>
      <c r="C41" s="32" t="n">
        <f aca="false">IF('New Pricing'!$H$21="","",'New Pricing'!$H$21)</f>
        <v>182</v>
      </c>
      <c r="D41" s="35" t="n">
        <f aca="false">IF('New Pricing'!$L$21="","",'New Pricing'!$L$21)</f>
        <v>0.356538461538462</v>
      </c>
      <c r="E41" s="33" t="n">
        <f aca="false">IF('New Pricing'!$H$22="","",'New Pricing'!$H$22)</f>
        <v>200</v>
      </c>
      <c r="F41" s="36" t="n">
        <f aca="false">IF('New Pricing'!$L$22="","",'New Pricing'!$L$22)</f>
        <v>0.41445</v>
      </c>
      <c r="G41" s="33" t="n">
        <f aca="false">IF('New Pricing'!$H$23="","",'New Pricing'!$H$23)</f>
        <v>207</v>
      </c>
      <c r="H41" s="36" t="n">
        <f aca="false">IF('New Pricing'!$L$23="","",'New Pricing'!$L$23)</f>
        <v>0.434251207729469</v>
      </c>
      <c r="I41" s="33" t="n">
        <f aca="false">IF('New Pricing'!$H$24="","",'New Pricing'!$H$24)</f>
        <v>190</v>
      </c>
      <c r="J41" s="36" t="n">
        <f aca="false">IF('New Pricing'!$L$24="","",'New Pricing'!$L$24)</f>
        <v>0.383631578947368</v>
      </c>
      <c r="K41" s="24" t="n">
        <f aca="false">IF(OR($C41="",$E41=""),"",$C41-$E41)</f>
        <v>-18</v>
      </c>
      <c r="L41" s="24" t="n">
        <f aca="false">IF(OR($C41="",$G41=""),"",$C41-$G41)</f>
        <v>-25</v>
      </c>
      <c r="M41" s="24" t="n">
        <f aca="false">IF(OR($C41="",$I41=""),"",$C41-$I41)</f>
        <v>-8</v>
      </c>
      <c r="N41" s="25" t="n">
        <f aca="false">IF($D41="","",IFERROR($D41-AVERAGE($F41,$H41),""))</f>
        <v>-0.0678121423262728</v>
      </c>
    </row>
    <row r="42" customFormat="false" ht="15" hidden="false" customHeight="false" outlineLevel="0" collapsed="false">
      <c r="A42" s="37" t="s">
        <v>92</v>
      </c>
      <c r="B42" s="28" t="n">
        <v>5.2</v>
      </c>
      <c r="C42" s="32" t="n">
        <f aca="false">IF('New Pricing'!$H$25="","",'New Pricing'!$H$25)</f>
        <v>75</v>
      </c>
      <c r="D42" s="35" t="n">
        <f aca="false">IF('New Pricing'!$L$25="","",'New Pricing'!$L$25)</f>
        <v>0.3384</v>
      </c>
      <c r="E42" s="34" t="n">
        <f aca="false">IF('New Pricing'!$H$26="","",'New Pricing'!$H$26)</f>
        <v>95</v>
      </c>
      <c r="F42" s="38" t="n">
        <f aca="false">IF('New Pricing'!$L$26="","",'New Pricing'!$L$26)</f>
        <v>0.477684210526316</v>
      </c>
      <c r="G42" s="34" t="n">
        <f aca="false">IF('New Pricing'!$H$27="","",'New Pricing'!$H$27)</f>
        <v>90</v>
      </c>
      <c r="H42" s="38" t="n">
        <f aca="false">IF('New Pricing'!$L$27="","",'New Pricing'!$L$27)</f>
        <v>0.448666666666667</v>
      </c>
      <c r="I42" s="34" t="n">
        <f aca="false">IF('New Pricing'!$H$28="","",'New Pricing'!$H$28)</f>
        <v>79</v>
      </c>
      <c r="J42" s="38" t="n">
        <f aca="false">IF('New Pricing'!$L$28="","",'New Pricing'!$L$28)</f>
        <v>0.371898734177215</v>
      </c>
      <c r="K42" s="29" t="n">
        <f aca="false">IF(OR($C42="",$E42=""),"",$C42-$E42)</f>
        <v>-20</v>
      </c>
      <c r="L42" s="29" t="n">
        <f aca="false">IF(OR($C42="",$G42=""),"",$C42-$G42)</f>
        <v>-15</v>
      </c>
      <c r="M42" s="29" t="n">
        <f aca="false">IF(OR($C42="",$I42=""),"",$C42-$I42)</f>
        <v>-4</v>
      </c>
      <c r="N42" s="30" t="n">
        <f aca="false">IF($D42="","",IFERROR($D42-AVERAGE($F42,$H42),""))</f>
        <v>-0.124775438596491</v>
      </c>
    </row>
    <row r="43" customFormat="false" ht="15" hidden="false" customHeight="false" outlineLevel="0" collapsed="false">
      <c r="A43" s="4" t="s">
        <v>93</v>
      </c>
      <c r="B43" s="23" t="n">
        <v>15.5</v>
      </c>
      <c r="C43" s="32" t="n">
        <f aca="false">IF('New Pricing'!$H$29="","",'New Pricing'!$H$29)</f>
        <v>185</v>
      </c>
      <c r="D43" s="35" t="n">
        <f aca="false">IF('New Pricing'!$L$29="","",'New Pricing'!$L$29)</f>
        <v>0.327297297297297</v>
      </c>
      <c r="E43" s="33" t="n">
        <f aca="false">IF('New Pricing'!$H$30="","",'New Pricing'!$H$30)</f>
        <v>209</v>
      </c>
      <c r="F43" s="36" t="n">
        <f aca="false">IF('New Pricing'!$L$30="","",'New Pricing'!$L$30)</f>
        <v>0.404545454545455</v>
      </c>
      <c r="G43" s="33" t="n">
        <f aca="false">IF('New Pricing'!$H$31="","",'New Pricing'!$H$31)</f>
        <v>203</v>
      </c>
      <c r="H43" s="36" t="n">
        <f aca="false">IF('New Pricing'!$L$31="","",'New Pricing'!$L$31)</f>
        <v>0.386945812807882</v>
      </c>
      <c r="I43" s="33" t="n">
        <f aca="false">IF('New Pricing'!$H$32="","",'New Pricing'!$H$32)</f>
        <v>194</v>
      </c>
      <c r="J43" s="36" t="n">
        <f aca="false">IF('New Pricing'!$L$32="","",'New Pricing'!$L$32)</f>
        <v>0.358505154639175</v>
      </c>
      <c r="K43" s="24" t="n">
        <f aca="false">IF(OR($C43="",$E43=""),"",$C43-$E43)</f>
        <v>-24</v>
      </c>
      <c r="L43" s="24" t="n">
        <f aca="false">IF(OR($C43="",$G43=""),"",$C43-$G43)</f>
        <v>-18</v>
      </c>
      <c r="M43" s="24" t="n">
        <f aca="false">IF(OR($C43="",$I43=""),"",$C43-$I43)</f>
        <v>-9</v>
      </c>
      <c r="N43" s="25" t="n">
        <f aca="false">IF($D43="","",IFERROR($D43-AVERAGE($F43,$H43),""))</f>
        <v>-0.0684483363793709</v>
      </c>
    </row>
    <row r="44" customFormat="false" ht="15" hidden="false" customHeight="false" outlineLevel="0" collapsed="false">
      <c r="A44" s="37" t="s">
        <v>94</v>
      </c>
      <c r="B44" s="28" t="n">
        <v>5.2</v>
      </c>
      <c r="C44" s="32" t="n">
        <f aca="false">IF('New Pricing'!$H$33="","",'New Pricing'!$H$33)</f>
        <v>90</v>
      </c>
      <c r="D44" s="35" t="n">
        <f aca="false">IF('New Pricing'!$L$33="","",'New Pricing'!$L$33)</f>
        <v>0.320222222222222</v>
      </c>
      <c r="E44" s="34" t="n">
        <f aca="false">IF('New Pricing'!$H$34="","",'New Pricing'!$H$34)</f>
        <v>97.5</v>
      </c>
      <c r="F44" s="38" t="n">
        <f aca="false">IF('New Pricing'!$L$34="","",'New Pricing'!$L$34)</f>
        <v>0.372512820512821</v>
      </c>
      <c r="G44" s="34" t="n">
        <f aca="false">IF('New Pricing'!$H$35="","",'New Pricing'!$H$35)</f>
        <v>98</v>
      </c>
      <c r="H44" s="38" t="n">
        <f aca="false">IF('New Pricing'!$L$35="","",'New Pricing'!$L$35)</f>
        <v>0.375714285714286</v>
      </c>
      <c r="I44" s="34" t="n">
        <f aca="false">IF('New Pricing'!$H$36="","",'New Pricing'!$H$36)</f>
        <v>92</v>
      </c>
      <c r="J44" s="38" t="n">
        <f aca="false">IF('New Pricing'!$L$36="","",'New Pricing'!$L$36)</f>
        <v>0.335</v>
      </c>
      <c r="K44" s="29" t="n">
        <f aca="false">IF(OR($C44="",$E44=""),"",$C44-$E44)</f>
        <v>-7.5</v>
      </c>
      <c r="L44" s="29" t="n">
        <f aca="false">IF(OR($C44="",$G44=""),"",$C44-$G44)</f>
        <v>-8</v>
      </c>
      <c r="M44" s="29" t="n">
        <f aca="false">IF(OR($C44="",$I44=""),"",$C44-$I44)</f>
        <v>-2</v>
      </c>
      <c r="N44" s="30" t="n">
        <f aca="false">IF($D44="","",IFERROR($D44-AVERAGE($F44,$H44),""))</f>
        <v>-0.0538913308913309</v>
      </c>
    </row>
    <row r="45" customFormat="false" ht="15" hidden="false" customHeight="false" outlineLevel="0" collapsed="false">
      <c r="A45" s="4" t="s">
        <v>95</v>
      </c>
      <c r="B45" s="23" t="n">
        <v>15.5</v>
      </c>
      <c r="C45" s="32" t="n">
        <f aca="false">IF('New Pricing'!$H$37="","",'New Pricing'!$H$37)</f>
        <v>168</v>
      </c>
      <c r="D45" s="35" t="n">
        <f aca="false">IF('New Pricing'!$L$37="","",'New Pricing'!$L$37)</f>
        <v>0.305892857142857</v>
      </c>
      <c r="E45" s="33" t="str">
        <f aca="false">IF('New Pricing'!$H$38="","",'New Pricing'!$H$38)</f>
        <v/>
      </c>
      <c r="F45" s="36" t="str">
        <f aca="false">IF('New Pricing'!$L$38="","",'New Pricing'!$L$38)</f>
        <v/>
      </c>
      <c r="G45" s="33" t="n">
        <f aca="false">IF('New Pricing'!$H$39="","",'New Pricing'!$H$39)</f>
        <v>207</v>
      </c>
      <c r="H45" s="36" t="n">
        <f aca="false">IF('New Pricing'!$L$39="","",'New Pricing'!$L$39)</f>
        <v>0.436666666666667</v>
      </c>
      <c r="I45" s="33" t="n">
        <f aca="false">IF('New Pricing'!$H$40="","",'New Pricing'!$H$40)</f>
        <v>189</v>
      </c>
      <c r="J45" s="36" t="n">
        <f aca="false">IF('New Pricing'!$L$40="","",'New Pricing'!$L$40)</f>
        <v>0.383015873015873</v>
      </c>
      <c r="K45" s="24" t="str">
        <f aca="false">IF(OR($C45="",$E45=""),"",$C45-$E45)</f>
        <v/>
      </c>
      <c r="L45" s="24" t="n">
        <f aca="false">IF(OR($C45="",$G45=""),"",$C45-$G45)</f>
        <v>-39</v>
      </c>
      <c r="M45" s="24" t="n">
        <f aca="false">IF(OR($C45="",$I45=""),"",$C45-$I45)</f>
        <v>-21</v>
      </c>
      <c r="N45" s="25" t="n">
        <f aca="false">IF($D45="","",IFERROR($D45-AVERAGE($F45,$H45),""))</f>
        <v>-0.13077380952381</v>
      </c>
    </row>
    <row r="46" customFormat="false" ht="15" hidden="false" customHeight="false" outlineLevel="0" collapsed="false">
      <c r="A46" s="37" t="s">
        <v>98</v>
      </c>
      <c r="B46" s="28" t="n">
        <v>5.2</v>
      </c>
      <c r="C46" s="32" t="n">
        <f aca="false">IF('New Pricing'!$H$41="","",'New Pricing'!$H$41)</f>
        <v>70</v>
      </c>
      <c r="D46" s="35" t="n">
        <f aca="false">IF('New Pricing'!$L$41="","",'New Pricing'!$L$41)</f>
        <v>0.291142857142857</v>
      </c>
      <c r="E46" s="34" t="n">
        <f aca="false">IF('New Pricing'!$H$42="","",'New Pricing'!$H$42)</f>
        <v>97.5</v>
      </c>
      <c r="F46" s="38" t="n">
        <f aca="false">IF('New Pricing'!$L$42="","",'New Pricing'!$L$42)</f>
        <v>0.491076923076923</v>
      </c>
      <c r="G46" s="34" t="n">
        <f aca="false">IF('New Pricing'!$H$43="","",'New Pricing'!$H$43)</f>
        <v>90</v>
      </c>
      <c r="H46" s="38" t="n">
        <f aca="false">IF('New Pricing'!$L$43="","",'New Pricing'!$L$43)</f>
        <v>0.448666666666667</v>
      </c>
      <c r="I46" s="34" t="n">
        <f aca="false">IF('New Pricing'!$H$44="","",'New Pricing'!$H$44)</f>
        <v>79</v>
      </c>
      <c r="J46" s="38" t="n">
        <f aca="false">IF('New Pricing'!$L$44="","",'New Pricing'!$L$44)</f>
        <v>0.371898734177215</v>
      </c>
      <c r="K46" s="29" t="n">
        <f aca="false">IF(OR($C46="",$E46=""),"",$C46-$E46)</f>
        <v>-27.5</v>
      </c>
      <c r="L46" s="29" t="n">
        <f aca="false">IF(OR($C46="",$G46=""),"",$C46-$G46)</f>
        <v>-20</v>
      </c>
      <c r="M46" s="29" t="n">
        <f aca="false">IF(OR($C46="",$I46=""),"",$C46-$I46)</f>
        <v>-9</v>
      </c>
      <c r="N46" s="30" t="n">
        <f aca="false">IF($D46="","",IFERROR($D46-AVERAGE($F46,$H46),""))</f>
        <v>-0.178728937728938</v>
      </c>
    </row>
    <row r="49" customFormat="false" ht="15" hidden="false" customHeight="false" outlineLevel="0" collapsed="false">
      <c r="A49" s="3" t="s">
        <v>136</v>
      </c>
    </row>
    <row r="50" customFormat="false" ht="15" hidden="false" customHeight="false" outlineLevel="0" collapsed="false">
      <c r="A50" s="2" t="s">
        <v>137</v>
      </c>
    </row>
    <row r="51" customFormat="false" ht="33.75" hidden="false" customHeight="true" outlineLevel="0" collapsed="false">
      <c r="A51" s="15" t="s">
        <v>63</v>
      </c>
      <c r="B51" s="15" t="s">
        <v>119</v>
      </c>
      <c r="C51" s="15" t="s">
        <v>120</v>
      </c>
      <c r="D51" s="15" t="s">
        <v>121</v>
      </c>
      <c r="E51" s="15" t="s">
        <v>122</v>
      </c>
      <c r="F51" s="15" t="s">
        <v>123</v>
      </c>
      <c r="G51" s="15" t="s">
        <v>124</v>
      </c>
      <c r="H51" s="15" t="s">
        <v>125</v>
      </c>
      <c r="I51" s="15" t="s">
        <v>126</v>
      </c>
      <c r="J51" s="15" t="s">
        <v>127</v>
      </c>
      <c r="K51" s="15" t="s">
        <v>128</v>
      </c>
      <c r="L51" s="15" t="s">
        <v>129</v>
      </c>
      <c r="M51" s="15" t="s">
        <v>130</v>
      </c>
      <c r="N51" s="15" t="s">
        <v>131</v>
      </c>
    </row>
    <row r="52" customFormat="false" ht="15" hidden="false" customHeight="false" outlineLevel="0" collapsed="false">
      <c r="A52" s="4" t="s">
        <v>80</v>
      </c>
      <c r="B52" s="23" t="n">
        <v>15.5</v>
      </c>
      <c r="C52" s="32" t="n">
        <f aca="false">IF('New Pricing'!$I$5="","",'New Pricing'!$I$5)</f>
        <v>175</v>
      </c>
      <c r="D52" s="35" t="n">
        <f aca="false">IF('New Pricing'!$O$5="","",'New Pricing'!$O$5)</f>
        <v>0.3308</v>
      </c>
      <c r="E52" s="33" t="n">
        <f aca="false">IF('New Pricing'!$I$6="","",'New Pricing'!$I$6)</f>
        <v>188</v>
      </c>
      <c r="F52" s="36" t="n">
        <f aca="false">IF('New Pricing'!$O$6="","",'New Pricing'!$O$6)</f>
        <v>0.377074468085106</v>
      </c>
      <c r="G52" s="33" t="n">
        <f aca="false">IF('New Pricing'!$I$7="","",'New Pricing'!$I$7)</f>
        <v>188</v>
      </c>
      <c r="H52" s="36" t="n">
        <f aca="false">IF('New Pricing'!$O$7="","",'New Pricing'!$O$7)</f>
        <v>0.377074468085106</v>
      </c>
      <c r="I52" s="33" t="n">
        <f aca="false">IF('New Pricing'!$I$8="","",'New Pricing'!$I$8)</f>
        <v>176</v>
      </c>
      <c r="J52" s="36" t="n">
        <f aca="false">IF('New Pricing'!$O$8="","",'New Pricing'!$O$8)</f>
        <v>0.334602272727273</v>
      </c>
      <c r="K52" s="24" t="n">
        <f aca="false">IF(OR($C52="",$E52=""),"",$C52-$E52)</f>
        <v>-13</v>
      </c>
      <c r="L52" s="24" t="n">
        <f aca="false">IF(OR($C52="",$G52=""),"",$C52-$G52)</f>
        <v>-13</v>
      </c>
      <c r="M52" s="24" t="n">
        <f aca="false">IF(OR($C52="",$I52=""),"",$C52-$I52)</f>
        <v>-1</v>
      </c>
      <c r="N52" s="25" t="n">
        <f aca="false">IF($D52="","",IFERROR($D52-AVERAGE($F52,$H52),""))</f>
        <v>-0.0462744680851064</v>
      </c>
    </row>
    <row r="53" customFormat="false" ht="15" hidden="false" customHeight="false" outlineLevel="0" collapsed="false">
      <c r="A53" s="37" t="s">
        <v>86</v>
      </c>
      <c r="B53" s="28" t="n">
        <v>5.2</v>
      </c>
      <c r="C53" s="32" t="n">
        <f aca="false">IF('New Pricing'!$I$9="","",'New Pricing'!$I$9)</f>
        <v>78</v>
      </c>
      <c r="D53" s="35" t="n">
        <f aca="false">IF('New Pricing'!$O$9="","",'New Pricing'!$O$9)</f>
        <v>0.363846153846154</v>
      </c>
      <c r="E53" s="34" t="n">
        <f aca="false">IF('New Pricing'!$I$10="","",'New Pricing'!$I$10)</f>
        <v>88.5</v>
      </c>
      <c r="F53" s="38" t="n">
        <f aca="false">IF('New Pricing'!$O$10="","",'New Pricing'!$O$10)</f>
        <v>0.439322033898305</v>
      </c>
      <c r="G53" s="34" t="n">
        <f aca="false">IF('New Pricing'!$I$11="","",'New Pricing'!$I$11)</f>
        <v>80</v>
      </c>
      <c r="H53" s="38" t="n">
        <f aca="false">IF('New Pricing'!$O$11="","",'New Pricing'!$O$11)</f>
        <v>0.37975</v>
      </c>
      <c r="I53" s="34" t="n">
        <f aca="false">IF('New Pricing'!$I$12="","",'New Pricing'!$I$12)</f>
        <v>76</v>
      </c>
      <c r="J53" s="38" t="n">
        <f aca="false">IF('New Pricing'!$O$12="","",'New Pricing'!$O$12)</f>
        <v>0.347105263157895</v>
      </c>
      <c r="K53" s="29" t="n">
        <f aca="false">IF(OR($C53="",$E53=""),"",$C53-$E53)</f>
        <v>-10.5</v>
      </c>
      <c r="L53" s="29" t="n">
        <f aca="false">IF(OR($C53="",$G53=""),"",$C53-$G53)</f>
        <v>-2</v>
      </c>
      <c r="M53" s="29" t="n">
        <f aca="false">IF(OR($C53="",$I53=""),"",$C53-$I53)</f>
        <v>2</v>
      </c>
      <c r="N53" s="30" t="n">
        <f aca="false">IF($D53="","",IFERROR($D53-AVERAGE($F53,$H53),""))</f>
        <v>-0.0456898631029987</v>
      </c>
    </row>
    <row r="54" customFormat="false" ht="15" hidden="false" customHeight="false" outlineLevel="0" collapsed="false">
      <c r="A54" s="4" t="s">
        <v>87</v>
      </c>
      <c r="B54" s="23" t="n">
        <v>15.5</v>
      </c>
      <c r="C54" s="32" t="n">
        <f aca="false">IF('New Pricing'!$I$13="","",'New Pricing'!$I$13)</f>
        <v>175</v>
      </c>
      <c r="D54" s="35" t="n">
        <f aca="false">IF('New Pricing'!$O$13="","",'New Pricing'!$O$13)</f>
        <v>0.336514285714286</v>
      </c>
      <c r="E54" s="33" t="n">
        <f aca="false">IF('New Pricing'!$I$14="","",'New Pricing'!$I$14)</f>
        <v>188</v>
      </c>
      <c r="F54" s="36" t="n">
        <f aca="false">IF('New Pricing'!$O$14="","",'New Pricing'!$O$14)</f>
        <v>0.382393617021277</v>
      </c>
      <c r="G54" s="33" t="n">
        <f aca="false">IF('New Pricing'!$I$15="","",'New Pricing'!$I$15)</f>
        <v>188</v>
      </c>
      <c r="H54" s="36" t="n">
        <f aca="false">IF('New Pricing'!$O$15="","",'New Pricing'!$O$15)</f>
        <v>0.382393617021277</v>
      </c>
      <c r="I54" s="33" t="n">
        <f aca="false">IF('New Pricing'!$I$16="","",'New Pricing'!$I$16)</f>
        <v>184</v>
      </c>
      <c r="J54" s="36" t="n">
        <f aca="false">IF('New Pricing'!$O$16="","",'New Pricing'!$O$16)</f>
        <v>0.368967391304348</v>
      </c>
      <c r="K54" s="24" t="n">
        <f aca="false">IF(OR($C54="",$E54=""),"",$C54-$E54)</f>
        <v>-13</v>
      </c>
      <c r="L54" s="24" t="n">
        <f aca="false">IF(OR($C54="",$G54=""),"",$C54-$G54)</f>
        <v>-13</v>
      </c>
      <c r="M54" s="24" t="n">
        <f aca="false">IF(OR($C54="",$I54=""),"",$C54-$I54)</f>
        <v>-9</v>
      </c>
      <c r="N54" s="25" t="n">
        <f aca="false">IF($D54="","",IFERROR($D54-AVERAGE($F54,$H54),""))</f>
        <v>-0.0458793313069909</v>
      </c>
    </row>
    <row r="55" customFormat="false" ht="15" hidden="false" customHeight="false" outlineLevel="0" collapsed="false">
      <c r="A55" s="37" t="s">
        <v>88</v>
      </c>
      <c r="B55" s="28" t="n">
        <v>5.2</v>
      </c>
      <c r="C55" s="32" t="n">
        <f aca="false">IF('New Pricing'!$I$17="","",'New Pricing'!$I$17)</f>
        <v>58</v>
      </c>
      <c r="D55" s="35" t="n">
        <f aca="false">IF('New Pricing'!$O$17="","",'New Pricing'!$O$17)</f>
        <v>0.299655172413793</v>
      </c>
      <c r="E55" s="34" t="n">
        <f aca="false">IF('New Pricing'!$I$18="","",'New Pricing'!$I$18)</f>
        <v>88.5</v>
      </c>
      <c r="F55" s="38" t="n">
        <f aca="false">IF('New Pricing'!$O$18="","",'New Pricing'!$O$18)</f>
        <v>0.439322033898305</v>
      </c>
      <c r="G55" s="34" t="n">
        <f aca="false">IF('New Pricing'!$I$19="","",'New Pricing'!$I$19)</f>
        <v>80</v>
      </c>
      <c r="H55" s="38" t="n">
        <f aca="false">IF('New Pricing'!$O$19="","",'New Pricing'!$O$19)</f>
        <v>0.37975</v>
      </c>
      <c r="I55" s="34" t="n">
        <f aca="false">IF('New Pricing'!$I$20="","",'New Pricing'!$I$20)</f>
        <v>61</v>
      </c>
      <c r="J55" s="38" t="n">
        <f aca="false">IF('New Pricing'!$O$20="","",'New Pricing'!$O$20)</f>
        <v>0.334098360655738</v>
      </c>
      <c r="K55" s="29" t="n">
        <f aca="false">IF(OR($C55="",$E55=""),"",$C55-$E55)</f>
        <v>-30.5</v>
      </c>
      <c r="L55" s="29" t="n">
        <f aca="false">IF(OR($C55="",$G55=""),"",$C55-$G55)</f>
        <v>-22</v>
      </c>
      <c r="M55" s="29" t="n">
        <f aca="false">IF(OR($C55="",$I55=""),"",$C55-$I55)</f>
        <v>-3</v>
      </c>
      <c r="N55" s="30" t="n">
        <f aca="false">IF($D55="","",IFERROR($D55-AVERAGE($F55,$H55),""))</f>
        <v>-0.109880844535359</v>
      </c>
    </row>
    <row r="56" customFormat="false" ht="15" hidden="false" customHeight="false" outlineLevel="0" collapsed="false">
      <c r="A56" s="4" t="s">
        <v>91</v>
      </c>
      <c r="B56" s="23" t="n">
        <v>15.5</v>
      </c>
      <c r="C56" s="32" t="n">
        <f aca="false">IF('New Pricing'!$I$21="","",'New Pricing'!$I$21)</f>
        <v>156</v>
      </c>
      <c r="D56" s="35" t="n">
        <f aca="false">IF('New Pricing'!$O$21="","",'New Pricing'!$O$21)</f>
        <v>0.249294871794872</v>
      </c>
      <c r="E56" s="33" t="n">
        <f aca="false">IF('New Pricing'!$I$22="","",'New Pricing'!$I$22)</f>
        <v>189</v>
      </c>
      <c r="F56" s="36" t="n">
        <f aca="false">IF('New Pricing'!$O$22="","",'New Pricing'!$O$22)</f>
        <v>0.38037037037037</v>
      </c>
      <c r="G56" s="33" t="n">
        <f aca="false">IF('New Pricing'!$I$23="","",'New Pricing'!$I$23)</f>
        <v>188</v>
      </c>
      <c r="H56" s="36" t="n">
        <f aca="false">IF('New Pricing'!$O$23="","",'New Pricing'!$O$23)</f>
        <v>0.377074468085106</v>
      </c>
      <c r="I56" s="33" t="n">
        <f aca="false">IF('New Pricing'!$I$24="","",'New Pricing'!$I$24)</f>
        <v>176</v>
      </c>
      <c r="J56" s="36" t="n">
        <f aca="false">IF('New Pricing'!$O$24="","",'New Pricing'!$O$24)</f>
        <v>0.334602272727273</v>
      </c>
      <c r="K56" s="24" t="n">
        <f aca="false">IF(OR($C56="",$E56=""),"",$C56-$E56)</f>
        <v>-33</v>
      </c>
      <c r="L56" s="24" t="n">
        <f aca="false">IF(OR($C56="",$G56=""),"",$C56-$G56)</f>
        <v>-32</v>
      </c>
      <c r="M56" s="24" t="n">
        <f aca="false">IF(OR($C56="",$I56=""),"",$C56-$I56)</f>
        <v>-20</v>
      </c>
      <c r="N56" s="25" t="n">
        <f aca="false">IF($D56="","",IFERROR($D56-AVERAGE($F56,$H56),""))</f>
        <v>-0.129427547432867</v>
      </c>
    </row>
    <row r="57" customFormat="false" ht="15" hidden="false" customHeight="false" outlineLevel="0" collapsed="false">
      <c r="A57" s="37" t="s">
        <v>92</v>
      </c>
      <c r="B57" s="28" t="n">
        <v>5.2</v>
      </c>
      <c r="C57" s="32" t="n">
        <f aca="false">IF('New Pricing'!$I$25="","",'New Pricing'!$I$25)</f>
        <v>73</v>
      </c>
      <c r="D57" s="35" t="n">
        <f aca="false">IF('New Pricing'!$O$25="","",'New Pricing'!$O$25)</f>
        <v>0.32027397260274</v>
      </c>
      <c r="E57" s="34" t="n">
        <f aca="false">IF('New Pricing'!$I$26="","",'New Pricing'!$I$26)</f>
        <v>87</v>
      </c>
      <c r="F57" s="38" t="n">
        <f aca="false">IF('New Pricing'!$O$26="","",'New Pricing'!$O$26)</f>
        <v>0.429655172413793</v>
      </c>
      <c r="G57" s="34" t="n">
        <f aca="false">IF('New Pricing'!$I$27="","",'New Pricing'!$I$27)</f>
        <v>80</v>
      </c>
      <c r="H57" s="38" t="n">
        <f aca="false">IF('New Pricing'!$O$27="","",'New Pricing'!$O$27)</f>
        <v>0.37975</v>
      </c>
      <c r="I57" s="34" t="n">
        <f aca="false">IF('New Pricing'!$I$28="","",'New Pricing'!$I$28)</f>
        <v>76</v>
      </c>
      <c r="J57" s="38" t="n">
        <f aca="false">IF('New Pricing'!$O$28="","",'New Pricing'!$O$28)</f>
        <v>0.347105263157895</v>
      </c>
      <c r="K57" s="29" t="n">
        <f aca="false">IF(OR($C57="",$E57=""),"",$C57-$E57)</f>
        <v>-14</v>
      </c>
      <c r="L57" s="29" t="n">
        <f aca="false">IF(OR($C57="",$G57=""),"",$C57-$G57)</f>
        <v>-7</v>
      </c>
      <c r="M57" s="29" t="n">
        <f aca="false">IF(OR($C57="",$I57=""),"",$C57-$I57)</f>
        <v>-3</v>
      </c>
      <c r="N57" s="30" t="n">
        <f aca="false">IF($D57="","",IFERROR($D57-AVERAGE($F57,$H57),""))</f>
        <v>-0.0844286136041568</v>
      </c>
    </row>
    <row r="58" customFormat="false" ht="15" hidden="false" customHeight="false" outlineLevel="0" collapsed="false">
      <c r="A58" s="4" t="s">
        <v>93</v>
      </c>
      <c r="B58" s="23" t="n">
        <v>15.5</v>
      </c>
      <c r="C58" s="32" t="n">
        <f aca="false">IF('New Pricing'!$I$29="","",'New Pricing'!$I$29)</f>
        <v>180</v>
      </c>
      <c r="D58" s="35" t="n">
        <f aca="false">IF('New Pricing'!$O$29="","",'New Pricing'!$O$29)</f>
        <v>0.308611111111111</v>
      </c>
      <c r="E58" s="33" t="n">
        <f aca="false">IF('New Pricing'!$I$30="","",'New Pricing'!$I$30)</f>
        <v>188</v>
      </c>
      <c r="F58" s="36" t="n">
        <f aca="false">IF('New Pricing'!$O$30="","",'New Pricing'!$O$30)</f>
        <v>0.338031914893617</v>
      </c>
      <c r="G58" s="33" t="n">
        <f aca="false">IF('New Pricing'!$I$31="","",'New Pricing'!$I$31)</f>
        <v>188</v>
      </c>
      <c r="H58" s="36" t="n">
        <f aca="false">IF('New Pricing'!$O$31="","",'New Pricing'!$O$31)</f>
        <v>0.338031914893617</v>
      </c>
      <c r="I58" s="33" t="n">
        <f aca="false">IF('New Pricing'!$I$32="","",'New Pricing'!$I$32)</f>
        <v>167</v>
      </c>
      <c r="J58" s="36" t="n">
        <f aca="false">IF('New Pricing'!$O$32="","",'New Pricing'!$O$32)</f>
        <v>0.254790419161677</v>
      </c>
      <c r="K58" s="24" t="n">
        <f aca="false">IF(OR($C58="",$E58=""),"",$C58-$E58)</f>
        <v>-8</v>
      </c>
      <c r="L58" s="24" t="n">
        <f aca="false">IF(OR($C58="",$G58=""),"",$C58-$G58)</f>
        <v>-8</v>
      </c>
      <c r="M58" s="24" t="n">
        <f aca="false">IF(OR($C58="",$I58=""),"",$C58-$I58)</f>
        <v>13</v>
      </c>
      <c r="N58" s="25" t="n">
        <f aca="false">IF($D58="","",IFERROR($D58-AVERAGE($F58,$H58),""))</f>
        <v>-0.0294208037825059</v>
      </c>
    </row>
    <row r="59" customFormat="false" ht="15" hidden="false" customHeight="false" outlineLevel="0" collapsed="false">
      <c r="A59" s="37" t="s">
        <v>94</v>
      </c>
      <c r="B59" s="28" t="n">
        <v>5.2</v>
      </c>
      <c r="C59" s="32" t="n">
        <f aca="false">IF('New Pricing'!$I$33="","",'New Pricing'!$I$33)</f>
        <v>87</v>
      </c>
      <c r="D59" s="35" t="n">
        <f aca="false">IF('New Pricing'!$O$33="","",'New Pricing'!$O$33)</f>
        <v>0.296781609195402</v>
      </c>
      <c r="E59" s="34" t="n">
        <f aca="false">IF('New Pricing'!$I$34="","",'New Pricing'!$I$34)</f>
        <v>88.5</v>
      </c>
      <c r="F59" s="38" t="n">
        <f aca="false">IF('New Pricing'!$O$34="","",'New Pricing'!$O$34)</f>
        <v>0.308700564971751</v>
      </c>
      <c r="G59" s="34" t="n">
        <f aca="false">IF('New Pricing'!$I$35="","",'New Pricing'!$I$35)</f>
        <v>94</v>
      </c>
      <c r="H59" s="38" t="n">
        <f aca="false">IF('New Pricing'!$O$35="","",'New Pricing'!$O$35)</f>
        <v>0.349148936170213</v>
      </c>
      <c r="I59" s="34" t="n">
        <f aca="false">IF('New Pricing'!$I$36="","",'New Pricing'!$I$36)</f>
        <v>89</v>
      </c>
      <c r="J59" s="38" t="n">
        <f aca="false">IF('New Pricing'!$O$36="","",'New Pricing'!$O$36)</f>
        <v>0.312584269662921</v>
      </c>
      <c r="K59" s="29" t="n">
        <f aca="false">IF(OR($C59="",$E59=""),"",$C59-$E59)</f>
        <v>-1.5</v>
      </c>
      <c r="L59" s="29" t="n">
        <f aca="false">IF(OR($C59="",$G59=""),"",$C59-$G59)</f>
        <v>-7</v>
      </c>
      <c r="M59" s="29" t="n">
        <f aca="false">IF(OR($C59="",$I59=""),"",$C59-$I59)</f>
        <v>-2</v>
      </c>
      <c r="N59" s="30" t="n">
        <f aca="false">IF($D59="","",IFERROR($D59-AVERAGE($F59,$H59),""))</f>
        <v>-0.0321431413755798</v>
      </c>
    </row>
    <row r="60" customFormat="false" ht="15" hidden="false" customHeight="false" outlineLevel="0" collapsed="false">
      <c r="A60" s="4" t="s">
        <v>95</v>
      </c>
      <c r="B60" s="23" t="n">
        <v>15.5</v>
      </c>
      <c r="C60" s="32" t="n">
        <f aca="false">IF('New Pricing'!$I$37="","",'New Pricing'!$I$37)</f>
        <v>115</v>
      </c>
      <c r="D60" s="35" t="n">
        <f aca="false">IF('New Pricing'!$O$37="","",'New Pricing'!$O$37)</f>
        <v>0.293826086956522</v>
      </c>
      <c r="E60" s="33" t="str">
        <f aca="false">IF('New Pricing'!$I$38="","",'New Pricing'!$I$38)</f>
        <v/>
      </c>
      <c r="F60" s="36" t="str">
        <f aca="false">IF('New Pricing'!$O$38="","",'New Pricing'!$O$38)</f>
        <v/>
      </c>
      <c r="G60" s="33" t="n">
        <f aca="false">IF('New Pricing'!$I$39="","",'New Pricing'!$I$39)</f>
        <v>188</v>
      </c>
      <c r="H60" s="36" t="n">
        <f aca="false">IF('New Pricing'!$O$39="","",'New Pricing'!$O$39)</f>
        <v>0.379734042553192</v>
      </c>
      <c r="I60" s="33" t="n">
        <f aca="false">IF('New Pricing'!$I$40="","",'New Pricing'!$I$40)</f>
        <v>120</v>
      </c>
      <c r="J60" s="36" t="n">
        <f aca="false">IF('New Pricing'!$O$40="","",'New Pricing'!$O$40)</f>
        <v>0.32325</v>
      </c>
      <c r="K60" s="24" t="str">
        <f aca="false">IF(OR($C60="",$E60=""),"",$C60-$E60)</f>
        <v/>
      </c>
      <c r="L60" s="24" t="n">
        <f aca="false">IF(OR($C60="",$G60=""),"",$C60-$G60)</f>
        <v>-73</v>
      </c>
      <c r="M60" s="24" t="n">
        <f aca="false">IF(OR($C60="",$I60=""),"",$C60-$I60)</f>
        <v>-5</v>
      </c>
      <c r="N60" s="25" t="n">
        <f aca="false">IF($D60="","",IFERROR($D60-AVERAGE($F60,$H60),""))</f>
        <v>-0.0859079555966698</v>
      </c>
    </row>
    <row r="61" customFormat="false" ht="15" hidden="false" customHeight="false" outlineLevel="0" collapsed="false">
      <c r="A61" s="37" t="s">
        <v>98</v>
      </c>
      <c r="B61" s="28" t="n">
        <v>5.2</v>
      </c>
      <c r="C61" s="32" t="n">
        <f aca="false">IF('New Pricing'!$I$41="","",'New Pricing'!$I$41)</f>
        <v>68</v>
      </c>
      <c r="D61" s="35" t="n">
        <f aca="false">IF('New Pricing'!$O$41="","",'New Pricing'!$O$41)</f>
        <v>0.270294117647059</v>
      </c>
      <c r="E61" s="34" t="n">
        <f aca="false">IF('New Pricing'!$I$42="","",'New Pricing'!$I$42)</f>
        <v>88.5</v>
      </c>
      <c r="F61" s="38" t="n">
        <f aca="false">IF('New Pricing'!$O$42="","",'New Pricing'!$O$42)</f>
        <v>0.439322033898305</v>
      </c>
      <c r="G61" s="34" t="n">
        <f aca="false">IF('New Pricing'!$I$43="","",'New Pricing'!$I$43)</f>
        <v>80</v>
      </c>
      <c r="H61" s="38" t="n">
        <f aca="false">IF('New Pricing'!$O$43="","",'New Pricing'!$O$43)</f>
        <v>0.37975</v>
      </c>
      <c r="I61" s="34" t="n">
        <f aca="false">IF('New Pricing'!$I$44="","",'New Pricing'!$I$44)</f>
        <v>76</v>
      </c>
      <c r="J61" s="38" t="n">
        <f aca="false">IF('New Pricing'!$O$44="","",'New Pricing'!$O$44)</f>
        <v>0.347105263157895</v>
      </c>
      <c r="K61" s="29" t="n">
        <f aca="false">IF(OR($C61="",$E61=""),"",$C61-$E61)</f>
        <v>-20.5</v>
      </c>
      <c r="L61" s="29" t="n">
        <f aca="false">IF(OR($C61="",$G61=""),"",$C61-$G61)</f>
        <v>-12</v>
      </c>
      <c r="M61" s="29" t="n">
        <f aca="false">IF(OR($C61="",$I61=""),"",$C61-$I61)</f>
        <v>-8</v>
      </c>
      <c r="N61" s="30" t="n">
        <f aca="false">IF($D61="","",IFERROR($D61-AVERAGE($F61,$H61),""))</f>
        <v>-0.139241899302094</v>
      </c>
    </row>
    <row r="64" customFormat="false" ht="15" hidden="false" customHeight="false" outlineLevel="0" collapsed="false">
      <c r="A64" s="3" t="s">
        <v>138</v>
      </c>
    </row>
    <row r="65" customFormat="false" ht="15" hidden="false" customHeight="false" outlineLevel="0" collapsed="false">
      <c r="A65" s="2" t="s">
        <v>139</v>
      </c>
    </row>
    <row r="66" customFormat="false" ht="33.75" hidden="false" customHeight="true" outlineLevel="0" collapsed="false">
      <c r="A66" s="15" t="s">
        <v>63</v>
      </c>
      <c r="B66" s="15" t="s">
        <v>119</v>
      </c>
      <c r="C66" s="15" t="s">
        <v>104</v>
      </c>
      <c r="D66" s="15" t="s">
        <v>140</v>
      </c>
      <c r="E66" s="15" t="s">
        <v>141</v>
      </c>
      <c r="F66" s="15" t="s">
        <v>142</v>
      </c>
      <c r="G66" s="15" t="s">
        <v>143</v>
      </c>
      <c r="H66" s="15" t="s">
        <v>144</v>
      </c>
      <c r="I66" s="15" t="s">
        <v>145</v>
      </c>
      <c r="J66" s="15" t="s">
        <v>146</v>
      </c>
      <c r="K66" s="15" t="s">
        <v>147</v>
      </c>
      <c r="L66" s="15" t="s">
        <v>148</v>
      </c>
      <c r="M66" s="15" t="s">
        <v>149</v>
      </c>
      <c r="N66" s="15" t="s">
        <v>150</v>
      </c>
    </row>
    <row r="67" customFormat="false" ht="15" hidden="false" customHeight="false" outlineLevel="0" collapsed="false">
      <c r="A67" s="4" t="s">
        <v>80</v>
      </c>
      <c r="B67" s="23" t="n">
        <v>15.5</v>
      </c>
      <c r="C67" s="33" t="n">
        <f aca="false">'New Pricing'!$F$5</f>
        <v>2.5</v>
      </c>
      <c r="D67" s="33" t="n">
        <f aca="false">'Current Pricing'!$F$5</f>
        <v>185</v>
      </c>
      <c r="E67" s="33" t="n">
        <f aca="false">'New Pricing'!$H$5</f>
        <v>185</v>
      </c>
      <c r="F67" s="36" t="n">
        <f aca="false">'Current Pricing'!$J$5</f>
        <v>0.380486486486487</v>
      </c>
      <c r="G67" s="36" t="n">
        <f aca="false">'New Pricing'!$L$5</f>
        <v>0.366972972972973</v>
      </c>
      <c r="H67" s="25" t="n">
        <f aca="false">IF(OR($F67="",$G67=""),"",$G67-$F67)</f>
        <v>-0.0135135135135135</v>
      </c>
      <c r="I67" s="33" t="n">
        <f aca="false">'Current Pricing'!$G$5</f>
        <v>175</v>
      </c>
      <c r="J67" s="33" t="n">
        <f aca="false">'New Pricing'!$I$5</f>
        <v>175</v>
      </c>
      <c r="K67" s="36" t="n">
        <f aca="false">'Current Pricing'!$M$5</f>
        <v>0.345085714285714</v>
      </c>
      <c r="L67" s="36" t="n">
        <f aca="false">'New Pricing'!$O$5</f>
        <v>0.3308</v>
      </c>
      <c r="M67" s="25" t="n">
        <f aca="false">IF(OR($K67="",$L67=""),"",$L67-$K67)</f>
        <v>-0.0142857142857143</v>
      </c>
      <c r="N67" s="24" t="n">
        <f aca="false">IF(OR($F67="",'New Pricing'!$J$5=""),"",IFERROR('New Pricing'!$J$5/(1-$F67),""))</f>
        <v>189.035424483029</v>
      </c>
    </row>
    <row r="68" customFormat="false" ht="15" hidden="false" customHeight="false" outlineLevel="0" collapsed="false">
      <c r="A68" s="37" t="s">
        <v>86</v>
      </c>
      <c r="B68" s="28" t="n">
        <v>5.2</v>
      </c>
      <c r="C68" s="34" t="n">
        <f aca="false">'New Pricing'!$F$9</f>
        <v>1.5</v>
      </c>
      <c r="D68" s="34" t="n">
        <f aca="false">'Current Pricing'!$F$9</f>
        <v>80</v>
      </c>
      <c r="E68" s="34" t="n">
        <f aca="false">'New Pricing'!$H$9</f>
        <v>80</v>
      </c>
      <c r="F68" s="38" t="n">
        <f aca="false">'Current Pricing'!$J$9</f>
        <v>0.3985</v>
      </c>
      <c r="G68" s="38" t="n">
        <f aca="false">'New Pricing'!$L$9</f>
        <v>0.37975</v>
      </c>
      <c r="H68" s="30" t="n">
        <f aca="false">IF(OR($F68="",$G68=""),"",$G68-$F68)</f>
        <v>-0.01875</v>
      </c>
      <c r="I68" s="34" t="n">
        <f aca="false">'Current Pricing'!$G$9</f>
        <v>78</v>
      </c>
      <c r="J68" s="34" t="n">
        <f aca="false">'New Pricing'!$I$9</f>
        <v>78</v>
      </c>
      <c r="K68" s="38" t="n">
        <f aca="false">'Current Pricing'!$M$9</f>
        <v>0.383076923076923</v>
      </c>
      <c r="L68" s="38" t="n">
        <f aca="false">'New Pricing'!$O$9</f>
        <v>0.363846153846154</v>
      </c>
      <c r="M68" s="30" t="n">
        <f aca="false">IF(OR($K68="",$L68=""),"",$L68-$K68)</f>
        <v>-0.0192307692307692</v>
      </c>
      <c r="N68" s="29" t="n">
        <f aca="false">IF(OR($F68="",'New Pricing'!$J$9=""),"",IFERROR('New Pricing'!$J$9/(1-$F68),""))</f>
        <v>82.4937655860349</v>
      </c>
    </row>
    <row r="69" customFormat="false" ht="15" hidden="false" customHeight="false" outlineLevel="0" collapsed="false">
      <c r="A69" s="4" t="s">
        <v>87</v>
      </c>
      <c r="B69" s="23" t="n">
        <v>15.5</v>
      </c>
      <c r="C69" s="33" t="n">
        <f aca="false">'New Pricing'!$F$13</f>
        <v>2</v>
      </c>
      <c r="D69" s="33" t="n">
        <f aca="false">'Current Pricing'!$F$13</f>
        <v>185</v>
      </c>
      <c r="E69" s="33" t="n">
        <f aca="false">'New Pricing'!$H$13</f>
        <v>185</v>
      </c>
      <c r="F69" s="36" t="n">
        <f aca="false">'Current Pricing'!$J$13</f>
        <v>0.383189189189189</v>
      </c>
      <c r="G69" s="36" t="n">
        <f aca="false">'New Pricing'!$L$13</f>
        <v>0.372378378378378</v>
      </c>
      <c r="H69" s="25" t="n">
        <f aca="false">IF(OR($F69="",$G69=""),"",$G69-$F69)</f>
        <v>-0.0108108108108108</v>
      </c>
      <c r="I69" s="33" t="n">
        <f aca="false">'Current Pricing'!$G$13</f>
        <v>175</v>
      </c>
      <c r="J69" s="33" t="n">
        <f aca="false">'New Pricing'!$I$13</f>
        <v>175</v>
      </c>
      <c r="K69" s="36" t="n">
        <f aca="false">'Current Pricing'!$M$13</f>
        <v>0.347942857142857</v>
      </c>
      <c r="L69" s="36" t="n">
        <f aca="false">'New Pricing'!$O$13</f>
        <v>0.336514285714286</v>
      </c>
      <c r="M69" s="25" t="n">
        <f aca="false">IF(OR($K69="",$L69=""),"",$L69-$K69)</f>
        <v>-0.0114285714285715</v>
      </c>
      <c r="N69" s="24" t="n">
        <f aca="false">IF(OR($F69="",'New Pricing'!$J$13=""),"",IFERROR('New Pricing'!$J$13/(1-$F69),""))</f>
        <v>188.242485321181</v>
      </c>
    </row>
    <row r="70" customFormat="false" ht="15" hidden="false" customHeight="false" outlineLevel="0" collapsed="false">
      <c r="A70" s="37" t="s">
        <v>88</v>
      </c>
      <c r="B70" s="28" t="n">
        <v>5.2</v>
      </c>
      <c r="C70" s="34" t="n">
        <f aca="false">'New Pricing'!$F$17</f>
        <v>1.5</v>
      </c>
      <c r="D70" s="34" t="n">
        <f aca="false">'Current Pricing'!$F$17</f>
        <v>77</v>
      </c>
      <c r="E70" s="34" t="n">
        <f aca="false">'New Pricing'!$H$17</f>
        <v>77</v>
      </c>
      <c r="F70" s="38" t="n">
        <f aca="false">'Current Pricing'!$J$17</f>
        <v>0.375064935064935</v>
      </c>
      <c r="G70" s="38" t="n">
        <f aca="false">'New Pricing'!$L$17</f>
        <v>0.355584415584416</v>
      </c>
      <c r="H70" s="30" t="n">
        <f aca="false">IF(OR($F70="",$G70=""),"",$G70-$F70)</f>
        <v>-0.0194805194805195</v>
      </c>
      <c r="I70" s="34" t="n">
        <f aca="false">'Current Pricing'!$G$17</f>
        <v>58</v>
      </c>
      <c r="J70" s="34" t="n">
        <f aca="false">'New Pricing'!$I$17</f>
        <v>58</v>
      </c>
      <c r="K70" s="38" t="n">
        <f aca="false">'Current Pricing'!$M$17</f>
        <v>0.32551724137931</v>
      </c>
      <c r="L70" s="38" t="n">
        <f aca="false">'New Pricing'!$O$17</f>
        <v>0.299655172413793</v>
      </c>
      <c r="M70" s="30" t="n">
        <f aca="false">IF(OR($K70="",$L70=""),"",$L70-$K70)</f>
        <v>-0.0258620689655172</v>
      </c>
      <c r="N70" s="29" t="n">
        <f aca="false">IF(OR($F70="",'New Pricing'!$J$17=""),"",IFERROR('New Pricing'!$J$17/(1-$F70),""))</f>
        <v>79.4002493765586</v>
      </c>
    </row>
    <row r="71" customFormat="false" ht="15" hidden="false" customHeight="false" outlineLevel="0" collapsed="false">
      <c r="A71" s="4" t="s">
        <v>91</v>
      </c>
      <c r="B71" s="23" t="n">
        <v>15.5</v>
      </c>
      <c r="C71" s="33" t="n">
        <f aca="false">'New Pricing'!$F$21</f>
        <v>2.5</v>
      </c>
      <c r="D71" s="33" t="n">
        <f aca="false">'Current Pricing'!$F$21</f>
        <v>182</v>
      </c>
      <c r="E71" s="33" t="n">
        <f aca="false">'New Pricing'!$H$21</f>
        <v>182</v>
      </c>
      <c r="F71" s="36" t="n">
        <f aca="false">'Current Pricing'!$J$21</f>
        <v>0.370274725274725</v>
      </c>
      <c r="G71" s="36" t="n">
        <f aca="false">'New Pricing'!$L$21</f>
        <v>0.356538461538462</v>
      </c>
      <c r="H71" s="25" t="n">
        <f aca="false">IF(OR($F71="",$G71=""),"",$G71-$F71)</f>
        <v>-0.0137362637362637</v>
      </c>
      <c r="I71" s="33" t="n">
        <f aca="false">'Current Pricing'!$G$21</f>
        <v>156</v>
      </c>
      <c r="J71" s="33" t="n">
        <f aca="false">'New Pricing'!$I$21</f>
        <v>156</v>
      </c>
      <c r="K71" s="36" t="n">
        <f aca="false">'Current Pricing'!$M$21</f>
        <v>0.265320512820513</v>
      </c>
      <c r="L71" s="36" t="n">
        <f aca="false">'New Pricing'!$O$21</f>
        <v>0.249294871794872</v>
      </c>
      <c r="M71" s="25" t="n">
        <f aca="false">IF(OR($K71="",$L71=""),"",$L71-$K71)</f>
        <v>-0.016025641025641</v>
      </c>
      <c r="N71" s="24" t="n">
        <f aca="false">IF(OR($F71="",'New Pricing'!$J$21=""),"",IFERROR('New Pricing'!$J$21/(1-$F71),""))</f>
        <v>185.969985167088</v>
      </c>
    </row>
    <row r="72" customFormat="false" ht="15" hidden="false" customHeight="false" outlineLevel="0" collapsed="false">
      <c r="A72" s="37" t="s">
        <v>92</v>
      </c>
      <c r="B72" s="28" t="n">
        <v>5.2</v>
      </c>
      <c r="C72" s="34" t="n">
        <f aca="false">'New Pricing'!$F$25</f>
        <v>1.5</v>
      </c>
      <c r="D72" s="34" t="n">
        <f aca="false">'Current Pricing'!$F$25</f>
        <v>75</v>
      </c>
      <c r="E72" s="34" t="n">
        <f aca="false">'New Pricing'!$H$25</f>
        <v>75</v>
      </c>
      <c r="F72" s="38" t="n">
        <f aca="false">'Current Pricing'!$J$25</f>
        <v>0.3584</v>
      </c>
      <c r="G72" s="38" t="n">
        <f aca="false">'New Pricing'!$L$25</f>
        <v>0.3384</v>
      </c>
      <c r="H72" s="30" t="n">
        <f aca="false">IF(OR($F72="",$G72=""),"",$G72-$F72)</f>
        <v>-0.02</v>
      </c>
      <c r="I72" s="34" t="n">
        <f aca="false">'Current Pricing'!$G$25</f>
        <v>73</v>
      </c>
      <c r="J72" s="34" t="n">
        <f aca="false">'New Pricing'!$I$25</f>
        <v>73</v>
      </c>
      <c r="K72" s="38" t="n">
        <f aca="false">'Current Pricing'!$M$25</f>
        <v>0.340821917808219</v>
      </c>
      <c r="L72" s="38" t="n">
        <f aca="false">'New Pricing'!$O$25</f>
        <v>0.32027397260274</v>
      </c>
      <c r="M72" s="30" t="n">
        <f aca="false">IF(OR($K72="",$L72=""),"",$L72-$K72)</f>
        <v>-0.0205479452054794</v>
      </c>
      <c r="N72" s="29" t="n">
        <f aca="false">IF(OR($F72="",'New Pricing'!$J$25=""),"",IFERROR('New Pricing'!$J$25/(1-$F72),""))</f>
        <v>77.3379052369077</v>
      </c>
    </row>
    <row r="73" customFormat="false" ht="15" hidden="false" customHeight="false" outlineLevel="0" collapsed="false">
      <c r="A73" s="4" t="s">
        <v>93</v>
      </c>
      <c r="B73" s="23" t="n">
        <v>15.5</v>
      </c>
      <c r="C73" s="33" t="n">
        <f aca="false">'New Pricing'!$F$29</f>
        <v>2.5</v>
      </c>
      <c r="D73" s="33" t="n">
        <f aca="false">'Current Pricing'!$F$29</f>
        <v>185</v>
      </c>
      <c r="E73" s="33" t="n">
        <f aca="false">'New Pricing'!$H$29</f>
        <v>185</v>
      </c>
      <c r="F73" s="36" t="n">
        <f aca="false">'Current Pricing'!$J$29</f>
        <v>0.340810810810811</v>
      </c>
      <c r="G73" s="36" t="n">
        <f aca="false">'New Pricing'!$L$29</f>
        <v>0.327297297297297</v>
      </c>
      <c r="H73" s="25" t="n">
        <f aca="false">IF(OR($F73="",$G73=""),"",$G73-$F73)</f>
        <v>-0.0135135135135135</v>
      </c>
      <c r="I73" s="33" t="n">
        <f aca="false">'Current Pricing'!$G$29</f>
        <v>180</v>
      </c>
      <c r="J73" s="33" t="n">
        <f aca="false">'New Pricing'!$I$29</f>
        <v>180</v>
      </c>
      <c r="K73" s="36" t="n">
        <f aca="false">'Current Pricing'!$M$29</f>
        <v>0.3225</v>
      </c>
      <c r="L73" s="36" t="n">
        <f aca="false">'New Pricing'!$O$29</f>
        <v>0.308611111111111</v>
      </c>
      <c r="M73" s="25" t="n">
        <f aca="false">IF(OR($K73="",$L73=""),"",$L73-$K73)</f>
        <v>-0.0138888888888889</v>
      </c>
      <c r="N73" s="24" t="n">
        <f aca="false">IF(OR($F73="",'New Pricing'!$J$29=""),"",IFERROR('New Pricing'!$J$29/(1-$F73),""))</f>
        <v>188.792537925379</v>
      </c>
    </row>
    <row r="74" customFormat="false" ht="15" hidden="false" customHeight="false" outlineLevel="0" collapsed="false">
      <c r="A74" s="37" t="s">
        <v>94</v>
      </c>
      <c r="B74" s="28" t="n">
        <v>5.2</v>
      </c>
      <c r="C74" s="34" t="n">
        <f aca="false">'New Pricing'!$F$33</f>
        <v>1.5</v>
      </c>
      <c r="D74" s="34" t="n">
        <f aca="false">'Current Pricing'!$F$33</f>
        <v>90</v>
      </c>
      <c r="E74" s="34" t="n">
        <f aca="false">'New Pricing'!$H$33</f>
        <v>90</v>
      </c>
      <c r="F74" s="38" t="n">
        <f aca="false">'Current Pricing'!$J$33</f>
        <v>0.336888888888889</v>
      </c>
      <c r="G74" s="38" t="n">
        <f aca="false">'New Pricing'!$L$33</f>
        <v>0.320222222222222</v>
      </c>
      <c r="H74" s="30" t="n">
        <f aca="false">IF(OR($F74="",$G74=""),"",$G74-$F74)</f>
        <v>-0.0166666666666667</v>
      </c>
      <c r="I74" s="34" t="n">
        <f aca="false">'Current Pricing'!$G$33</f>
        <v>87</v>
      </c>
      <c r="J74" s="34" t="n">
        <f aca="false">'New Pricing'!$I$33</f>
        <v>87</v>
      </c>
      <c r="K74" s="38" t="n">
        <f aca="false">'Current Pricing'!$M$33</f>
        <v>0.314022988505747</v>
      </c>
      <c r="L74" s="38" t="n">
        <f aca="false">'New Pricing'!$O$33</f>
        <v>0.296781609195402</v>
      </c>
      <c r="M74" s="30" t="n">
        <f aca="false">IF(OR($K74="",$L74=""),"",$L74-$K74)</f>
        <v>-0.0172413793103448</v>
      </c>
      <c r="N74" s="29" t="n">
        <f aca="false">IF(OR($F74="",'New Pricing'!$J$33=""),"",IFERROR('New Pricing'!$J$33/(1-$F74),""))</f>
        <v>92.2620643431635</v>
      </c>
    </row>
    <row r="75" customFormat="false" ht="15" hidden="false" customHeight="false" outlineLevel="0" collapsed="false">
      <c r="A75" s="4" t="s">
        <v>95</v>
      </c>
      <c r="B75" s="23" t="n">
        <v>15.5</v>
      </c>
      <c r="C75" s="33" t="n">
        <f aca="false">'New Pricing'!$F$37</f>
        <v>2.5</v>
      </c>
      <c r="D75" s="33" t="n">
        <f aca="false">'Current Pricing'!$F$37</f>
        <v>168</v>
      </c>
      <c r="E75" s="33" t="n">
        <f aca="false">'New Pricing'!$H$37</f>
        <v>168</v>
      </c>
      <c r="F75" s="36" t="n">
        <f aca="false">'Current Pricing'!$J$37</f>
        <v>0.32077380952381</v>
      </c>
      <c r="G75" s="36" t="n">
        <f aca="false">'New Pricing'!$L$37</f>
        <v>0.305892857142857</v>
      </c>
      <c r="H75" s="25" t="n">
        <f aca="false">IF(OR($F75="",$G75=""),"",$G75-$F75)</f>
        <v>-0.0148809523809524</v>
      </c>
      <c r="I75" s="33" t="n">
        <f aca="false">'Current Pricing'!$G$37</f>
        <v>115</v>
      </c>
      <c r="J75" s="33" t="n">
        <f aca="false">'New Pricing'!$I$37</f>
        <v>115</v>
      </c>
      <c r="K75" s="36" t="n">
        <f aca="false">'Current Pricing'!$M$37</f>
        <v>0.315565217391304</v>
      </c>
      <c r="L75" s="36" t="n">
        <f aca="false">'New Pricing'!$O$37</f>
        <v>0.293826086956522</v>
      </c>
      <c r="M75" s="25" t="n">
        <f aca="false">IF(OR($K75="",$L75=""),"",$L75-$K75)</f>
        <v>-0.0217391304347826</v>
      </c>
      <c r="N75" s="24" t="n">
        <f aca="false">IF(OR($F75="",'New Pricing'!$J$37=""),"",IFERROR('New Pricing'!$J$37/(1-$F75),""))</f>
        <v>171.680659013233</v>
      </c>
    </row>
    <row r="76" customFormat="false" ht="15" hidden="false" customHeight="false" outlineLevel="0" collapsed="false">
      <c r="A76" s="37" t="s">
        <v>98</v>
      </c>
      <c r="B76" s="28" t="n">
        <v>5.2</v>
      </c>
      <c r="C76" s="34" t="n">
        <f aca="false">'New Pricing'!$F$41</f>
        <v>1.5</v>
      </c>
      <c r="D76" s="34" t="n">
        <f aca="false">'Current Pricing'!$F$41</f>
        <v>70</v>
      </c>
      <c r="E76" s="34" t="n">
        <f aca="false">'New Pricing'!$H$41</f>
        <v>70</v>
      </c>
      <c r="F76" s="38" t="n">
        <f aca="false">'Current Pricing'!$J$41</f>
        <v>0.312571428571429</v>
      </c>
      <c r="G76" s="38" t="n">
        <f aca="false">'New Pricing'!$L$41</f>
        <v>0.291142857142857</v>
      </c>
      <c r="H76" s="30" t="n">
        <f aca="false">IF(OR($F76="",$G76=""),"",$G76-$F76)</f>
        <v>-0.0214285714285714</v>
      </c>
      <c r="I76" s="34" t="n">
        <f aca="false">'Current Pricing'!$G$41</f>
        <v>68</v>
      </c>
      <c r="J76" s="34" t="n">
        <f aca="false">'New Pricing'!$I$41</f>
        <v>68</v>
      </c>
      <c r="K76" s="38" t="n">
        <f aca="false">'Current Pricing'!$M$41</f>
        <v>0.292352941176471</v>
      </c>
      <c r="L76" s="38" t="n">
        <f aca="false">'New Pricing'!$O$41</f>
        <v>0.270294117647059</v>
      </c>
      <c r="M76" s="30" t="n">
        <f aca="false">IF(OR($K76="",$L76=""),"",$L76-$K76)</f>
        <v>-0.0220588235294118</v>
      </c>
      <c r="N76" s="29" t="n">
        <f aca="false">IF(OR($F76="",'New Pricing'!$J$41=""),"",IFERROR('New Pricing'!$J$41/(1-$F76),""))</f>
        <v>72.1820448877806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bottomRight" activeCell="C5" sqref="C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9" min="6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8" min="13" style="0" width="12"/>
    <col collapsed="false" customWidth="true" hidden="false" outlineLevel="0" max="19" min="19" style="0" width="13"/>
  </cols>
  <sheetData>
    <row r="1" customFormat="false" ht="19.5" hidden="false" customHeight="tru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33.75" hidden="false" customHeight="true" outlineLevel="0" collapsed="false">
      <c r="A4" s="15" t="s">
        <v>63</v>
      </c>
      <c r="B4" s="15" t="s">
        <v>64</v>
      </c>
      <c r="C4" s="15" t="s">
        <v>153</v>
      </c>
      <c r="D4" s="15" t="s">
        <v>154</v>
      </c>
      <c r="E4" s="15" t="s">
        <v>155</v>
      </c>
      <c r="F4" s="15" t="s">
        <v>156</v>
      </c>
      <c r="G4" s="15" t="s">
        <v>157</v>
      </c>
      <c r="H4" s="15" t="s">
        <v>158</v>
      </c>
      <c r="I4" s="15" t="s">
        <v>159</v>
      </c>
      <c r="J4" s="15" t="s">
        <v>160</v>
      </c>
      <c r="K4" s="15" t="s">
        <v>67</v>
      </c>
      <c r="L4" s="15" t="s">
        <v>161</v>
      </c>
      <c r="M4" s="15" t="s">
        <v>162</v>
      </c>
      <c r="N4" s="15" t="s">
        <v>163</v>
      </c>
      <c r="O4" s="15" t="s">
        <v>164</v>
      </c>
      <c r="P4" s="15" t="s">
        <v>165</v>
      </c>
      <c r="Q4" s="15" t="s">
        <v>166</v>
      </c>
      <c r="R4" s="15" t="s">
        <v>167</v>
      </c>
      <c r="S4" s="15" t="s">
        <v>168</v>
      </c>
    </row>
    <row r="5" customFormat="false" ht="15" hidden="false" customHeight="false" outlineLevel="0" collapsed="false">
      <c r="A5" s="4" t="s">
        <v>80</v>
      </c>
      <c r="B5" s="23" t="n">
        <v>15.5</v>
      </c>
      <c r="C5" s="39" t="n">
        <v>1032</v>
      </c>
      <c r="D5" s="39" t="n">
        <v>225</v>
      </c>
      <c r="E5" s="24" t="n">
        <v>180.69</v>
      </c>
      <c r="F5" s="33" t="n">
        <f aca="false">'Current Pricing'!$F$5</f>
        <v>185</v>
      </c>
      <c r="G5" s="33" t="n">
        <f aca="false">'Current Pricing'!$G$5</f>
        <v>175</v>
      </c>
      <c r="H5" s="24" t="n">
        <f aca="false">IF($F5="","",$E5-$F5)</f>
        <v>-4.31</v>
      </c>
      <c r="I5" s="25" t="n">
        <v>0.3372</v>
      </c>
      <c r="J5" s="25" t="n">
        <v>0.189</v>
      </c>
      <c r="K5" s="33" t="n">
        <f aca="false">'Current Pricing'!$E$5</f>
        <v>0</v>
      </c>
      <c r="L5" s="24" t="n">
        <f aca="false">IF($K5="","",$K5*$J5)</f>
        <v>0</v>
      </c>
      <c r="M5" s="24" t="n">
        <f aca="false">IF('Current Pricing'!$D$5="","",'Current Pricing'!$D$5-$L5)</f>
        <v>114.61</v>
      </c>
      <c r="N5" s="24" t="n">
        <f aca="false">IF($M5="","",$E5-$M5)</f>
        <v>66.08</v>
      </c>
      <c r="O5" s="25" t="n">
        <f aca="false">IF($N5="","",IFERROR($N5/$E5,""))</f>
        <v>0.365709225745752</v>
      </c>
      <c r="P5" s="24" t="n">
        <f aca="false">IF('New Pricing'!$E$5="","",'New Pricing'!$E$5-$L5)</f>
        <v>117.11</v>
      </c>
      <c r="Q5" s="24" t="n">
        <f aca="false">IF($P5="","",$E5-$P5)</f>
        <v>63.58</v>
      </c>
      <c r="R5" s="25" t="n">
        <f aca="false">IF($Q5="","",IFERROR($Q5/$E5,""))</f>
        <v>0.351873374287454</v>
      </c>
      <c r="S5" s="40" t="n">
        <f aca="false">IF(OR($N5="",$Q5=""),"",($Q5-$N5)*$C5)</f>
        <v>-2580</v>
      </c>
    </row>
    <row r="6" customFormat="false" ht="15" hidden="false" customHeight="false" outlineLevel="0" collapsed="false">
      <c r="A6" s="37" t="s">
        <v>86</v>
      </c>
      <c r="B6" s="28" t="n">
        <v>5.2</v>
      </c>
      <c r="C6" s="41" t="n">
        <v>617</v>
      </c>
      <c r="D6" s="41" t="n">
        <v>148</v>
      </c>
      <c r="E6" s="29" t="n">
        <v>78.62</v>
      </c>
      <c r="F6" s="34" t="n">
        <f aca="false">'Current Pricing'!$F$9</f>
        <v>80</v>
      </c>
      <c r="G6" s="34" t="n">
        <f aca="false">'Current Pricing'!$G$9</f>
        <v>78</v>
      </c>
      <c r="H6" s="29" t="n">
        <f aca="false">IF($F6="","",$E6-$F6)</f>
        <v>-1.38</v>
      </c>
      <c r="I6" s="30" t="n">
        <v>0.3096</v>
      </c>
      <c r="J6" s="30" t="n">
        <v>0.6872</v>
      </c>
      <c r="K6" s="34" t="n">
        <f aca="false">'Current Pricing'!$E$9</f>
        <v>0</v>
      </c>
      <c r="L6" s="29" t="n">
        <f aca="false">IF($K6="","",$K6*$J6)</f>
        <v>0</v>
      </c>
      <c r="M6" s="29" t="n">
        <f aca="false">IF('Current Pricing'!$D$9="","",'Current Pricing'!$D$9-$L6)</f>
        <v>48.12</v>
      </c>
      <c r="N6" s="29" t="n">
        <f aca="false">IF($M6="","",$E6-$M6)</f>
        <v>30.5</v>
      </c>
      <c r="O6" s="30" t="n">
        <f aca="false">IF($N6="","",IFERROR($N6/$E6,""))</f>
        <v>0.387941999491224</v>
      </c>
      <c r="P6" s="29" t="n">
        <f aca="false">IF('New Pricing'!$E$9="","",'New Pricing'!$E$9-$L6)</f>
        <v>49.62</v>
      </c>
      <c r="Q6" s="29" t="n">
        <f aca="false">IF($P6="","",$E6-$P6)</f>
        <v>29</v>
      </c>
      <c r="R6" s="30" t="n">
        <f aca="false">IF($Q6="","",IFERROR($Q6/$E6,""))</f>
        <v>0.368862884762147</v>
      </c>
      <c r="S6" s="42" t="n">
        <f aca="false">IF(OR($N6="",$Q6=""),"",($Q6-$N6)*$C6)</f>
        <v>-925.5</v>
      </c>
    </row>
    <row r="7" customFormat="false" ht="15" hidden="false" customHeight="false" outlineLevel="0" collapsed="false">
      <c r="A7" s="4" t="s">
        <v>87</v>
      </c>
      <c r="B7" s="23" t="n">
        <v>15.5</v>
      </c>
      <c r="C7" s="39" t="n">
        <v>28</v>
      </c>
      <c r="D7" s="39" t="n">
        <v>13</v>
      </c>
      <c r="E7" s="24" t="n">
        <v>179</v>
      </c>
      <c r="F7" s="33" t="n">
        <f aca="false">'Current Pricing'!$F$13</f>
        <v>185</v>
      </c>
      <c r="G7" s="33" t="n">
        <f aca="false">'Current Pricing'!$G$13</f>
        <v>175</v>
      </c>
      <c r="H7" s="24" t="n">
        <f aca="false">IF($F7="","",$E7-$F7)</f>
        <v>-6</v>
      </c>
      <c r="I7" s="25" t="n">
        <v>0.3571</v>
      </c>
      <c r="J7" s="25" t="n">
        <v>0.5714</v>
      </c>
      <c r="K7" s="33" t="n">
        <f aca="false">'Current Pricing'!$E$13</f>
        <v>0</v>
      </c>
      <c r="L7" s="24" t="n">
        <f aca="false">IF($K7="","",$K7*$J7)</f>
        <v>0</v>
      </c>
      <c r="M7" s="24" t="n">
        <f aca="false">IF('Current Pricing'!$D$13="","",'Current Pricing'!$D$13-$L7)</f>
        <v>114.11</v>
      </c>
      <c r="N7" s="24" t="n">
        <f aca="false">IF($M7="","",$E7-$M7)</f>
        <v>64.89</v>
      </c>
      <c r="O7" s="25" t="n">
        <f aca="false">IF($N7="","",IFERROR($N7/$E7,""))</f>
        <v>0.362513966480447</v>
      </c>
      <c r="P7" s="24" t="n">
        <f aca="false">IF('New Pricing'!$E$13="","",'New Pricing'!$E$13-$L7)</f>
        <v>116.11</v>
      </c>
      <c r="Q7" s="24" t="n">
        <f aca="false">IF($P7="","",$E7-$P7)</f>
        <v>62.89</v>
      </c>
      <c r="R7" s="25" t="n">
        <f aca="false">IF($Q7="","",IFERROR($Q7/$E7,""))</f>
        <v>0.351340782122905</v>
      </c>
      <c r="S7" s="40" t="n">
        <f aca="false">IF(OR($N7="",$Q7=""),"",($Q7-$N7)*$C7)</f>
        <v>-56</v>
      </c>
    </row>
    <row r="8" customFormat="false" ht="15" hidden="false" customHeight="false" outlineLevel="0" collapsed="false">
      <c r="A8" s="37" t="s">
        <v>88</v>
      </c>
      <c r="B8" s="28" t="n">
        <v>5.2</v>
      </c>
      <c r="C8" s="41" t="n">
        <v>75</v>
      </c>
      <c r="D8" s="41" t="n">
        <v>17</v>
      </c>
      <c r="E8" s="29" t="n">
        <v>64.41</v>
      </c>
      <c r="F8" s="34" t="n">
        <f aca="false">'Current Pricing'!$F$17</f>
        <v>77</v>
      </c>
      <c r="G8" s="34" t="n">
        <f aca="false">'Current Pricing'!$G$17</f>
        <v>58</v>
      </c>
      <c r="H8" s="29" t="n">
        <f aca="false">IF($F8="","",$E8-$F8)</f>
        <v>-12.59</v>
      </c>
      <c r="I8" s="30" t="n">
        <v>0.2</v>
      </c>
      <c r="J8" s="30" t="n">
        <v>0.6133</v>
      </c>
      <c r="K8" s="34" t="n">
        <f aca="false">'Current Pricing'!$E$17</f>
        <v>9</v>
      </c>
      <c r="L8" s="29" t="n">
        <f aca="false">IF($K8="","",$K8*$J8)</f>
        <v>5.5197</v>
      </c>
      <c r="M8" s="29" t="n">
        <f aca="false">IF('Current Pricing'!$D$17="","",'Current Pricing'!$D$17-$L8)</f>
        <v>42.6003</v>
      </c>
      <c r="N8" s="29" t="n">
        <f aca="false">IF($M8="","",$E8-$M8)</f>
        <v>21.8097</v>
      </c>
      <c r="O8" s="30" t="n">
        <f aca="false">IF($N8="","",IFERROR($N8/$E8,""))</f>
        <v>0.338607359105729</v>
      </c>
      <c r="P8" s="29" t="n">
        <f aca="false">IF('New Pricing'!$E$17="","",'New Pricing'!$E$17-$L8)</f>
        <v>44.1003</v>
      </c>
      <c r="Q8" s="29" t="n">
        <f aca="false">IF($P8="","",$E8-$P8)</f>
        <v>20.3097</v>
      </c>
      <c r="R8" s="30" t="n">
        <f aca="false">IF($Q8="","",IFERROR($Q8/$E8,""))</f>
        <v>0.315319049836982</v>
      </c>
      <c r="S8" s="42" t="n">
        <f aca="false">IF(OR($N8="",$Q8=""),"",($Q8-$N8)*$C8)</f>
        <v>-112.5</v>
      </c>
    </row>
    <row r="9" customFormat="false" ht="15" hidden="false" customHeight="false" outlineLevel="0" collapsed="false">
      <c r="A9" s="4" t="s">
        <v>91</v>
      </c>
      <c r="B9" s="23" t="n">
        <v>15.5</v>
      </c>
      <c r="C9" s="39" t="n">
        <v>151</v>
      </c>
      <c r="D9" s="39" t="n">
        <v>42</v>
      </c>
      <c r="E9" s="24" t="n">
        <v>168.38</v>
      </c>
      <c r="F9" s="33" t="n">
        <f aca="false">'Current Pricing'!$F$21</f>
        <v>182</v>
      </c>
      <c r="G9" s="33" t="n">
        <f aca="false">'Current Pricing'!$G$21</f>
        <v>156</v>
      </c>
      <c r="H9" s="24" t="n">
        <f aca="false">IF($F9="","",$E9-$F9)</f>
        <v>-13.62</v>
      </c>
      <c r="I9" s="25" t="n">
        <v>0.4305</v>
      </c>
      <c r="J9" s="25" t="n">
        <v>0.4503</v>
      </c>
      <c r="K9" s="33" t="n">
        <f aca="false">'Current Pricing'!$E$21</f>
        <v>0</v>
      </c>
      <c r="L9" s="24" t="n">
        <f aca="false">IF($K9="","",$K9*$J9)</f>
        <v>0</v>
      </c>
      <c r="M9" s="24" t="n">
        <f aca="false">IF('Current Pricing'!$D$21="","",'Current Pricing'!$D$21-$L9)</f>
        <v>114.61</v>
      </c>
      <c r="N9" s="24" t="n">
        <f aca="false">IF($M9="","",$E9-$M9)</f>
        <v>53.77</v>
      </c>
      <c r="O9" s="25" t="n">
        <f aca="false">IF($N9="","",IFERROR($N9/$E9,""))</f>
        <v>0.319337213445777</v>
      </c>
      <c r="P9" s="24" t="n">
        <f aca="false">IF('New Pricing'!$E$21="","",'New Pricing'!$E$21-$L9)</f>
        <v>117.11</v>
      </c>
      <c r="Q9" s="24" t="n">
        <f aca="false">IF($P9="","",$E9-$P9)</f>
        <v>51.27</v>
      </c>
      <c r="R9" s="25" t="n">
        <f aca="false">IF($Q9="","",IFERROR($Q9/$E9,""))</f>
        <v>0.304489844399572</v>
      </c>
      <c r="S9" s="40" t="n">
        <f aca="false">IF(OR($N9="",$Q9=""),"",($Q9-$N9)*$C9)</f>
        <v>-377.5</v>
      </c>
    </row>
    <row r="10" customFormat="false" ht="15" hidden="false" customHeight="false" outlineLevel="0" collapsed="false">
      <c r="A10" s="37" t="s">
        <v>92</v>
      </c>
      <c r="B10" s="28" t="n">
        <v>5.2</v>
      </c>
      <c r="C10" s="41" t="n">
        <v>86</v>
      </c>
      <c r="D10" s="41" t="n">
        <v>25</v>
      </c>
      <c r="E10" s="29" t="n">
        <v>73.84</v>
      </c>
      <c r="F10" s="34" t="n">
        <f aca="false">'Current Pricing'!$F$25</f>
        <v>75</v>
      </c>
      <c r="G10" s="34" t="n">
        <f aca="false">'Current Pricing'!$G$25</f>
        <v>73</v>
      </c>
      <c r="H10" s="29" t="n">
        <f aca="false">IF($F10="","",$E10-$F10)</f>
        <v>-1.16</v>
      </c>
      <c r="I10" s="30" t="n">
        <v>0.4186</v>
      </c>
      <c r="J10" s="30" t="n">
        <v>0.5814</v>
      </c>
      <c r="K10" s="34" t="n">
        <f aca="false">'Current Pricing'!$E$25</f>
        <v>0</v>
      </c>
      <c r="L10" s="29" t="n">
        <f aca="false">IF($K10="","",$K10*$J10)</f>
        <v>0</v>
      </c>
      <c r="M10" s="29" t="n">
        <f aca="false">IF('Current Pricing'!$D$25="","",'Current Pricing'!$D$25-$L10)</f>
        <v>48.12</v>
      </c>
      <c r="N10" s="29" t="n">
        <f aca="false">IF($M10="","",$E10-$M10)</f>
        <v>25.72</v>
      </c>
      <c r="O10" s="30" t="n">
        <f aca="false">IF($N10="","",IFERROR($N10/$E10,""))</f>
        <v>0.348320693391116</v>
      </c>
      <c r="P10" s="29" t="n">
        <f aca="false">IF('New Pricing'!$E$25="","",'New Pricing'!$E$25-$L10)</f>
        <v>49.62</v>
      </c>
      <c r="Q10" s="29" t="n">
        <f aca="false">IF($P10="","",$E10-$P10)</f>
        <v>24.22</v>
      </c>
      <c r="R10" s="30" t="n">
        <f aca="false">IF($Q10="","",IFERROR($Q10/$E10,""))</f>
        <v>0.328006500541712</v>
      </c>
      <c r="S10" s="42" t="n">
        <f aca="false">IF(OR($N10="",$Q10=""),"",($Q10-$N10)*$C10)</f>
        <v>-129</v>
      </c>
    </row>
    <row r="11" customFormat="false" ht="15" hidden="false" customHeight="false" outlineLevel="0" collapsed="false">
      <c r="A11" s="4" t="s">
        <v>93</v>
      </c>
      <c r="B11" s="23" t="n">
        <v>15.5</v>
      </c>
      <c r="C11" s="39" t="n">
        <v>259</v>
      </c>
      <c r="D11" s="39" t="n">
        <v>72</v>
      </c>
      <c r="E11" s="24" t="n">
        <v>182.14</v>
      </c>
      <c r="F11" s="33" t="n">
        <f aca="false">'Current Pricing'!$F$29</f>
        <v>185</v>
      </c>
      <c r="G11" s="33" t="n">
        <f aca="false">'Current Pricing'!$G$29</f>
        <v>180</v>
      </c>
      <c r="H11" s="24" t="n">
        <f aca="false">IF($F11="","",$E11-$F11)</f>
        <v>-2.86000000000001</v>
      </c>
      <c r="I11" s="25" t="n">
        <v>0.4286</v>
      </c>
      <c r="J11" s="25" t="n">
        <v>0.5714</v>
      </c>
      <c r="K11" s="33" t="n">
        <f aca="false">'Current Pricing'!$E$29</f>
        <v>0</v>
      </c>
      <c r="L11" s="24" t="n">
        <f aca="false">IF($K11="","",$K11*$J11)</f>
        <v>0</v>
      </c>
      <c r="M11" s="24" t="n">
        <f aca="false">IF('Current Pricing'!$D$29="","",'Current Pricing'!$D$29-$L11)</f>
        <v>121.95</v>
      </c>
      <c r="N11" s="24" t="n">
        <f aca="false">IF($M11="","",$E11-$M11)</f>
        <v>60.19</v>
      </c>
      <c r="O11" s="25" t="n">
        <f aca="false">IF($N11="","",IFERROR($N11/$E11,""))</f>
        <v>0.330460085648402</v>
      </c>
      <c r="P11" s="24" t="n">
        <f aca="false">IF('New Pricing'!$E$29="","",'New Pricing'!$E$29-$L11)</f>
        <v>124.45</v>
      </c>
      <c r="Q11" s="24" t="n">
        <f aca="false">IF($P11="","",$E11-$P11)</f>
        <v>57.69</v>
      </c>
      <c r="R11" s="25" t="n">
        <f aca="false">IF($Q11="","",IFERROR($Q11/$E11,""))</f>
        <v>0.31673438014714</v>
      </c>
      <c r="S11" s="40" t="n">
        <f aca="false">IF(OR($N11="",$Q11=""),"",($Q11-$N11)*$C11)</f>
        <v>-647.5</v>
      </c>
    </row>
    <row r="12" customFormat="false" ht="15" hidden="false" customHeight="false" outlineLevel="0" collapsed="false">
      <c r="A12" s="37" t="s">
        <v>94</v>
      </c>
      <c r="B12" s="28" t="n">
        <v>5.2</v>
      </c>
      <c r="C12" s="41" t="n">
        <v>243</v>
      </c>
      <c r="D12" s="41" t="n">
        <v>63</v>
      </c>
      <c r="E12" s="29" t="n">
        <v>88.16</v>
      </c>
      <c r="F12" s="34" t="n">
        <f aca="false">'Current Pricing'!$F$33</f>
        <v>90</v>
      </c>
      <c r="G12" s="34" t="n">
        <f aca="false">'Current Pricing'!$G$33</f>
        <v>87</v>
      </c>
      <c r="H12" s="29" t="n">
        <f aca="false">IF($F12="","",$E12-$F12)</f>
        <v>-1.84</v>
      </c>
      <c r="I12" s="30" t="n">
        <v>0.3868</v>
      </c>
      <c r="J12" s="30" t="n">
        <v>0.6132</v>
      </c>
      <c r="K12" s="34" t="n">
        <f aca="false">'Current Pricing'!$E$33</f>
        <v>0</v>
      </c>
      <c r="L12" s="29" t="n">
        <f aca="false">IF($K12="","",$K12*$J12)</f>
        <v>0</v>
      </c>
      <c r="M12" s="29" t="n">
        <f aca="false">IF('Current Pricing'!$D$33="","",'Current Pricing'!$D$33-$L12)</f>
        <v>59.68</v>
      </c>
      <c r="N12" s="29" t="n">
        <f aca="false">IF($M12="","",$E12-$M12)</f>
        <v>28.48</v>
      </c>
      <c r="O12" s="30" t="n">
        <f aca="false">IF($N12="","",IFERROR($N12/$E12,""))</f>
        <v>0.323049001814882</v>
      </c>
      <c r="P12" s="29" t="n">
        <f aca="false">IF('New Pricing'!$E$33="","",'New Pricing'!$E$33-$L12)</f>
        <v>61.18</v>
      </c>
      <c r="Q12" s="29" t="n">
        <f aca="false">IF($P12="","",$E12-$P12)</f>
        <v>26.98</v>
      </c>
      <c r="R12" s="30" t="n">
        <f aca="false">IF($Q12="","",IFERROR($Q12/$E12,""))</f>
        <v>0.306034482758621</v>
      </c>
      <c r="S12" s="42" t="n">
        <f aca="false">IF(OR($N12="",$Q12=""),"",($Q12-$N12)*$C12)</f>
        <v>-364.5</v>
      </c>
    </row>
    <row r="13" customFormat="false" ht="15" hidden="false" customHeight="false" outlineLevel="0" collapsed="false">
      <c r="A13" s="4" t="s">
        <v>95</v>
      </c>
      <c r="B13" s="23" t="n">
        <v>15.5</v>
      </c>
      <c r="C13" s="39" t="n">
        <v>42</v>
      </c>
      <c r="D13" s="39" t="n">
        <v>16</v>
      </c>
      <c r="E13" s="24" t="n">
        <v>120.05</v>
      </c>
      <c r="F13" s="33" t="n">
        <f aca="false">'Current Pricing'!$F$37</f>
        <v>168</v>
      </c>
      <c r="G13" s="33" t="n">
        <f aca="false">'Current Pricing'!$G$37</f>
        <v>115</v>
      </c>
      <c r="H13" s="24" t="n">
        <f aca="false">IF($F13="","",$E13-$F13)</f>
        <v>-47.95</v>
      </c>
      <c r="I13" s="25" t="n">
        <v>0.0952</v>
      </c>
      <c r="J13" s="25" t="n">
        <v>0.9048</v>
      </c>
      <c r="K13" s="33" t="n">
        <f aca="false">'Current Pricing'!$E$37</f>
        <v>35.4</v>
      </c>
      <c r="L13" s="24" t="n">
        <f aca="false">IF($K13="","",$K13*$J13)</f>
        <v>32.02992</v>
      </c>
      <c r="M13" s="24" t="n">
        <f aca="false">IF('Current Pricing'!$D$37="","",'Current Pricing'!$D$37-$L13)</f>
        <v>82.08008</v>
      </c>
      <c r="N13" s="24" t="n">
        <f aca="false">IF($M13="","",$E13-$M13)</f>
        <v>37.96992</v>
      </c>
      <c r="O13" s="25" t="n">
        <f aca="false">IF($N13="","",IFERROR($N13/$E13,""))</f>
        <v>0.316284214910454</v>
      </c>
      <c r="P13" s="24" t="n">
        <f aca="false">IF('New Pricing'!$E$37="","",'New Pricing'!$E$37-$L13)</f>
        <v>84.58008</v>
      </c>
      <c r="Q13" s="24" t="n">
        <f aca="false">IF($P13="","",$E13-$P13)</f>
        <v>35.46992</v>
      </c>
      <c r="R13" s="25" t="n">
        <f aca="false">IF($Q13="","",IFERROR($Q13/$E13,""))</f>
        <v>0.295459558517284</v>
      </c>
      <c r="S13" s="40" t="n">
        <f aca="false">IF(OR($N13="",$Q13=""),"",($Q13-$N13)*$C13)</f>
        <v>-105</v>
      </c>
    </row>
    <row r="14" customFormat="false" ht="15" hidden="false" customHeight="false" outlineLevel="0" collapsed="false">
      <c r="A14" s="37" t="s">
        <v>98</v>
      </c>
      <c r="B14" s="28" t="n">
        <v>5.2</v>
      </c>
      <c r="C14" s="41" t="n">
        <v>33</v>
      </c>
      <c r="D14" s="41" t="n">
        <v>14</v>
      </c>
      <c r="E14" s="29" t="n">
        <v>68.12</v>
      </c>
      <c r="F14" s="34" t="n">
        <f aca="false">'Current Pricing'!$F$41</f>
        <v>70</v>
      </c>
      <c r="G14" s="34" t="n">
        <f aca="false">'Current Pricing'!$G$41</f>
        <v>68</v>
      </c>
      <c r="H14" s="29" t="n">
        <f aca="false">IF($F14="","",$E14-$F14)</f>
        <v>-1.88</v>
      </c>
      <c r="I14" s="30" t="n">
        <v>0.0606</v>
      </c>
      <c r="J14" s="30" t="n">
        <v>0.9394</v>
      </c>
      <c r="K14" s="34" t="n">
        <f aca="false">'Current Pricing'!$E$41</f>
        <v>0</v>
      </c>
      <c r="L14" s="29" t="n">
        <f aca="false">IF($K14="","",$K14*$J14)</f>
        <v>0</v>
      </c>
      <c r="M14" s="29" t="n">
        <f aca="false">IF('Current Pricing'!$D$41="","",'Current Pricing'!$D$41-$L14)</f>
        <v>48.12</v>
      </c>
      <c r="N14" s="29" t="n">
        <f aca="false">IF($M14="","",$E14-$M14)</f>
        <v>20</v>
      </c>
      <c r="O14" s="30" t="n">
        <f aca="false">IF($N14="","",IFERROR($N14/$E14,""))</f>
        <v>0.293599530240752</v>
      </c>
      <c r="P14" s="29" t="n">
        <f aca="false">IF('New Pricing'!$E$41="","",'New Pricing'!$E$41-$L14)</f>
        <v>49.62</v>
      </c>
      <c r="Q14" s="29" t="n">
        <f aca="false">IF($P14="","",$E14-$P14)</f>
        <v>18.5</v>
      </c>
      <c r="R14" s="30" t="n">
        <f aca="false">IF($Q14="","",IFERROR($Q14/$E14,""))</f>
        <v>0.271579565472695</v>
      </c>
      <c r="S14" s="42" t="n">
        <f aca="false">IF(OR($N14="",$Q14=""),"",($Q14-$N14)*$C14)</f>
        <v>-49.5</v>
      </c>
    </row>
    <row r="15" customFormat="false" ht="15" hidden="false" customHeight="false" outlineLevel="0" collapsed="false">
      <c r="A15" s="43" t="s">
        <v>169</v>
      </c>
      <c r="B15" s="43"/>
      <c r="C15" s="44" t="n">
        <f aca="false">SUM(C5:C14)</f>
        <v>2566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5" t="n">
        <f aca="false">SUM(S5:S14)</f>
        <v>-5347</v>
      </c>
    </row>
    <row r="17" customFormat="false" ht="15" hidden="false" customHeight="false" outlineLevel="0" collapsed="false">
      <c r="A17" s="2" t="s">
        <v>170</v>
      </c>
    </row>
    <row r="18" customFormat="false" ht="15" hidden="false" customHeight="false" outlineLevel="0" collapsed="false">
      <c r="A18" s="2" t="s">
        <v>171</v>
      </c>
    </row>
    <row r="19" customFormat="false" ht="15" hidden="false" customHeight="false" outlineLevel="0" collapsed="false">
      <c r="A19" s="2" t="s">
        <v>172</v>
      </c>
    </row>
    <row r="20" customFormat="false" ht="15" hidden="false" customHeight="false" outlineLevel="0" collapsed="false">
      <c r="A20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activeCell="A1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5"/>
  </cols>
  <sheetData>
    <row r="1" customFormat="false" ht="19.5" hidden="false" customHeight="tru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39.75" hidden="false" customHeight="true" outlineLevel="0" collapsed="false">
      <c r="B4" s="46" t="s">
        <v>176</v>
      </c>
      <c r="C4" s="46" t="s">
        <v>177</v>
      </c>
      <c r="D4" s="46" t="s">
        <v>178</v>
      </c>
      <c r="E4" s="46" t="s">
        <v>179</v>
      </c>
      <c r="F4" s="46" t="s">
        <v>180</v>
      </c>
      <c r="G4" s="46" t="s">
        <v>181</v>
      </c>
      <c r="H4" s="46" t="s">
        <v>182</v>
      </c>
      <c r="I4" s="46" t="s">
        <v>183</v>
      </c>
      <c r="J4" s="46" t="s">
        <v>184</v>
      </c>
    </row>
    <row r="5" customFormat="false" ht="15" hidden="false" customHeight="false" outlineLevel="0" collapsed="false">
      <c r="A5" s="4" t="s">
        <v>80</v>
      </c>
      <c r="B5" s="24" t="n">
        <v>114.61</v>
      </c>
      <c r="C5" s="24" t="n">
        <v>185</v>
      </c>
      <c r="D5" s="24" t="n">
        <v>185</v>
      </c>
      <c r="E5" s="24" t="n">
        <v>209</v>
      </c>
      <c r="F5" s="24" t="n">
        <v>207</v>
      </c>
      <c r="G5" s="24" t="n">
        <v>169</v>
      </c>
      <c r="H5" s="24" t="n">
        <v>175</v>
      </c>
      <c r="I5" s="24" t="n">
        <v>188</v>
      </c>
      <c r="J5" s="24" t="n">
        <v>188</v>
      </c>
    </row>
    <row r="6" customFormat="false" ht="15" hidden="false" customHeight="false" outlineLevel="0" collapsed="false">
      <c r="A6" s="4" t="s">
        <v>86</v>
      </c>
      <c r="B6" s="24" t="n">
        <v>48.12</v>
      </c>
      <c r="C6" s="24" t="n">
        <v>73</v>
      </c>
      <c r="D6" s="24" t="n">
        <v>80</v>
      </c>
      <c r="E6" s="24" t="n">
        <v>97.5</v>
      </c>
      <c r="F6" s="24" t="n">
        <v>90</v>
      </c>
      <c r="G6" s="24" t="n">
        <v>63</v>
      </c>
      <c r="H6" s="24" t="n">
        <v>78</v>
      </c>
      <c r="I6" s="24" t="n">
        <v>88.5</v>
      </c>
      <c r="J6" s="24" t="n">
        <v>80</v>
      </c>
    </row>
    <row r="7" customFormat="false" ht="15" hidden="false" customHeight="false" outlineLevel="0" collapsed="false">
      <c r="A7" s="4" t="s">
        <v>87</v>
      </c>
      <c r="B7" s="24" t="n">
        <v>114.11</v>
      </c>
      <c r="C7" s="24" t="n">
        <v>184</v>
      </c>
      <c r="D7" s="24" t="n">
        <v>185</v>
      </c>
      <c r="E7" s="24" t="n">
        <v>209</v>
      </c>
      <c r="F7" s="24" t="n">
        <v>207</v>
      </c>
      <c r="G7" s="24" t="n">
        <v>168</v>
      </c>
      <c r="H7" s="24" t="n">
        <v>175</v>
      </c>
      <c r="I7" s="24" t="n">
        <v>188</v>
      </c>
      <c r="J7" s="24" t="n">
        <v>188</v>
      </c>
    </row>
    <row r="8" customFormat="false" ht="15" hidden="false" customHeight="false" outlineLevel="0" collapsed="false">
      <c r="A8" s="4" t="s">
        <v>88</v>
      </c>
      <c r="B8" s="24" t="n">
        <v>48.12</v>
      </c>
      <c r="C8" s="24" t="n">
        <v>77</v>
      </c>
      <c r="D8" s="24" t="n">
        <v>77</v>
      </c>
      <c r="E8" s="24" t="n">
        <v>97.5</v>
      </c>
      <c r="F8" s="24" t="n">
        <v>90</v>
      </c>
      <c r="G8" s="9" t="s">
        <v>185</v>
      </c>
      <c r="H8" s="24" t="n">
        <v>58</v>
      </c>
      <c r="I8" s="24" t="n">
        <v>88.5</v>
      </c>
      <c r="J8" s="24" t="n">
        <v>80</v>
      </c>
    </row>
    <row r="9" customFormat="false" ht="15" hidden="false" customHeight="false" outlineLevel="0" collapsed="false">
      <c r="A9" s="4" t="s">
        <v>91</v>
      </c>
      <c r="B9" s="24" t="n">
        <v>114.61</v>
      </c>
      <c r="C9" s="24" t="n">
        <v>185</v>
      </c>
      <c r="D9" s="24" t="n">
        <v>182</v>
      </c>
      <c r="E9" s="24" t="n">
        <v>200</v>
      </c>
      <c r="F9" s="24" t="n">
        <v>207</v>
      </c>
      <c r="G9" s="24" t="n">
        <v>169</v>
      </c>
      <c r="H9" s="24" t="n">
        <v>156</v>
      </c>
      <c r="I9" s="24" t="n">
        <v>189</v>
      </c>
      <c r="J9" s="24" t="n">
        <v>188</v>
      </c>
    </row>
    <row r="10" customFormat="false" ht="15" hidden="false" customHeight="false" outlineLevel="0" collapsed="false">
      <c r="A10" s="4" t="s">
        <v>92</v>
      </c>
      <c r="B10" s="24" t="n">
        <v>48.12</v>
      </c>
      <c r="C10" s="24" t="n">
        <v>77</v>
      </c>
      <c r="D10" s="24" t="n">
        <v>75</v>
      </c>
      <c r="E10" s="24" t="n">
        <v>95</v>
      </c>
      <c r="F10" s="24" t="n">
        <v>90</v>
      </c>
      <c r="G10" s="24" t="n">
        <v>73</v>
      </c>
      <c r="H10" s="24" t="n">
        <v>73</v>
      </c>
      <c r="I10" s="24" t="n">
        <v>87</v>
      </c>
      <c r="J10" s="24" t="n">
        <v>80</v>
      </c>
    </row>
    <row r="11" customFormat="false" ht="15" hidden="false" customHeight="false" outlineLevel="0" collapsed="false">
      <c r="A11" s="4" t="s">
        <v>93</v>
      </c>
      <c r="B11" s="24" t="n">
        <v>121.95</v>
      </c>
      <c r="C11" s="24" t="n">
        <v>189</v>
      </c>
      <c r="D11" s="24" t="n">
        <v>185</v>
      </c>
      <c r="E11" s="24" t="n">
        <v>209</v>
      </c>
      <c r="F11" s="24" t="n">
        <v>203</v>
      </c>
      <c r="G11" s="24" t="n">
        <v>161</v>
      </c>
      <c r="H11" s="24" t="n">
        <v>180</v>
      </c>
      <c r="I11" s="24" t="n">
        <v>188</v>
      </c>
      <c r="J11" s="24" t="n">
        <v>188</v>
      </c>
    </row>
    <row r="12" customFormat="false" ht="15" hidden="false" customHeight="false" outlineLevel="0" collapsed="false">
      <c r="A12" s="4" t="s">
        <v>94</v>
      </c>
      <c r="B12" s="24" t="n">
        <v>59.68</v>
      </c>
      <c r="C12" s="24" t="n">
        <v>87</v>
      </c>
      <c r="D12" s="24" t="n">
        <v>90</v>
      </c>
      <c r="E12" s="24" t="n">
        <v>97.5</v>
      </c>
      <c r="F12" s="24" t="n">
        <v>98</v>
      </c>
      <c r="G12" s="24" t="n">
        <v>83</v>
      </c>
      <c r="H12" s="24" t="n">
        <v>87</v>
      </c>
      <c r="I12" s="24" t="n">
        <v>88.5</v>
      </c>
      <c r="J12" s="24" t="n">
        <v>94</v>
      </c>
    </row>
    <row r="13" customFormat="false" ht="15" hidden="false" customHeight="false" outlineLevel="0" collapsed="false">
      <c r="A13" s="4" t="s">
        <v>95</v>
      </c>
      <c r="B13" s="24" t="n">
        <v>114.11</v>
      </c>
      <c r="C13" s="24" t="n">
        <v>184</v>
      </c>
      <c r="D13" s="24" t="n">
        <v>168</v>
      </c>
      <c r="E13" s="9" t="s">
        <v>186</v>
      </c>
      <c r="F13" s="24" t="n">
        <v>207</v>
      </c>
      <c r="G13" s="9" t="s">
        <v>187</v>
      </c>
      <c r="H13" s="24" t="n">
        <v>115</v>
      </c>
      <c r="I13" s="9" t="s">
        <v>186</v>
      </c>
      <c r="J13" s="24" t="n">
        <v>188</v>
      </c>
    </row>
    <row r="14" customFormat="false" ht="15" hidden="false" customHeight="false" outlineLevel="0" collapsed="false">
      <c r="A14" s="4" t="s">
        <v>98</v>
      </c>
      <c r="B14" s="24" t="n">
        <v>48.12</v>
      </c>
      <c r="C14" s="24" t="n">
        <v>77</v>
      </c>
      <c r="D14" s="24" t="n">
        <v>70</v>
      </c>
      <c r="E14" s="24" t="n">
        <v>97.5</v>
      </c>
      <c r="F14" s="24" t="n">
        <v>90</v>
      </c>
      <c r="G14" s="24" t="n">
        <v>67</v>
      </c>
      <c r="H14" s="24" t="n">
        <v>68</v>
      </c>
      <c r="I14" s="24" t="n">
        <v>88.5</v>
      </c>
      <c r="J14" s="24" t="n">
        <v>80</v>
      </c>
    </row>
    <row r="16" customFormat="false" ht="39.75" hidden="false" customHeight="true" outlineLevel="0" collapsed="false">
      <c r="B16" s="46" t="s">
        <v>188</v>
      </c>
      <c r="C16" s="46" t="s">
        <v>189</v>
      </c>
      <c r="D16" s="46" t="s">
        <v>190</v>
      </c>
      <c r="G16" s="46" t="s">
        <v>191</v>
      </c>
      <c r="H16" s="46" t="s">
        <v>192</v>
      </c>
    </row>
    <row r="17" customFormat="false" ht="15" hidden="false" customHeight="false" outlineLevel="0" collapsed="false">
      <c r="A17" s="4" t="s">
        <v>80</v>
      </c>
      <c r="B17" s="24" t="n">
        <v>117.11</v>
      </c>
      <c r="C17" s="24" t="n">
        <v>190</v>
      </c>
      <c r="G17" s="24" t="n">
        <v>176</v>
      </c>
    </row>
    <row r="18" customFormat="false" ht="15" hidden="false" customHeight="false" outlineLevel="0" collapsed="false">
      <c r="A18" s="4" t="s">
        <v>86</v>
      </c>
      <c r="B18" s="24" t="n">
        <v>49.62</v>
      </c>
      <c r="C18" s="24" t="n">
        <v>79</v>
      </c>
      <c r="G18" s="24" t="n">
        <v>76</v>
      </c>
    </row>
    <row r="19" customFormat="false" ht="15" hidden="false" customHeight="false" outlineLevel="0" collapsed="false">
      <c r="A19" s="4" t="s">
        <v>87</v>
      </c>
      <c r="B19" s="24" t="n">
        <v>116.11</v>
      </c>
      <c r="C19" s="24" t="n">
        <v>189</v>
      </c>
      <c r="G19" s="24" t="n">
        <v>184</v>
      </c>
    </row>
    <row r="20" customFormat="false" ht="15" hidden="false" customHeight="false" outlineLevel="0" collapsed="false">
      <c r="A20" s="4" t="s">
        <v>88</v>
      </c>
      <c r="B20" s="24" t="n">
        <v>49.62</v>
      </c>
      <c r="C20" s="24" t="n">
        <v>79</v>
      </c>
      <c r="G20" s="9" t="s">
        <v>193</v>
      </c>
    </row>
    <row r="21" customFormat="false" ht="15" hidden="false" customHeight="false" outlineLevel="0" collapsed="false">
      <c r="A21" s="4" t="s">
        <v>91</v>
      </c>
      <c r="B21" s="24" t="n">
        <v>117.11</v>
      </c>
      <c r="C21" s="24" t="n">
        <v>190</v>
      </c>
      <c r="G21" s="24" t="n">
        <v>176</v>
      </c>
    </row>
    <row r="22" customFormat="false" ht="15" hidden="false" customHeight="false" outlineLevel="0" collapsed="false">
      <c r="A22" s="4" t="s">
        <v>92</v>
      </c>
      <c r="B22" s="24" t="n">
        <v>49.62</v>
      </c>
      <c r="C22" s="24" t="n">
        <v>79</v>
      </c>
      <c r="G22" s="24" t="n">
        <v>76</v>
      </c>
    </row>
    <row r="23" customFormat="false" ht="15" hidden="false" customHeight="false" outlineLevel="0" collapsed="false">
      <c r="A23" s="4" t="s">
        <v>93</v>
      </c>
      <c r="B23" s="24" t="n">
        <v>124.45</v>
      </c>
      <c r="C23" s="24" t="n">
        <v>194</v>
      </c>
      <c r="G23" s="24" t="n">
        <v>167</v>
      </c>
    </row>
    <row r="24" customFormat="false" ht="15" hidden="false" customHeight="false" outlineLevel="0" collapsed="false">
      <c r="A24" s="4" t="s">
        <v>94</v>
      </c>
      <c r="B24" s="24" t="n">
        <v>61.18</v>
      </c>
      <c r="C24" s="24" t="n">
        <v>92</v>
      </c>
      <c r="G24" s="24" t="n">
        <v>89</v>
      </c>
    </row>
    <row r="25" customFormat="false" ht="15" hidden="false" customHeight="false" outlineLevel="0" collapsed="false">
      <c r="A25" s="4" t="s">
        <v>95</v>
      </c>
      <c r="B25" s="24" t="n">
        <v>116.61</v>
      </c>
      <c r="C25" s="24" t="n">
        <v>189</v>
      </c>
      <c r="G25" s="9" t="s">
        <v>194</v>
      </c>
    </row>
    <row r="26" customFormat="false" ht="15" hidden="false" customHeight="false" outlineLevel="0" collapsed="false">
      <c r="A26" s="4" t="s">
        <v>98</v>
      </c>
      <c r="B26" s="24" t="n">
        <v>49.62</v>
      </c>
      <c r="C26" s="24" t="n">
        <v>79</v>
      </c>
      <c r="G26" s="24" t="n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2026-09-03T19:44:14Z</dcterms:created>
  <dc:creator>openpyxl</dc:creator>
  <dc:description/>
  <dc:language>en-US</dc:language>
  <cp:lastModifiedBy/>
  <dcterms:modified xsi:type="dcterms:W3CDTF">2026-09-03T19:44:14Z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